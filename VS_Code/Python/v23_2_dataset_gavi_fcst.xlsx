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vinet-my.sharepoint.com/personal/bdenli_gavi_org/Documents/Desktop/"/>
    </mc:Choice>
  </mc:AlternateContent>
  <xr:revisionPtr revIDLastSave="0" documentId="8_{485A3715-6E50-4A85-BBE1-412205CAD069}" xr6:coauthVersionLast="47" xr6:coauthVersionMax="47" xr10:uidLastSave="{00000000-0000-0000-0000-000000000000}"/>
  <bookViews>
    <workbookView xWindow="-120" yWindow="-120" windowWidth="38640" windowHeight="21120" activeTab="1" xr2:uid="{0DFDD223-D94A-469B-B84C-87789AD02C18}"/>
  </bookViews>
  <sheets>
    <sheet name="v23.2 Forecast Data (Internal)" sheetId="1" r:id="rId1"/>
    <sheet name="v23.2 Key Prog Assumptions" sheetId="3" r:id="rId2"/>
    <sheet name="Pivot" sheetId="2" r:id="rId3"/>
  </sheets>
  <definedNames>
    <definedName name="_xlnm._FilterDatabase" localSheetId="0" hidden="1">'v23.2 Forecast Data (Internal)'!$B$6:$M$2347</definedName>
    <definedName name="_xlnm._FilterDatabase" localSheetId="1" hidden="1">'v23.2 Key Prog Assumptions'!$B$3:$M$2572</definedName>
  </definedNames>
  <calcPr calcId="191029"/>
  <pivotCaches>
    <pivotCache cacheId="20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67" i="1" l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512" i="1"/>
  <c r="K512" i="1"/>
  <c r="L2129" i="1"/>
  <c r="K2129" i="1"/>
  <c r="L1626" i="1"/>
  <c r="K1626" i="1"/>
  <c r="L1625" i="1"/>
  <c r="K1625" i="1"/>
  <c r="L1624" i="1"/>
  <c r="K1624" i="1"/>
  <c r="L1623" i="1"/>
  <c r="K1623" i="1"/>
  <c r="L1622" i="1"/>
  <c r="K1622" i="1"/>
  <c r="L1718" i="1"/>
  <c r="K1718" i="1"/>
  <c r="L1717" i="1"/>
  <c r="K1717" i="1"/>
  <c r="L2347" i="1"/>
  <c r="K2347" i="1"/>
  <c r="L2346" i="1"/>
  <c r="K2346" i="1"/>
  <c r="L2345" i="1"/>
  <c r="K2345" i="1"/>
  <c r="L2344" i="1"/>
  <c r="K2344" i="1"/>
  <c r="L2343" i="1"/>
  <c r="K2343" i="1"/>
  <c r="L1048" i="1"/>
  <c r="K1048" i="1"/>
  <c r="L1047" i="1"/>
  <c r="K1047" i="1"/>
  <c r="L1046" i="1"/>
  <c r="K1046" i="1"/>
  <c r="L1045" i="1"/>
  <c r="K1045" i="1"/>
  <c r="L1044" i="1"/>
  <c r="K1044" i="1"/>
  <c r="L1198" i="1"/>
  <c r="K1198" i="1"/>
  <c r="L1197" i="1"/>
  <c r="K1197" i="1"/>
  <c r="L1449" i="1"/>
  <c r="K1449" i="1"/>
  <c r="L1448" i="1"/>
  <c r="K1448" i="1"/>
  <c r="L1274" i="1"/>
  <c r="K1274" i="1"/>
  <c r="L1273" i="1"/>
  <c r="K1273" i="1"/>
  <c r="L1272" i="1"/>
  <c r="K1272" i="1"/>
  <c r="L1271" i="1"/>
  <c r="K1271" i="1"/>
  <c r="L1270" i="1"/>
  <c r="K1270" i="1"/>
  <c r="L1823" i="1"/>
  <c r="K1823" i="1"/>
  <c r="L1822" i="1"/>
  <c r="K1822" i="1"/>
  <c r="L1821" i="1"/>
  <c r="K1821" i="1"/>
  <c r="L196" i="1"/>
  <c r="K196" i="1"/>
  <c r="L195" i="1"/>
  <c r="K195" i="1"/>
  <c r="L194" i="1"/>
  <c r="K194" i="1"/>
  <c r="L193" i="1"/>
  <c r="K193" i="1"/>
  <c r="L192" i="1"/>
  <c r="K192" i="1"/>
  <c r="L269" i="1"/>
  <c r="K269" i="1"/>
  <c r="L268" i="1"/>
  <c r="K268" i="1"/>
  <c r="L106" i="1"/>
  <c r="K106" i="1"/>
  <c r="L1538" i="1"/>
  <c r="K1538" i="1"/>
  <c r="L1537" i="1"/>
  <c r="K1537" i="1"/>
  <c r="L105" i="1"/>
  <c r="K105" i="1"/>
  <c r="L104" i="1"/>
  <c r="K104" i="1"/>
  <c r="L103" i="1"/>
  <c r="K103" i="1"/>
  <c r="L1196" i="1"/>
  <c r="K1196" i="1"/>
  <c r="L1195" i="1"/>
  <c r="K1195" i="1"/>
  <c r="L1194" i="1"/>
  <c r="K1194" i="1"/>
  <c r="L1536" i="1"/>
  <c r="K1536" i="1"/>
  <c r="L1535" i="1"/>
  <c r="K1535" i="1"/>
  <c r="L1534" i="1"/>
  <c r="K1534" i="1"/>
  <c r="L1485" i="1"/>
  <c r="K1485" i="1"/>
  <c r="L1484" i="1"/>
  <c r="K1484" i="1"/>
  <c r="L1483" i="1"/>
  <c r="K1483" i="1"/>
  <c r="L1482" i="1"/>
  <c r="K1482" i="1"/>
  <c r="L1481" i="1"/>
  <c r="K1481" i="1"/>
  <c r="L102" i="1"/>
  <c r="K102" i="1"/>
  <c r="L101" i="1"/>
  <c r="K101" i="1"/>
  <c r="L2237" i="1"/>
  <c r="K2237" i="1"/>
  <c r="L1043" i="1"/>
  <c r="K1043" i="1"/>
  <c r="L698" i="1"/>
  <c r="K698" i="1"/>
  <c r="L100" i="1"/>
  <c r="K100" i="1"/>
  <c r="L831" i="1"/>
  <c r="K831" i="1"/>
  <c r="L830" i="1"/>
  <c r="K830" i="1"/>
  <c r="L829" i="1"/>
  <c r="K829" i="1"/>
  <c r="L2022" i="1"/>
  <c r="K2022" i="1"/>
  <c r="L2021" i="1"/>
  <c r="K2021" i="1"/>
  <c r="L1447" i="1"/>
  <c r="K1447" i="1"/>
  <c r="L1446" i="1"/>
  <c r="K1446" i="1"/>
  <c r="L1445" i="1"/>
  <c r="K1445" i="1"/>
  <c r="L1936" i="1"/>
  <c r="K1936" i="1"/>
  <c r="L1935" i="1"/>
  <c r="K1935" i="1"/>
  <c r="L2020" i="1"/>
  <c r="K2020" i="1"/>
  <c r="L2019" i="1"/>
  <c r="K2019" i="1"/>
  <c r="L1934" i="1"/>
  <c r="K1934" i="1"/>
  <c r="L1933" i="1"/>
  <c r="K1933" i="1"/>
  <c r="L1444" i="1"/>
  <c r="K1444" i="1"/>
  <c r="L1443" i="1"/>
  <c r="K1443" i="1"/>
  <c r="L1442" i="1"/>
  <c r="K1442" i="1"/>
  <c r="L1589" i="1"/>
  <c r="K158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1777" i="1"/>
  <c r="K1777" i="1"/>
  <c r="L1776" i="1"/>
  <c r="K1776" i="1"/>
  <c r="L1775" i="1"/>
  <c r="K1775" i="1"/>
  <c r="L819" i="1"/>
  <c r="K819" i="1"/>
  <c r="L818" i="1"/>
  <c r="K818" i="1"/>
  <c r="L317" i="1"/>
  <c r="K317" i="1"/>
  <c r="L154" i="1"/>
  <c r="K154" i="1"/>
  <c r="L1533" i="1"/>
  <c r="K1533" i="1"/>
  <c r="L817" i="1"/>
  <c r="K817" i="1"/>
  <c r="L816" i="1"/>
  <c r="K816" i="1"/>
  <c r="L815" i="1"/>
  <c r="K815" i="1"/>
  <c r="L917" i="1"/>
  <c r="K917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548" i="1"/>
  <c r="K548" i="1"/>
  <c r="L511" i="1"/>
  <c r="K511" i="1"/>
  <c r="L510" i="1"/>
  <c r="K510" i="1"/>
  <c r="L64" i="1"/>
  <c r="K64" i="1"/>
  <c r="L63" i="1"/>
  <c r="K63" i="1"/>
  <c r="L1042" i="1"/>
  <c r="K1042" i="1"/>
  <c r="L997" i="1"/>
  <c r="K997" i="1"/>
  <c r="L996" i="1"/>
  <c r="K996" i="1"/>
  <c r="L967" i="1"/>
  <c r="K967" i="1"/>
  <c r="L966" i="1"/>
  <c r="K966" i="1"/>
  <c r="L916" i="1"/>
  <c r="K916" i="1"/>
  <c r="L737" i="1"/>
  <c r="K737" i="1"/>
  <c r="L466" i="1"/>
  <c r="K466" i="1"/>
  <c r="L613" i="1"/>
  <c r="K613" i="1"/>
  <c r="L697" i="1"/>
  <c r="K697" i="1"/>
  <c r="L1588" i="1"/>
  <c r="K1588" i="1"/>
  <c r="L1587" i="1"/>
  <c r="K1587" i="1"/>
  <c r="L1117" i="1"/>
  <c r="K1117" i="1"/>
  <c r="L1091" i="1"/>
  <c r="K1091" i="1"/>
  <c r="L2077" i="1"/>
  <c r="K2077" i="1"/>
  <c r="L2236" i="1"/>
  <c r="K2236" i="1"/>
  <c r="L2049" i="1"/>
  <c r="K2049" i="1"/>
  <c r="L1683" i="1"/>
  <c r="K1683" i="1"/>
  <c r="L2009" i="1"/>
  <c r="K2009" i="1"/>
  <c r="L2008" i="1"/>
  <c r="K2008" i="1"/>
  <c r="L1888" i="1"/>
  <c r="K1888" i="1"/>
  <c r="L1857" i="1"/>
  <c r="K1857" i="1"/>
  <c r="L1820" i="1"/>
  <c r="K1820" i="1"/>
  <c r="L1774" i="1"/>
  <c r="K1774" i="1"/>
  <c r="L1716" i="1"/>
  <c r="K1716" i="1"/>
  <c r="L1654" i="1"/>
  <c r="K1654" i="1"/>
  <c r="L1480" i="1"/>
  <c r="K1480" i="1"/>
  <c r="L1441" i="1"/>
  <c r="K1441" i="1"/>
  <c r="L1653" i="1"/>
  <c r="K1653" i="1"/>
  <c r="L1621" i="1"/>
  <c r="K1621" i="1"/>
  <c r="L2342" i="1"/>
  <c r="K2342" i="1"/>
  <c r="L1394" i="1"/>
  <c r="K1394" i="1"/>
  <c r="L1355" i="1"/>
  <c r="K1355" i="1"/>
  <c r="L1326" i="1"/>
  <c r="K1326" i="1"/>
  <c r="L1325" i="1"/>
  <c r="K1325" i="1"/>
  <c r="L2278" i="1"/>
  <c r="K2278" i="1"/>
  <c r="L1269" i="1"/>
  <c r="K1269" i="1"/>
  <c r="L447" i="1"/>
  <c r="K447" i="1"/>
  <c r="L2277" i="1"/>
  <c r="K2277" i="1"/>
  <c r="L1354" i="1"/>
  <c r="K1354" i="1"/>
  <c r="L1268" i="1"/>
  <c r="K1268" i="1"/>
  <c r="L1234" i="1"/>
  <c r="K1234" i="1"/>
  <c r="L1193" i="1"/>
  <c r="K1193" i="1"/>
  <c r="L316" i="1"/>
  <c r="K316" i="1"/>
  <c r="L315" i="1"/>
  <c r="K315" i="1"/>
  <c r="L267" i="1"/>
  <c r="K267" i="1"/>
  <c r="L235" i="1"/>
  <c r="K235" i="1"/>
  <c r="L234" i="1"/>
  <c r="K234" i="1"/>
  <c r="L2190" i="1"/>
  <c r="K2190" i="1"/>
  <c r="L2189" i="1"/>
  <c r="K2189" i="1"/>
  <c r="L2128" i="1"/>
  <c r="K2128" i="1"/>
  <c r="L191" i="1"/>
  <c r="K191" i="1"/>
  <c r="L153" i="1"/>
  <c r="K153" i="1"/>
  <c r="L152" i="1"/>
  <c r="K152" i="1"/>
  <c r="L2313" i="1"/>
  <c r="K2313" i="1"/>
  <c r="L1148" i="1"/>
  <c r="K1148" i="1"/>
  <c r="L1116" i="1"/>
  <c r="K1116" i="1"/>
  <c r="L35" i="1"/>
  <c r="K35" i="1"/>
  <c r="L573" i="1"/>
  <c r="K573" i="1"/>
  <c r="L915" i="1"/>
  <c r="K915" i="1"/>
  <c r="L662" i="1"/>
  <c r="K662" i="1"/>
  <c r="L1532" i="1"/>
  <c r="K1532" i="1"/>
  <c r="L1932" i="1"/>
  <c r="K1932" i="1"/>
  <c r="L1887" i="1"/>
  <c r="K1887" i="1"/>
  <c r="L1233" i="1"/>
  <c r="K1233" i="1"/>
  <c r="L425" i="1"/>
  <c r="K425" i="1"/>
  <c r="L362" i="1"/>
  <c r="K362" i="1"/>
  <c r="L1192" i="1"/>
  <c r="K1192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2312" i="1"/>
  <c r="K2312" i="1"/>
  <c r="L1041" i="1"/>
  <c r="K1041" i="1"/>
  <c r="L1267" i="1"/>
  <c r="K1267" i="1"/>
  <c r="L1266" i="1"/>
  <c r="K1266" i="1"/>
  <c r="L509" i="1"/>
  <c r="K509" i="1"/>
  <c r="L508" i="1"/>
  <c r="K508" i="1"/>
  <c r="L507" i="1"/>
  <c r="K507" i="1"/>
  <c r="L99" i="1"/>
  <c r="K99" i="1"/>
  <c r="L98" i="1"/>
  <c r="K98" i="1"/>
  <c r="L97" i="1"/>
  <c r="K97" i="1"/>
  <c r="L96" i="1"/>
  <c r="K96" i="1"/>
  <c r="L1393" i="1"/>
  <c r="K1393" i="1"/>
  <c r="L2007" i="1"/>
  <c r="K2007" i="1"/>
  <c r="L2006" i="1"/>
  <c r="K2006" i="1"/>
  <c r="L1586" i="1"/>
  <c r="K1586" i="1"/>
  <c r="L1585" i="1"/>
  <c r="K1585" i="1"/>
  <c r="L1584" i="1"/>
  <c r="K1584" i="1"/>
  <c r="L1392" i="1"/>
  <c r="K1392" i="1"/>
  <c r="L95" i="1"/>
  <c r="K95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506" i="1"/>
  <c r="K506" i="1"/>
  <c r="L547" i="1"/>
  <c r="K547" i="1"/>
  <c r="L914" i="1"/>
  <c r="K914" i="1"/>
  <c r="L361" i="1"/>
  <c r="K361" i="1"/>
  <c r="L62" i="1"/>
  <c r="K62" i="1"/>
  <c r="L61" i="1"/>
  <c r="K61" i="1"/>
  <c r="L60" i="1"/>
  <c r="K60" i="1"/>
  <c r="L1931" i="1"/>
  <c r="K1931" i="1"/>
  <c r="L1930" i="1"/>
  <c r="K1930" i="1"/>
  <c r="L661" i="1"/>
  <c r="K661" i="1"/>
  <c r="L660" i="1"/>
  <c r="K660" i="1"/>
  <c r="L659" i="1"/>
  <c r="K659" i="1"/>
  <c r="L658" i="1"/>
  <c r="K658" i="1"/>
  <c r="L1531" i="1"/>
  <c r="K1531" i="1"/>
  <c r="L768" i="1"/>
  <c r="K768" i="1"/>
  <c r="L767" i="1"/>
  <c r="K767" i="1"/>
  <c r="L766" i="1"/>
  <c r="K766" i="1"/>
  <c r="L765" i="1"/>
  <c r="K765" i="1"/>
  <c r="L764" i="1"/>
  <c r="K764" i="1"/>
  <c r="L913" i="1"/>
  <c r="K913" i="1"/>
  <c r="L2127" i="1"/>
  <c r="K2127" i="1"/>
  <c r="L1715" i="1"/>
  <c r="K1715" i="1"/>
  <c r="L1232" i="1"/>
  <c r="K1232" i="1"/>
  <c r="L1682" i="1"/>
  <c r="K1682" i="1"/>
  <c r="L912" i="1"/>
  <c r="K912" i="1"/>
  <c r="L1929" i="1"/>
  <c r="K1929" i="1"/>
  <c r="L1231" i="1"/>
  <c r="K1231" i="1"/>
  <c r="L911" i="1"/>
  <c r="K911" i="1"/>
  <c r="L360" i="1"/>
  <c r="K360" i="1"/>
  <c r="L763" i="1"/>
  <c r="K763" i="1"/>
  <c r="L762" i="1"/>
  <c r="K762" i="1"/>
  <c r="L761" i="1"/>
  <c r="K761" i="1"/>
  <c r="L910" i="1"/>
  <c r="K910" i="1"/>
  <c r="L2126" i="1"/>
  <c r="K2126" i="1"/>
  <c r="L1714" i="1"/>
  <c r="K1714" i="1"/>
  <c r="L1440" i="1"/>
  <c r="K1440" i="1"/>
  <c r="L1819" i="1"/>
  <c r="K1819" i="1"/>
  <c r="L266" i="1"/>
  <c r="K266" i="1"/>
  <c r="L1230" i="1"/>
  <c r="K1230" i="1"/>
  <c r="L2235" i="1"/>
  <c r="K2235" i="1"/>
  <c r="L2048" i="1"/>
  <c r="K2048" i="1"/>
  <c r="L1713" i="1"/>
  <c r="K1713" i="1"/>
  <c r="L1090" i="1"/>
  <c r="K1090" i="1"/>
  <c r="L1040" i="1"/>
  <c r="K1040" i="1"/>
  <c r="L995" i="1"/>
  <c r="K995" i="1"/>
  <c r="L696" i="1"/>
  <c r="K696" i="1"/>
  <c r="L736" i="1"/>
  <c r="K736" i="1"/>
  <c r="L94" i="1"/>
  <c r="K94" i="1"/>
  <c r="L359" i="1"/>
  <c r="K359" i="1"/>
  <c r="L151" i="1"/>
  <c r="K151" i="1"/>
  <c r="L424" i="1"/>
  <c r="K424" i="1"/>
  <c r="L909" i="1"/>
  <c r="K909" i="1"/>
  <c r="L1229" i="1"/>
  <c r="K1229" i="1"/>
  <c r="L1773" i="1"/>
  <c r="K1773" i="1"/>
  <c r="L1681" i="1"/>
  <c r="K1681" i="1"/>
  <c r="L2234" i="1"/>
  <c r="K2234" i="1"/>
  <c r="L612" i="1"/>
  <c r="K612" i="1"/>
  <c r="L265" i="1"/>
  <c r="K265" i="1"/>
  <c r="L1439" i="1"/>
  <c r="K1439" i="1"/>
  <c r="L233" i="1"/>
  <c r="K233" i="1"/>
  <c r="L546" i="1"/>
  <c r="K546" i="1"/>
  <c r="L2276" i="1"/>
  <c r="K2276" i="1"/>
  <c r="L465" i="1"/>
  <c r="K465" i="1"/>
  <c r="L423" i="1"/>
  <c r="K423" i="1"/>
  <c r="L1324" i="1"/>
  <c r="K1324" i="1"/>
  <c r="L1772" i="1"/>
  <c r="K1772" i="1"/>
  <c r="L1583" i="1"/>
  <c r="K1583" i="1"/>
  <c r="L1582" i="1"/>
  <c r="K1582" i="1"/>
  <c r="L314" i="1"/>
  <c r="K314" i="1"/>
  <c r="L1581" i="1"/>
  <c r="K1581" i="1"/>
  <c r="L232" i="1"/>
  <c r="K232" i="1"/>
  <c r="L150" i="1"/>
  <c r="K150" i="1"/>
  <c r="L1580" i="1"/>
  <c r="K1580" i="1"/>
  <c r="L1530" i="1"/>
  <c r="K1530" i="1"/>
  <c r="L657" i="1"/>
  <c r="K657" i="1"/>
  <c r="L908" i="1"/>
  <c r="K908" i="1"/>
  <c r="L2275" i="1"/>
  <c r="K2275" i="1"/>
  <c r="L1323" i="1"/>
  <c r="K1323" i="1"/>
  <c r="L1529" i="1"/>
  <c r="K1529" i="1"/>
  <c r="L1322" i="1"/>
  <c r="K1322" i="1"/>
  <c r="L1528" i="1"/>
  <c r="K1528" i="1"/>
  <c r="L2274" i="1"/>
  <c r="K2274" i="1"/>
  <c r="L422" i="1"/>
  <c r="K422" i="1"/>
  <c r="L1928" i="1"/>
  <c r="K1928" i="1"/>
  <c r="L1886" i="1"/>
  <c r="K1886" i="1"/>
  <c r="L1712" i="1"/>
  <c r="K1712" i="1"/>
  <c r="L464" i="1"/>
  <c r="K464" i="1"/>
  <c r="L358" i="1"/>
  <c r="K358" i="1"/>
  <c r="L2341" i="1"/>
  <c r="K2341" i="1"/>
  <c r="L1147" i="1"/>
  <c r="K1147" i="1"/>
  <c r="L1039" i="1"/>
  <c r="K1039" i="1"/>
  <c r="L1191" i="1"/>
  <c r="K1191" i="1"/>
  <c r="L1391" i="1"/>
  <c r="K1391" i="1"/>
  <c r="L2311" i="1"/>
  <c r="K2311" i="1"/>
  <c r="L1265" i="1"/>
  <c r="K1265" i="1"/>
  <c r="L313" i="1"/>
  <c r="K313" i="1"/>
  <c r="L2233" i="1"/>
  <c r="K2233" i="1"/>
  <c r="L1818" i="1"/>
  <c r="K1818" i="1"/>
  <c r="L2125" i="1"/>
  <c r="K2125" i="1"/>
  <c r="L1321" i="1"/>
  <c r="K1321" i="1"/>
  <c r="L1527" i="1"/>
  <c r="K1527" i="1"/>
  <c r="L1479" i="1"/>
  <c r="K1479" i="1"/>
  <c r="L994" i="1"/>
  <c r="K994" i="1"/>
  <c r="L965" i="1"/>
  <c r="K965" i="1"/>
  <c r="L735" i="1"/>
  <c r="K735" i="1"/>
  <c r="L505" i="1"/>
  <c r="K505" i="1"/>
  <c r="L231" i="1"/>
  <c r="K231" i="1"/>
  <c r="L93" i="1"/>
  <c r="K93" i="1"/>
  <c r="L264" i="1"/>
  <c r="K264" i="1"/>
  <c r="L1927" i="1"/>
  <c r="K1927" i="1"/>
  <c r="L656" i="1"/>
  <c r="K656" i="1"/>
  <c r="L1680" i="1"/>
  <c r="K1680" i="1"/>
  <c r="L907" i="1"/>
  <c r="K907" i="1"/>
  <c r="L446" i="1"/>
  <c r="K446" i="1"/>
  <c r="L357" i="1"/>
  <c r="K357" i="1"/>
  <c r="L1679" i="1"/>
  <c r="K1679" i="1"/>
  <c r="L906" i="1"/>
  <c r="K906" i="1"/>
  <c r="L504" i="1"/>
  <c r="K504" i="1"/>
  <c r="L905" i="1"/>
  <c r="K905" i="1"/>
  <c r="L655" i="1"/>
  <c r="K655" i="1"/>
  <c r="L1228" i="1"/>
  <c r="K1228" i="1"/>
  <c r="L1190" i="1"/>
  <c r="K1190" i="1"/>
  <c r="L34" i="1"/>
  <c r="K34" i="1"/>
  <c r="L356" i="1"/>
  <c r="K356" i="1"/>
  <c r="L572" i="1"/>
  <c r="K572" i="1"/>
  <c r="L1926" i="1"/>
  <c r="K1926" i="1"/>
  <c r="L421" i="1"/>
  <c r="K421" i="1"/>
  <c r="L1885" i="1"/>
  <c r="K1885" i="1"/>
  <c r="L1526" i="1"/>
  <c r="K1526" i="1"/>
  <c r="L355" i="1"/>
  <c r="K355" i="1"/>
  <c r="L1678" i="1"/>
  <c r="K1678" i="1"/>
  <c r="L2273" i="1"/>
  <c r="K2273" i="1"/>
  <c r="L420" i="1"/>
  <c r="K420" i="1"/>
  <c r="L1652" i="1"/>
  <c r="K1652" i="1"/>
  <c r="L1620" i="1"/>
  <c r="K1620" i="1"/>
  <c r="L1525" i="1"/>
  <c r="K1525" i="1"/>
  <c r="L993" i="1"/>
  <c r="K993" i="1"/>
  <c r="L964" i="1"/>
  <c r="K964" i="1"/>
  <c r="L904" i="1"/>
  <c r="K904" i="1"/>
  <c r="L463" i="1"/>
  <c r="K463" i="1"/>
  <c r="L503" i="1"/>
  <c r="K503" i="1"/>
  <c r="L354" i="1"/>
  <c r="K354" i="1"/>
  <c r="L33" i="1"/>
  <c r="K33" i="1"/>
  <c r="L312" i="1"/>
  <c r="K312" i="1"/>
  <c r="L1264" i="1"/>
  <c r="K1264" i="1"/>
  <c r="L1263" i="1"/>
  <c r="K1263" i="1"/>
  <c r="L1038" i="1"/>
  <c r="K1038" i="1"/>
  <c r="L1884" i="1"/>
  <c r="K1884" i="1"/>
  <c r="L1320" i="1"/>
  <c r="K1320" i="1"/>
  <c r="L1856" i="1"/>
  <c r="K1856" i="1"/>
  <c r="L32" i="1"/>
  <c r="K32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263" i="1"/>
  <c r="K263" i="1"/>
  <c r="L2340" i="1"/>
  <c r="K2340" i="1"/>
  <c r="L2310" i="1"/>
  <c r="K2310" i="1"/>
  <c r="L2188" i="1"/>
  <c r="K2188" i="1"/>
  <c r="L2232" i="1"/>
  <c r="K2232" i="1"/>
  <c r="L2076" i="1"/>
  <c r="K2076" i="1"/>
  <c r="L2047" i="1"/>
  <c r="K2047" i="1"/>
  <c r="L2124" i="1"/>
  <c r="K2124" i="1"/>
  <c r="L1817" i="1"/>
  <c r="K1817" i="1"/>
  <c r="L1855" i="1"/>
  <c r="K1855" i="1"/>
  <c r="L1771" i="1"/>
  <c r="K1771" i="1"/>
  <c r="L1711" i="1"/>
  <c r="K1711" i="1"/>
  <c r="L1579" i="1"/>
  <c r="K1579" i="1"/>
  <c r="L1262" i="1"/>
  <c r="K1262" i="1"/>
  <c r="L1353" i="1"/>
  <c r="K1353" i="1"/>
  <c r="L1390" i="1"/>
  <c r="K1390" i="1"/>
  <c r="L1438" i="1"/>
  <c r="K1438" i="1"/>
  <c r="L1319" i="1"/>
  <c r="K1319" i="1"/>
  <c r="L1146" i="1"/>
  <c r="K1146" i="1"/>
  <c r="L1189" i="1"/>
  <c r="K1189" i="1"/>
  <c r="L262" i="1"/>
  <c r="K262" i="1"/>
  <c r="L1089" i="1"/>
  <c r="K1089" i="1"/>
  <c r="L1037" i="1"/>
  <c r="K1037" i="1"/>
  <c r="L695" i="1"/>
  <c r="K695" i="1"/>
  <c r="L734" i="1"/>
  <c r="K734" i="1"/>
  <c r="L611" i="1"/>
  <c r="K611" i="1"/>
  <c r="L571" i="1"/>
  <c r="K571" i="1"/>
  <c r="L445" i="1"/>
  <c r="K445" i="1"/>
  <c r="L190" i="1"/>
  <c r="K190" i="1"/>
  <c r="L149" i="1"/>
  <c r="K149" i="1"/>
  <c r="L1746" i="1"/>
  <c r="K1746" i="1"/>
  <c r="L1115" i="1"/>
  <c r="K1115" i="1"/>
  <c r="L654" i="1"/>
  <c r="K654" i="1"/>
  <c r="L311" i="1"/>
  <c r="K311" i="1"/>
  <c r="L545" i="1"/>
  <c r="K545" i="1"/>
  <c r="L92" i="1"/>
  <c r="K92" i="1"/>
  <c r="L1437" i="1"/>
  <c r="K1437" i="1"/>
  <c r="L91" i="1"/>
  <c r="K91" i="1"/>
  <c r="L2187" i="1"/>
  <c r="K2187" i="1"/>
  <c r="L2231" i="1"/>
  <c r="K2231" i="1"/>
  <c r="L733" i="1"/>
  <c r="K733" i="1"/>
  <c r="L90" i="1"/>
  <c r="K90" i="1"/>
  <c r="L1188" i="1"/>
  <c r="K1188" i="1"/>
  <c r="L1389" i="1"/>
  <c r="K1389" i="1"/>
  <c r="L694" i="1"/>
  <c r="K694" i="1"/>
  <c r="L610" i="1"/>
  <c r="K610" i="1"/>
  <c r="L963" i="1"/>
  <c r="K963" i="1"/>
  <c r="L502" i="1"/>
  <c r="K502" i="1"/>
  <c r="L2123" i="1"/>
  <c r="K2123" i="1"/>
  <c r="L1816" i="1"/>
  <c r="K1816" i="1"/>
  <c r="L310" i="1"/>
  <c r="K310" i="1"/>
  <c r="L2309" i="1"/>
  <c r="K2309" i="1"/>
  <c r="L1478" i="1"/>
  <c r="K1478" i="1"/>
  <c r="L2186" i="1"/>
  <c r="K2186" i="1"/>
  <c r="L2046" i="1"/>
  <c r="K2046" i="1"/>
  <c r="L230" i="1"/>
  <c r="K230" i="1"/>
  <c r="L1261" i="1"/>
  <c r="K1261" i="1"/>
  <c r="L1227" i="1"/>
  <c r="K1227" i="1"/>
  <c r="L419" i="1"/>
  <c r="K419" i="1"/>
  <c r="L2005" i="1"/>
  <c r="K2005" i="1"/>
  <c r="L2122" i="1"/>
  <c r="K2122" i="1"/>
  <c r="L418" i="1"/>
  <c r="K418" i="1"/>
  <c r="L189" i="1"/>
  <c r="K189" i="1"/>
  <c r="L2004" i="1"/>
  <c r="K2004" i="1"/>
  <c r="L1318" i="1"/>
  <c r="K1318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89" i="1"/>
  <c r="K89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1388" i="1"/>
  <c r="K1388" i="1"/>
  <c r="L1317" i="1"/>
  <c r="K1317" i="1"/>
  <c r="L148" i="1"/>
  <c r="K148" i="1"/>
  <c r="L1352" i="1"/>
  <c r="K1352" i="1"/>
  <c r="L1854" i="1"/>
  <c r="K1854" i="1"/>
  <c r="L2185" i="1"/>
  <c r="K2185" i="1"/>
  <c r="L309" i="1"/>
  <c r="K309" i="1"/>
  <c r="L1815" i="1"/>
  <c r="K1815" i="1"/>
  <c r="L1925" i="1"/>
  <c r="K1925" i="1"/>
  <c r="L417" i="1"/>
  <c r="K417" i="1"/>
  <c r="L1187" i="1"/>
  <c r="K1187" i="1"/>
  <c r="L903" i="1"/>
  <c r="K903" i="1"/>
  <c r="L1428" i="1"/>
  <c r="K1428" i="1"/>
  <c r="L353" i="1"/>
  <c r="K353" i="1"/>
  <c r="L2075" i="1"/>
  <c r="K2075" i="1"/>
  <c r="L992" i="1"/>
  <c r="K992" i="1"/>
  <c r="L261" i="1"/>
  <c r="K261" i="1"/>
  <c r="L1853" i="1"/>
  <c r="K1853" i="1"/>
  <c r="L1066" i="1"/>
  <c r="K1066" i="1"/>
  <c r="L991" i="1"/>
  <c r="K991" i="1"/>
  <c r="L962" i="1"/>
  <c r="K962" i="1"/>
  <c r="L693" i="1"/>
  <c r="K693" i="1"/>
  <c r="L444" i="1"/>
  <c r="K444" i="1"/>
  <c r="L59" i="1"/>
  <c r="K59" i="1"/>
  <c r="L1226" i="1"/>
  <c r="K1226" i="1"/>
  <c r="L902" i="1"/>
  <c r="K902" i="1"/>
  <c r="L1814" i="1"/>
  <c r="K1814" i="1"/>
  <c r="L653" i="1"/>
  <c r="K653" i="1"/>
  <c r="L1316" i="1"/>
  <c r="K1316" i="1"/>
  <c r="L1114" i="1"/>
  <c r="K1114" i="1"/>
  <c r="L544" i="1"/>
  <c r="K544" i="1"/>
  <c r="L1186" i="1"/>
  <c r="K1186" i="1"/>
  <c r="L1387" i="1"/>
  <c r="K1387" i="1"/>
  <c r="L2272" i="1"/>
  <c r="K2272" i="1"/>
  <c r="L31" i="1"/>
  <c r="K31" i="1"/>
  <c r="L1745" i="1"/>
  <c r="K1745" i="1"/>
  <c r="L501" i="1"/>
  <c r="K501" i="1"/>
  <c r="L229" i="1"/>
  <c r="K229" i="1"/>
  <c r="L147" i="1"/>
  <c r="K147" i="1"/>
  <c r="L308" i="1"/>
  <c r="K308" i="1"/>
  <c r="L1524" i="1"/>
  <c r="K1524" i="1"/>
  <c r="L416" i="1"/>
  <c r="K416" i="1"/>
  <c r="L188" i="1"/>
  <c r="K188" i="1"/>
  <c r="L2121" i="1"/>
  <c r="K2121" i="1"/>
  <c r="L228" i="1"/>
  <c r="K228" i="1"/>
  <c r="L2018" i="1"/>
  <c r="K2018" i="1"/>
  <c r="L2074" i="1"/>
  <c r="K2074" i="1"/>
  <c r="L609" i="1"/>
  <c r="K609" i="1"/>
  <c r="L415" i="1"/>
  <c r="K415" i="1"/>
  <c r="L1677" i="1"/>
  <c r="K1677" i="1"/>
  <c r="L260" i="1"/>
  <c r="K260" i="1"/>
  <c r="L1883" i="1"/>
  <c r="K1883" i="1"/>
  <c r="L1710" i="1"/>
  <c r="K1710" i="1"/>
  <c r="L1088" i="1"/>
  <c r="K1088" i="1"/>
  <c r="L1619" i="1"/>
  <c r="K1619" i="1"/>
  <c r="L1578" i="1"/>
  <c r="K1578" i="1"/>
  <c r="L146" i="1"/>
  <c r="K146" i="1"/>
  <c r="L414" i="1"/>
  <c r="K414" i="1"/>
  <c r="L413" i="1"/>
  <c r="K413" i="1"/>
  <c r="L901" i="1"/>
  <c r="K901" i="1"/>
  <c r="L900" i="1"/>
  <c r="K900" i="1"/>
  <c r="L1225" i="1"/>
  <c r="K1225" i="1"/>
  <c r="L1224" i="1"/>
  <c r="K1224" i="1"/>
  <c r="L1676" i="1"/>
  <c r="K1676" i="1"/>
  <c r="L1770" i="1"/>
  <c r="K1770" i="1"/>
  <c r="L1675" i="1"/>
  <c r="K1675" i="1"/>
  <c r="L2230" i="1"/>
  <c r="K2230" i="1"/>
  <c r="L2229" i="1"/>
  <c r="K2229" i="1"/>
  <c r="L1427" i="1"/>
  <c r="K1427" i="1"/>
  <c r="L259" i="1"/>
  <c r="K259" i="1"/>
  <c r="L227" i="1"/>
  <c r="K227" i="1"/>
  <c r="L543" i="1"/>
  <c r="K543" i="1"/>
  <c r="L258" i="1"/>
  <c r="K258" i="1"/>
  <c r="L2271" i="1"/>
  <c r="K2271" i="1"/>
  <c r="L1426" i="1"/>
  <c r="K1426" i="1"/>
  <c r="L2270" i="1"/>
  <c r="K2270" i="1"/>
  <c r="L1769" i="1"/>
  <c r="K1769" i="1"/>
  <c r="L1768" i="1"/>
  <c r="K1768" i="1"/>
  <c r="L2269" i="1"/>
  <c r="K2269" i="1"/>
  <c r="L1315" i="1"/>
  <c r="K1315" i="1"/>
  <c r="L1523" i="1"/>
  <c r="K1523" i="1"/>
  <c r="L1314" i="1"/>
  <c r="K1314" i="1"/>
  <c r="L1522" i="1"/>
  <c r="K1522" i="1"/>
  <c r="L1709" i="1"/>
  <c r="K1709" i="1"/>
  <c r="L462" i="1"/>
  <c r="K462" i="1"/>
  <c r="L2184" i="1"/>
  <c r="K2184" i="1"/>
  <c r="L2183" i="1"/>
  <c r="K2183" i="1"/>
  <c r="L608" i="1"/>
  <c r="K608" i="1"/>
  <c r="L607" i="1"/>
  <c r="K607" i="1"/>
  <c r="L1145" i="1"/>
  <c r="K1145" i="1"/>
  <c r="L1185" i="1"/>
  <c r="K1185" i="1"/>
  <c r="L1386" i="1"/>
  <c r="K1386" i="1"/>
  <c r="L1813" i="1"/>
  <c r="K1813" i="1"/>
  <c r="L652" i="1"/>
  <c r="K652" i="1"/>
  <c r="L651" i="1"/>
  <c r="K651" i="1"/>
  <c r="L2073" i="1"/>
  <c r="K2073" i="1"/>
  <c r="L2003" i="1"/>
  <c r="K2003" i="1"/>
  <c r="L2002" i="1"/>
  <c r="K2002" i="1"/>
  <c r="L732" i="1"/>
  <c r="K732" i="1"/>
  <c r="L2268" i="1"/>
  <c r="K2268" i="1"/>
  <c r="L2267" i="1"/>
  <c r="K2267" i="1"/>
  <c r="L412" i="1"/>
  <c r="K412" i="1"/>
  <c r="L411" i="1"/>
  <c r="K411" i="1"/>
  <c r="L410" i="1"/>
  <c r="K410" i="1"/>
  <c r="L1882" i="1"/>
  <c r="K1882" i="1"/>
  <c r="L1881" i="1"/>
  <c r="K1881" i="1"/>
  <c r="L1708" i="1"/>
  <c r="K1708" i="1"/>
  <c r="L1707" i="1"/>
  <c r="K1707" i="1"/>
  <c r="L1706" i="1"/>
  <c r="K1706" i="1"/>
  <c r="L461" i="1"/>
  <c r="K461" i="1"/>
  <c r="L460" i="1"/>
  <c r="K460" i="1"/>
  <c r="L459" i="1"/>
  <c r="K459" i="1"/>
  <c r="L2182" i="1"/>
  <c r="K2182" i="1"/>
  <c r="L2181" i="1"/>
  <c r="K2181" i="1"/>
  <c r="L2180" i="1"/>
  <c r="K2180" i="1"/>
  <c r="L606" i="1"/>
  <c r="K606" i="1"/>
  <c r="L605" i="1"/>
  <c r="K605" i="1"/>
  <c r="L604" i="1"/>
  <c r="K604" i="1"/>
  <c r="L2339" i="1"/>
  <c r="K2339" i="1"/>
  <c r="L2338" i="1"/>
  <c r="K2338" i="1"/>
  <c r="L1144" i="1"/>
  <c r="K1144" i="1"/>
  <c r="L1143" i="1"/>
  <c r="K1143" i="1"/>
  <c r="L1142" i="1"/>
  <c r="K1142" i="1"/>
  <c r="L1036" i="1"/>
  <c r="K1036" i="1"/>
  <c r="L1035" i="1"/>
  <c r="K1035" i="1"/>
  <c r="L1184" i="1"/>
  <c r="K1184" i="1"/>
  <c r="L1183" i="1"/>
  <c r="K1183" i="1"/>
  <c r="L1182" i="1"/>
  <c r="K1182" i="1"/>
  <c r="L1385" i="1"/>
  <c r="K1385" i="1"/>
  <c r="L1384" i="1"/>
  <c r="K1384" i="1"/>
  <c r="L1383" i="1"/>
  <c r="K1383" i="1"/>
  <c r="L2308" i="1"/>
  <c r="K2308" i="1"/>
  <c r="L2307" i="1"/>
  <c r="K2307" i="1"/>
  <c r="L307" i="1"/>
  <c r="K307" i="1"/>
  <c r="L306" i="1"/>
  <c r="K306" i="1"/>
  <c r="L305" i="1"/>
  <c r="K305" i="1"/>
  <c r="L2228" i="1"/>
  <c r="K2228" i="1"/>
  <c r="L2227" i="1"/>
  <c r="K2227" i="1"/>
  <c r="L2226" i="1"/>
  <c r="K2226" i="1"/>
  <c r="L1812" i="1"/>
  <c r="K1812" i="1"/>
  <c r="L1811" i="1"/>
  <c r="K1811" i="1"/>
  <c r="L1810" i="1"/>
  <c r="K1810" i="1"/>
  <c r="L650" i="1"/>
  <c r="K650" i="1"/>
  <c r="L649" i="1"/>
  <c r="K649" i="1"/>
  <c r="L648" i="1"/>
  <c r="K648" i="1"/>
  <c r="L2120" i="1"/>
  <c r="K2120" i="1"/>
  <c r="L2119" i="1"/>
  <c r="K2119" i="1"/>
  <c r="L2072" i="1"/>
  <c r="K2072" i="1"/>
  <c r="L2071" i="1"/>
  <c r="K2071" i="1"/>
  <c r="L2070" i="1"/>
  <c r="K2070" i="1"/>
  <c r="L2001" i="1"/>
  <c r="K2001" i="1"/>
  <c r="L2000" i="1"/>
  <c r="K2000" i="1"/>
  <c r="L1999" i="1"/>
  <c r="K1999" i="1"/>
  <c r="L1477" i="1"/>
  <c r="K1477" i="1"/>
  <c r="L1476" i="1"/>
  <c r="K1476" i="1"/>
  <c r="L1475" i="1"/>
  <c r="K1475" i="1"/>
  <c r="L961" i="1"/>
  <c r="K961" i="1"/>
  <c r="L960" i="1"/>
  <c r="K960" i="1"/>
  <c r="L731" i="1"/>
  <c r="K731" i="1"/>
  <c r="L730" i="1"/>
  <c r="K730" i="1"/>
  <c r="L500" i="1"/>
  <c r="K500" i="1"/>
  <c r="L2179" i="1"/>
  <c r="K2179" i="1"/>
  <c r="L2118" i="1"/>
  <c r="K2118" i="1"/>
  <c r="L1924" i="1"/>
  <c r="K1924" i="1"/>
  <c r="L499" i="1"/>
  <c r="K499" i="1"/>
  <c r="L352" i="1"/>
  <c r="K352" i="1"/>
  <c r="L1181" i="1"/>
  <c r="K1181" i="1"/>
  <c r="L187" i="1"/>
  <c r="K187" i="1"/>
  <c r="L542" i="1"/>
  <c r="K542" i="1"/>
  <c r="L1382" i="1"/>
  <c r="K1382" i="1"/>
  <c r="L1809" i="1"/>
  <c r="K1809" i="1"/>
  <c r="L1998" i="1"/>
  <c r="K1998" i="1"/>
  <c r="L959" i="1"/>
  <c r="K959" i="1"/>
  <c r="L692" i="1"/>
  <c r="K692" i="1"/>
  <c r="L2306" i="1"/>
  <c r="K2306" i="1"/>
  <c r="L1180" i="1"/>
  <c r="K1180" i="1"/>
  <c r="L1179" i="1"/>
  <c r="K1179" i="1"/>
  <c r="L2225" i="1"/>
  <c r="K2225" i="1"/>
  <c r="L2224" i="1"/>
  <c r="K2224" i="1"/>
  <c r="L1808" i="1"/>
  <c r="K1808" i="1"/>
  <c r="L304" i="1"/>
  <c r="K304" i="1"/>
  <c r="L1807" i="1"/>
  <c r="K1807" i="1"/>
  <c r="L1806" i="1"/>
  <c r="K1806" i="1"/>
  <c r="L1805" i="1"/>
  <c r="K1805" i="1"/>
  <c r="L226" i="1"/>
  <c r="K226" i="1"/>
  <c r="L1521" i="1"/>
  <c r="K1521" i="1"/>
  <c r="L1520" i="1"/>
  <c r="K1520" i="1"/>
  <c r="L145" i="1"/>
  <c r="K145" i="1"/>
  <c r="L144" i="1"/>
  <c r="K144" i="1"/>
  <c r="L143" i="1"/>
  <c r="K143" i="1"/>
  <c r="L225" i="1"/>
  <c r="K225" i="1"/>
  <c r="L224" i="1"/>
  <c r="K224" i="1"/>
  <c r="L223" i="1"/>
  <c r="K223" i="1"/>
  <c r="L1519" i="1"/>
  <c r="K1519" i="1"/>
  <c r="L1178" i="1"/>
  <c r="K1178" i="1"/>
  <c r="L1177" i="1"/>
  <c r="K1177" i="1"/>
  <c r="L958" i="1"/>
  <c r="K958" i="1"/>
  <c r="L957" i="1"/>
  <c r="K957" i="1"/>
  <c r="L956" i="1"/>
  <c r="K956" i="1"/>
  <c r="L955" i="1"/>
  <c r="K955" i="1"/>
  <c r="L691" i="1"/>
  <c r="K691" i="1"/>
  <c r="L690" i="1"/>
  <c r="K690" i="1"/>
  <c r="L689" i="1"/>
  <c r="K689" i="1"/>
  <c r="L688" i="1"/>
  <c r="K688" i="1"/>
  <c r="L899" i="1"/>
  <c r="K899" i="1"/>
  <c r="L898" i="1"/>
  <c r="K898" i="1"/>
  <c r="L897" i="1"/>
  <c r="K897" i="1"/>
  <c r="L303" i="1"/>
  <c r="K303" i="1"/>
  <c r="L302" i="1"/>
  <c r="K302" i="1"/>
  <c r="L541" i="1"/>
  <c r="K541" i="1"/>
  <c r="L1923" i="1"/>
  <c r="K1923" i="1"/>
  <c r="L1922" i="1"/>
  <c r="K1922" i="1"/>
  <c r="L1921" i="1"/>
  <c r="K1921" i="1"/>
  <c r="L2178" i="1"/>
  <c r="K2178" i="1"/>
  <c r="L498" i="1"/>
  <c r="K498" i="1"/>
  <c r="L2177" i="1"/>
  <c r="K2177" i="1"/>
  <c r="L2176" i="1"/>
  <c r="K2176" i="1"/>
  <c r="L458" i="1"/>
  <c r="K458" i="1"/>
  <c r="L457" i="1"/>
  <c r="K457" i="1"/>
  <c r="L497" i="1"/>
  <c r="K497" i="1"/>
  <c r="L647" i="1"/>
  <c r="K647" i="1"/>
  <c r="L646" i="1"/>
  <c r="K646" i="1"/>
  <c r="L456" i="1"/>
  <c r="K456" i="1"/>
  <c r="L2117" i="1"/>
  <c r="K2117" i="1"/>
  <c r="L2116" i="1"/>
  <c r="K2116" i="1"/>
  <c r="L2115" i="1"/>
  <c r="K2115" i="1"/>
  <c r="L2114" i="1"/>
  <c r="K2114" i="1"/>
  <c r="L409" i="1"/>
  <c r="K409" i="1"/>
  <c r="L408" i="1"/>
  <c r="K408" i="1"/>
  <c r="L1313" i="1"/>
  <c r="K1313" i="1"/>
  <c r="L1312" i="1"/>
  <c r="K1312" i="1"/>
  <c r="L407" i="1"/>
  <c r="K407" i="1"/>
  <c r="L1920" i="1"/>
  <c r="K1920" i="1"/>
  <c r="L351" i="1"/>
  <c r="K351" i="1"/>
  <c r="L496" i="1"/>
  <c r="K496" i="1"/>
  <c r="L495" i="1"/>
  <c r="K495" i="1"/>
  <c r="L350" i="1"/>
  <c r="K350" i="1"/>
  <c r="L349" i="1"/>
  <c r="K349" i="1"/>
  <c r="L348" i="1"/>
  <c r="K348" i="1"/>
  <c r="L186" i="1"/>
  <c r="K186" i="1"/>
  <c r="L185" i="1"/>
  <c r="K185" i="1"/>
  <c r="L540" i="1"/>
  <c r="K540" i="1"/>
  <c r="L539" i="1"/>
  <c r="K539" i="1"/>
  <c r="L1997" i="1"/>
  <c r="K1997" i="1"/>
  <c r="L1996" i="1"/>
  <c r="K1996" i="1"/>
  <c r="L184" i="1"/>
  <c r="K184" i="1"/>
  <c r="L183" i="1"/>
  <c r="K183" i="1"/>
  <c r="L1381" i="1"/>
  <c r="K1381" i="1"/>
  <c r="L406" i="1"/>
  <c r="K406" i="1"/>
  <c r="L1995" i="1"/>
  <c r="K1995" i="1"/>
  <c r="L1994" i="1"/>
  <c r="K1994" i="1"/>
  <c r="L1380" i="1"/>
  <c r="K1380" i="1"/>
  <c r="L1379" i="1"/>
  <c r="K1379" i="1"/>
  <c r="L645" i="1"/>
  <c r="K645" i="1"/>
  <c r="L1311" i="1"/>
  <c r="K1311" i="1"/>
  <c r="L1310" i="1"/>
  <c r="K1310" i="1"/>
  <c r="L2305" i="1"/>
  <c r="K2305" i="1"/>
  <c r="L2304" i="1"/>
  <c r="K2304" i="1"/>
  <c r="L644" i="1"/>
  <c r="K644" i="1"/>
  <c r="L2303" i="1"/>
  <c r="K2303" i="1"/>
  <c r="L1223" i="1"/>
  <c r="K1223" i="1"/>
  <c r="L1222" i="1"/>
  <c r="K1222" i="1"/>
  <c r="L2302" i="1"/>
  <c r="K2302" i="1"/>
  <c r="L1378" i="1"/>
  <c r="K1378" i="1"/>
  <c r="L2175" i="1"/>
  <c r="K2175" i="1"/>
  <c r="L1674" i="1"/>
  <c r="K1674" i="1"/>
  <c r="L1309" i="1"/>
  <c r="K1309" i="1"/>
  <c r="L1518" i="1"/>
  <c r="K1518" i="1"/>
  <c r="L1517" i="1"/>
  <c r="K1517" i="1"/>
  <c r="L1308" i="1"/>
  <c r="K1308" i="1"/>
  <c r="L1993" i="1"/>
  <c r="K1993" i="1"/>
  <c r="L1992" i="1"/>
  <c r="K1992" i="1"/>
  <c r="L643" i="1"/>
  <c r="K643" i="1"/>
  <c r="L642" i="1"/>
  <c r="K642" i="1"/>
  <c r="L301" i="1"/>
  <c r="K301" i="1"/>
  <c r="L300" i="1"/>
  <c r="K300" i="1"/>
  <c r="L2223" i="1"/>
  <c r="K2223" i="1"/>
  <c r="L1377" i="1"/>
  <c r="K1377" i="1"/>
  <c r="L1376" i="1"/>
  <c r="K1376" i="1"/>
  <c r="L687" i="1"/>
  <c r="K687" i="1"/>
  <c r="L686" i="1"/>
  <c r="K686" i="1"/>
  <c r="L603" i="1"/>
  <c r="K603" i="1"/>
  <c r="L602" i="1"/>
  <c r="K602" i="1"/>
  <c r="L1351" i="1"/>
  <c r="K1351" i="1"/>
  <c r="L1350" i="1"/>
  <c r="K1350" i="1"/>
  <c r="L1919" i="1"/>
  <c r="K1919" i="1"/>
  <c r="L142" i="1"/>
  <c r="K142" i="1"/>
  <c r="L141" i="1"/>
  <c r="K141" i="1"/>
  <c r="L954" i="1"/>
  <c r="K954" i="1"/>
  <c r="L953" i="1"/>
  <c r="K953" i="1"/>
  <c r="L2113" i="1"/>
  <c r="K2113" i="1"/>
  <c r="L2112" i="1"/>
  <c r="K2112" i="1"/>
  <c r="L1880" i="1"/>
  <c r="K1880" i="1"/>
  <c r="L1879" i="1"/>
  <c r="K1879" i="1"/>
  <c r="L405" i="1"/>
  <c r="K405" i="1"/>
  <c r="L58" i="1"/>
  <c r="K58" i="1"/>
  <c r="L57" i="1"/>
  <c r="K57" i="1"/>
  <c r="L494" i="1"/>
  <c r="K494" i="1"/>
  <c r="L493" i="1"/>
  <c r="K493" i="1"/>
  <c r="L1804" i="1"/>
  <c r="K1804" i="1"/>
  <c r="L1803" i="1"/>
  <c r="K1803" i="1"/>
  <c r="L30" i="1"/>
  <c r="K30" i="1"/>
  <c r="L1767" i="1"/>
  <c r="K1767" i="1"/>
  <c r="L1766" i="1"/>
  <c r="K1766" i="1"/>
  <c r="L2337" i="1"/>
  <c r="K2337" i="1"/>
  <c r="L2336" i="1"/>
  <c r="K2336" i="1"/>
  <c r="L2266" i="1"/>
  <c r="K2266" i="1"/>
  <c r="L347" i="1"/>
  <c r="K347" i="1"/>
  <c r="L1260" i="1"/>
  <c r="K1260" i="1"/>
  <c r="L1259" i="1"/>
  <c r="K1259" i="1"/>
  <c r="L1618" i="1"/>
  <c r="K1618" i="1"/>
  <c r="L1617" i="1"/>
  <c r="K1617" i="1"/>
  <c r="L222" i="1"/>
  <c r="K222" i="1"/>
  <c r="L2222" i="1"/>
  <c r="K2222" i="1"/>
  <c r="L1425" i="1"/>
  <c r="K1425" i="1"/>
  <c r="L1918" i="1"/>
  <c r="K1918" i="1"/>
  <c r="L2265" i="1"/>
  <c r="K2265" i="1"/>
  <c r="L29" i="1"/>
  <c r="K29" i="1"/>
  <c r="L538" i="1"/>
  <c r="K538" i="1"/>
  <c r="L537" i="1"/>
  <c r="K537" i="1"/>
  <c r="L1176" i="1"/>
  <c r="K1176" i="1"/>
  <c r="L1175" i="1"/>
  <c r="K1175" i="1"/>
  <c r="L1424" i="1"/>
  <c r="K1424" i="1"/>
  <c r="L182" i="1"/>
  <c r="K182" i="1"/>
  <c r="L729" i="1"/>
  <c r="K729" i="1"/>
  <c r="L221" i="1"/>
  <c r="K221" i="1"/>
  <c r="L404" i="1"/>
  <c r="K404" i="1"/>
  <c r="L346" i="1"/>
  <c r="K346" i="1"/>
  <c r="L1141" i="1"/>
  <c r="K1141" i="1"/>
  <c r="L1705" i="1"/>
  <c r="K1705" i="1"/>
  <c r="L1704" i="1"/>
  <c r="K1704" i="1"/>
  <c r="L1140" i="1"/>
  <c r="K1140" i="1"/>
  <c r="L728" i="1"/>
  <c r="K728" i="1"/>
  <c r="L181" i="1"/>
  <c r="K181" i="1"/>
  <c r="L1673" i="1"/>
  <c r="K1673" i="1"/>
  <c r="L1672" i="1"/>
  <c r="K1672" i="1"/>
  <c r="L1349" i="1"/>
  <c r="K1349" i="1"/>
  <c r="L1348" i="1"/>
  <c r="K1348" i="1"/>
  <c r="L28" i="1"/>
  <c r="K28" i="1"/>
  <c r="L27" i="1"/>
  <c r="K27" i="1"/>
  <c r="L140" i="1"/>
  <c r="K140" i="1"/>
  <c r="L139" i="1"/>
  <c r="K139" i="1"/>
  <c r="L1878" i="1"/>
  <c r="K1878" i="1"/>
  <c r="L1917" i="1"/>
  <c r="K1917" i="1"/>
  <c r="L1916" i="1"/>
  <c r="K1916" i="1"/>
  <c r="L56" i="1"/>
  <c r="K56" i="1"/>
  <c r="L55" i="1"/>
  <c r="K55" i="1"/>
  <c r="L1516" i="1"/>
  <c r="K1516" i="1"/>
  <c r="L1515" i="1"/>
  <c r="K1515" i="1"/>
  <c r="L1991" i="1"/>
  <c r="K1991" i="1"/>
  <c r="L1990" i="1"/>
  <c r="K1990" i="1"/>
  <c r="L1307" i="1"/>
  <c r="K1307" i="1"/>
  <c r="L1306" i="1"/>
  <c r="K1306" i="1"/>
  <c r="L641" i="1"/>
  <c r="K641" i="1"/>
  <c r="L640" i="1"/>
  <c r="K640" i="1"/>
  <c r="L1877" i="1"/>
  <c r="K1877" i="1"/>
  <c r="L1765" i="1"/>
  <c r="K1765" i="1"/>
  <c r="L1764" i="1"/>
  <c r="K1764" i="1"/>
  <c r="L2335" i="1"/>
  <c r="K2335" i="1"/>
  <c r="L2334" i="1"/>
  <c r="K2334" i="1"/>
  <c r="L1139" i="1"/>
  <c r="K1139" i="1"/>
  <c r="L1138" i="1"/>
  <c r="K1138" i="1"/>
  <c r="L345" i="1"/>
  <c r="K345" i="1"/>
  <c r="L2264" i="1"/>
  <c r="K2264" i="1"/>
  <c r="L2263" i="1"/>
  <c r="K2263" i="1"/>
  <c r="L403" i="1"/>
  <c r="K403" i="1"/>
  <c r="L402" i="1"/>
  <c r="K402" i="1"/>
  <c r="L1703" i="1"/>
  <c r="K1703" i="1"/>
  <c r="L1616" i="1"/>
  <c r="K1616" i="1"/>
  <c r="L344" i="1"/>
  <c r="K344" i="1"/>
  <c r="L1615" i="1"/>
  <c r="K1615" i="1"/>
  <c r="L727" i="1"/>
  <c r="K727" i="1"/>
  <c r="L2221" i="1"/>
  <c r="K2221" i="1"/>
  <c r="L2220" i="1"/>
  <c r="K2220" i="1"/>
  <c r="L1423" i="1"/>
  <c r="K1423" i="1"/>
  <c r="L180" i="1"/>
  <c r="K180" i="1"/>
  <c r="L179" i="1"/>
  <c r="K179" i="1"/>
  <c r="L1422" i="1"/>
  <c r="K1422" i="1"/>
  <c r="L1702" i="1"/>
  <c r="K1702" i="1"/>
  <c r="L536" i="1"/>
  <c r="K536" i="1"/>
  <c r="L1514" i="1"/>
  <c r="K1514" i="1"/>
  <c r="L1305" i="1"/>
  <c r="K1305" i="1"/>
  <c r="L639" i="1"/>
  <c r="K639" i="1"/>
  <c r="L299" i="1"/>
  <c r="K299" i="1"/>
  <c r="L2219" i="1"/>
  <c r="K2219" i="1"/>
  <c r="L1375" i="1"/>
  <c r="K1375" i="1"/>
  <c r="L1989" i="1"/>
  <c r="K1989" i="1"/>
  <c r="L685" i="1"/>
  <c r="K685" i="1"/>
  <c r="L601" i="1"/>
  <c r="K601" i="1"/>
  <c r="L138" i="1"/>
  <c r="K138" i="1"/>
  <c r="L952" i="1"/>
  <c r="K952" i="1"/>
  <c r="L2111" i="1"/>
  <c r="K2111" i="1"/>
  <c r="L1347" i="1"/>
  <c r="K1347" i="1"/>
  <c r="L401" i="1"/>
  <c r="K401" i="1"/>
  <c r="L54" i="1"/>
  <c r="K54" i="1"/>
  <c r="L1802" i="1"/>
  <c r="K1802" i="1"/>
  <c r="L492" i="1"/>
  <c r="K492" i="1"/>
  <c r="L1876" i="1"/>
  <c r="K1876" i="1"/>
  <c r="L1763" i="1"/>
  <c r="K1763" i="1"/>
  <c r="L2333" i="1"/>
  <c r="K2333" i="1"/>
  <c r="L1258" i="1"/>
  <c r="K1258" i="1"/>
  <c r="L1614" i="1"/>
  <c r="K1614" i="1"/>
  <c r="L26" i="1"/>
  <c r="K26" i="1"/>
  <c r="L1915" i="1"/>
  <c r="K1915" i="1"/>
  <c r="L2262" i="1"/>
  <c r="K2262" i="1"/>
  <c r="L535" i="1"/>
  <c r="K535" i="1"/>
  <c r="L1174" i="1"/>
  <c r="K1174" i="1"/>
  <c r="L220" i="1"/>
  <c r="K220" i="1"/>
  <c r="L343" i="1"/>
  <c r="K343" i="1"/>
  <c r="L1137" i="1"/>
  <c r="K1137" i="1"/>
  <c r="L726" i="1"/>
  <c r="K726" i="1"/>
  <c r="L1421" i="1"/>
  <c r="K1421" i="1"/>
  <c r="L178" i="1"/>
  <c r="K178" i="1"/>
  <c r="L1701" i="1"/>
  <c r="K1701" i="1"/>
  <c r="L1034" i="1"/>
  <c r="K1034" i="1"/>
  <c r="L1033" i="1"/>
  <c r="K1033" i="1"/>
  <c r="L1032" i="1"/>
  <c r="K1032" i="1"/>
  <c r="L1031" i="1"/>
  <c r="K1031" i="1"/>
  <c r="L1030" i="1"/>
  <c r="K1030" i="1"/>
  <c r="L1113" i="1"/>
  <c r="K1113" i="1"/>
  <c r="L1112" i="1"/>
  <c r="K1112" i="1"/>
  <c r="L1221" i="1"/>
  <c r="K1221" i="1"/>
  <c r="L1220" i="1"/>
  <c r="K1220" i="1"/>
  <c r="L2069" i="1"/>
  <c r="K2069" i="1"/>
  <c r="L2068" i="1"/>
  <c r="K2068" i="1"/>
  <c r="L2067" i="1"/>
  <c r="K2067" i="1"/>
  <c r="L2301" i="1"/>
  <c r="K2301" i="1"/>
  <c r="L2300" i="1"/>
  <c r="K2300" i="1"/>
  <c r="L2066" i="1"/>
  <c r="K2066" i="1"/>
  <c r="L2065" i="1"/>
  <c r="K2065" i="1"/>
  <c r="L1111" i="1"/>
  <c r="K1111" i="1"/>
  <c r="L1110" i="1"/>
  <c r="K1110" i="1"/>
  <c r="L1109" i="1"/>
  <c r="K1109" i="1"/>
  <c r="L1087" i="1"/>
  <c r="K1087" i="1"/>
  <c r="L1086" i="1"/>
  <c r="K1086" i="1"/>
  <c r="L1085" i="1"/>
  <c r="K1085" i="1"/>
  <c r="L1084" i="1"/>
  <c r="K1084" i="1"/>
  <c r="L2174" i="1"/>
  <c r="K2174" i="1"/>
  <c r="L2173" i="1"/>
  <c r="K2173" i="1"/>
  <c r="L1083" i="1"/>
  <c r="K1083" i="1"/>
  <c r="L2045" i="1"/>
  <c r="K2045" i="1"/>
  <c r="L2044" i="1"/>
  <c r="K2044" i="1"/>
  <c r="L1577" i="1"/>
  <c r="K1577" i="1"/>
  <c r="L1576" i="1"/>
  <c r="K1576" i="1"/>
  <c r="L1575" i="1"/>
  <c r="K1575" i="1"/>
  <c r="L1574" i="1"/>
  <c r="K1574" i="1"/>
  <c r="L1573" i="1"/>
  <c r="K1573" i="1"/>
  <c r="L1219" i="1"/>
  <c r="K1219" i="1"/>
  <c r="L88" i="1"/>
  <c r="K88" i="1"/>
  <c r="L1852" i="1"/>
  <c r="K1852" i="1"/>
  <c r="L1851" i="1"/>
  <c r="K1851" i="1"/>
  <c r="L1744" i="1"/>
  <c r="K1744" i="1"/>
  <c r="L1743" i="1"/>
  <c r="K1743" i="1"/>
  <c r="L570" i="1"/>
  <c r="K570" i="1"/>
  <c r="L257" i="1"/>
  <c r="K257" i="1"/>
  <c r="L1651" i="1"/>
  <c r="K1651" i="1"/>
  <c r="L256" i="1"/>
  <c r="K256" i="1"/>
  <c r="L1650" i="1"/>
  <c r="K1650" i="1"/>
  <c r="L990" i="1"/>
  <c r="K990" i="1"/>
  <c r="L989" i="1"/>
  <c r="K989" i="1"/>
  <c r="L2043" i="1"/>
  <c r="K2043" i="1"/>
  <c r="L2042" i="1"/>
  <c r="K2042" i="1"/>
  <c r="L87" i="1"/>
  <c r="K87" i="1"/>
  <c r="L86" i="1"/>
  <c r="K86" i="1"/>
  <c r="L2299" i="1"/>
  <c r="K2299" i="1"/>
  <c r="L2298" i="1"/>
  <c r="K2298" i="1"/>
  <c r="L684" i="1"/>
  <c r="K684" i="1"/>
  <c r="L1374" i="1"/>
  <c r="K1374" i="1"/>
  <c r="L1850" i="1"/>
  <c r="K1850" i="1"/>
  <c r="L1849" i="1"/>
  <c r="K1849" i="1"/>
  <c r="L1848" i="1"/>
  <c r="K1848" i="1"/>
  <c r="L600" i="1"/>
  <c r="K600" i="1"/>
  <c r="L951" i="1"/>
  <c r="K951" i="1"/>
  <c r="L491" i="1"/>
  <c r="K491" i="1"/>
  <c r="L1474" i="1"/>
  <c r="K1474" i="1"/>
  <c r="L1473" i="1"/>
  <c r="K1473" i="1"/>
  <c r="L2110" i="1"/>
  <c r="K2110" i="1"/>
  <c r="L1801" i="1"/>
  <c r="K1801" i="1"/>
  <c r="L298" i="1"/>
  <c r="K298" i="1"/>
  <c r="L569" i="1"/>
  <c r="K569" i="1"/>
  <c r="L568" i="1"/>
  <c r="K568" i="1"/>
  <c r="L567" i="1"/>
  <c r="K567" i="1"/>
  <c r="L1472" i="1"/>
  <c r="K1472" i="1"/>
  <c r="L1471" i="1"/>
  <c r="K1471" i="1"/>
  <c r="L1257" i="1"/>
  <c r="K1257" i="1"/>
  <c r="L896" i="1"/>
  <c r="K896" i="1"/>
  <c r="L895" i="1"/>
  <c r="K895" i="1"/>
  <c r="L2172" i="1"/>
  <c r="K2172" i="1"/>
  <c r="L2171" i="1"/>
  <c r="K2171" i="1"/>
  <c r="L219" i="1"/>
  <c r="K219" i="1"/>
  <c r="L255" i="1"/>
  <c r="K255" i="1"/>
  <c r="L254" i="1"/>
  <c r="K254" i="1"/>
  <c r="L253" i="1"/>
  <c r="K253" i="1"/>
  <c r="L1649" i="1"/>
  <c r="K1649" i="1"/>
  <c r="L1648" i="1"/>
  <c r="K1648" i="1"/>
  <c r="L1647" i="1"/>
  <c r="K1647" i="1"/>
  <c r="L988" i="1"/>
  <c r="K988" i="1"/>
  <c r="L1218" i="1"/>
  <c r="K1218" i="1"/>
  <c r="L987" i="1"/>
  <c r="K987" i="1"/>
  <c r="L986" i="1"/>
  <c r="K986" i="1"/>
  <c r="L1742" i="1"/>
  <c r="K1742" i="1"/>
  <c r="L1741" i="1"/>
  <c r="K1741" i="1"/>
  <c r="L1740" i="1"/>
  <c r="K1740" i="1"/>
  <c r="L1173" i="1"/>
  <c r="K1173" i="1"/>
  <c r="L2261" i="1"/>
  <c r="K2261" i="1"/>
  <c r="L2260" i="1"/>
  <c r="K2260" i="1"/>
  <c r="L25" i="1"/>
  <c r="K25" i="1"/>
  <c r="L24" i="1"/>
  <c r="K24" i="1"/>
  <c r="L1172" i="1"/>
  <c r="K1172" i="1"/>
  <c r="L1171" i="1"/>
  <c r="K1171" i="1"/>
  <c r="L1373" i="1"/>
  <c r="K1373" i="1"/>
  <c r="L1372" i="1"/>
  <c r="K1372" i="1"/>
  <c r="L534" i="1"/>
  <c r="K534" i="1"/>
  <c r="L533" i="1"/>
  <c r="K533" i="1"/>
  <c r="L2218" i="1"/>
  <c r="K2218" i="1"/>
  <c r="L1800" i="1"/>
  <c r="K1800" i="1"/>
  <c r="L1799" i="1"/>
  <c r="K1799" i="1"/>
  <c r="L1217" i="1"/>
  <c r="K1217" i="1"/>
  <c r="L1216" i="1"/>
  <c r="K1216" i="1"/>
  <c r="L2041" i="1"/>
  <c r="K2041" i="1"/>
  <c r="L1513" i="1"/>
  <c r="K1513" i="1"/>
  <c r="L1512" i="1"/>
  <c r="K1512" i="1"/>
  <c r="L985" i="1"/>
  <c r="K985" i="1"/>
  <c r="L984" i="1"/>
  <c r="K984" i="1"/>
  <c r="L490" i="1"/>
  <c r="K490" i="1"/>
  <c r="L489" i="1"/>
  <c r="K489" i="1"/>
  <c r="L53" i="1"/>
  <c r="K53" i="1"/>
  <c r="L52" i="1"/>
  <c r="K52" i="1"/>
  <c r="L218" i="1"/>
  <c r="K218" i="1"/>
  <c r="L217" i="1"/>
  <c r="K217" i="1"/>
  <c r="L950" i="1"/>
  <c r="K950" i="1"/>
  <c r="L949" i="1"/>
  <c r="K949" i="1"/>
  <c r="L252" i="1"/>
  <c r="K252" i="1"/>
  <c r="L251" i="1"/>
  <c r="K251" i="1"/>
  <c r="L1256" i="1"/>
  <c r="K1256" i="1"/>
  <c r="L1255" i="1"/>
  <c r="K1255" i="1"/>
  <c r="L1875" i="1"/>
  <c r="K1875" i="1"/>
  <c r="L1874" i="1"/>
  <c r="K1874" i="1"/>
  <c r="L1847" i="1"/>
  <c r="K1847" i="1"/>
  <c r="L1846" i="1"/>
  <c r="K1846" i="1"/>
  <c r="L1613" i="1"/>
  <c r="K1613" i="1"/>
  <c r="L1612" i="1"/>
  <c r="K1612" i="1"/>
  <c r="L1700" i="1"/>
  <c r="K1700" i="1"/>
  <c r="L1699" i="1"/>
  <c r="K1699" i="1"/>
  <c r="L1346" i="1"/>
  <c r="K1346" i="1"/>
  <c r="L2109" i="1"/>
  <c r="K2109" i="1"/>
  <c r="L683" i="1"/>
  <c r="K683" i="1"/>
  <c r="L1420" i="1"/>
  <c r="K1420" i="1"/>
  <c r="L1419" i="1"/>
  <c r="K1419" i="1"/>
  <c r="L2108" i="1"/>
  <c r="K2108" i="1"/>
  <c r="L2217" i="1"/>
  <c r="K2217" i="1"/>
  <c r="L2040" i="1"/>
  <c r="K2040" i="1"/>
  <c r="L1345" i="1"/>
  <c r="K1345" i="1"/>
  <c r="L682" i="1"/>
  <c r="K682" i="1"/>
  <c r="L599" i="1"/>
  <c r="K599" i="1"/>
  <c r="L1470" i="1"/>
  <c r="K1470" i="1"/>
  <c r="L1469" i="1"/>
  <c r="K1469" i="1"/>
  <c r="L598" i="1"/>
  <c r="K598" i="1"/>
  <c r="L1136" i="1"/>
  <c r="K1136" i="1"/>
  <c r="L1135" i="1"/>
  <c r="K1135" i="1"/>
  <c r="L1762" i="1"/>
  <c r="K1762" i="1"/>
  <c r="L1761" i="1"/>
  <c r="K1761" i="1"/>
  <c r="L566" i="1"/>
  <c r="K566" i="1"/>
  <c r="L565" i="1"/>
  <c r="K565" i="1"/>
  <c r="L2259" i="1"/>
  <c r="K2259" i="1"/>
  <c r="L23" i="1"/>
  <c r="K23" i="1"/>
  <c r="L1170" i="1"/>
  <c r="K1170" i="1"/>
  <c r="L1371" i="1"/>
  <c r="K1371" i="1"/>
  <c r="L532" i="1"/>
  <c r="K532" i="1"/>
  <c r="L1798" i="1"/>
  <c r="K1798" i="1"/>
  <c r="L1215" i="1"/>
  <c r="K1215" i="1"/>
  <c r="L2039" i="1"/>
  <c r="K2039" i="1"/>
  <c r="L1511" i="1"/>
  <c r="K1511" i="1"/>
  <c r="L488" i="1"/>
  <c r="K488" i="1"/>
  <c r="L51" i="1"/>
  <c r="K51" i="1"/>
  <c r="L216" i="1"/>
  <c r="K216" i="1"/>
  <c r="L531" i="1"/>
  <c r="K531" i="1"/>
  <c r="L215" i="1"/>
  <c r="K215" i="1"/>
  <c r="L214" i="1"/>
  <c r="K214" i="1"/>
  <c r="L948" i="1"/>
  <c r="K948" i="1"/>
  <c r="L947" i="1"/>
  <c r="K947" i="1"/>
  <c r="L946" i="1"/>
  <c r="K946" i="1"/>
  <c r="L564" i="1"/>
  <c r="K564" i="1"/>
  <c r="L983" i="1"/>
  <c r="K983" i="1"/>
  <c r="L982" i="1"/>
  <c r="K982" i="1"/>
  <c r="L250" i="1"/>
  <c r="K250" i="1"/>
  <c r="L1370" i="1"/>
  <c r="K1370" i="1"/>
  <c r="L1611" i="1"/>
  <c r="K1611" i="1"/>
  <c r="L249" i="1"/>
  <c r="K249" i="1"/>
  <c r="L248" i="1"/>
  <c r="K248" i="1"/>
  <c r="L1254" i="1"/>
  <c r="K1254" i="1"/>
  <c r="L1873" i="1"/>
  <c r="K1873" i="1"/>
  <c r="L1845" i="1"/>
  <c r="K1845" i="1"/>
  <c r="L1844" i="1"/>
  <c r="K1844" i="1"/>
  <c r="L22" i="1"/>
  <c r="K22" i="1"/>
  <c r="L21" i="1"/>
  <c r="K21" i="1"/>
  <c r="L1369" i="1"/>
  <c r="K1369" i="1"/>
  <c r="L1253" i="1"/>
  <c r="K1253" i="1"/>
  <c r="L1843" i="1"/>
  <c r="K1843" i="1"/>
  <c r="L1169" i="1"/>
  <c r="K1169" i="1"/>
  <c r="L1168" i="1"/>
  <c r="K1168" i="1"/>
  <c r="L1872" i="1"/>
  <c r="K1872" i="1"/>
  <c r="L1871" i="1"/>
  <c r="K1871" i="1"/>
  <c r="L2258" i="1"/>
  <c r="K2258" i="1"/>
  <c r="L2257" i="1"/>
  <c r="K2257" i="1"/>
  <c r="L1610" i="1"/>
  <c r="K1610" i="1"/>
  <c r="L1214" i="1"/>
  <c r="K1214" i="1"/>
  <c r="L1609" i="1"/>
  <c r="K1609" i="1"/>
  <c r="L1698" i="1"/>
  <c r="K1698" i="1"/>
  <c r="L1697" i="1"/>
  <c r="K1697" i="1"/>
  <c r="L1213" i="1"/>
  <c r="K1213" i="1"/>
  <c r="L1696" i="1"/>
  <c r="K1696" i="1"/>
  <c r="L681" i="1"/>
  <c r="K681" i="1"/>
  <c r="L1344" i="1"/>
  <c r="K1344" i="1"/>
  <c r="L1343" i="1"/>
  <c r="K1343" i="1"/>
  <c r="L2107" i="1"/>
  <c r="K2107" i="1"/>
  <c r="L2106" i="1"/>
  <c r="K2106" i="1"/>
  <c r="L680" i="1"/>
  <c r="K680" i="1"/>
  <c r="L1418" i="1"/>
  <c r="K1418" i="1"/>
  <c r="L50" i="1"/>
  <c r="K50" i="1"/>
  <c r="L2105" i="1"/>
  <c r="K2105" i="1"/>
  <c r="L1417" i="1"/>
  <c r="K1417" i="1"/>
  <c r="L49" i="1"/>
  <c r="K49" i="1"/>
  <c r="L1510" i="1"/>
  <c r="K1510" i="1"/>
  <c r="L1509" i="1"/>
  <c r="K1509" i="1"/>
  <c r="L679" i="1"/>
  <c r="K679" i="1"/>
  <c r="L1416" i="1"/>
  <c r="K1416" i="1"/>
  <c r="L2216" i="1"/>
  <c r="K2216" i="1"/>
  <c r="L2215" i="1"/>
  <c r="K2215" i="1"/>
  <c r="L2038" i="1"/>
  <c r="K2038" i="1"/>
  <c r="L2037" i="1"/>
  <c r="K2037" i="1"/>
  <c r="L1342" i="1"/>
  <c r="K1342" i="1"/>
  <c r="L487" i="1"/>
  <c r="K487" i="1"/>
  <c r="L1134" i="1"/>
  <c r="K1134" i="1"/>
  <c r="L1760" i="1"/>
  <c r="K1760" i="1"/>
  <c r="L486" i="1"/>
  <c r="K486" i="1"/>
  <c r="L1468" i="1"/>
  <c r="K1468" i="1"/>
  <c r="L597" i="1"/>
  <c r="K597" i="1"/>
  <c r="L1797" i="1"/>
  <c r="K1797" i="1"/>
  <c r="L1796" i="1"/>
  <c r="K1796" i="1"/>
  <c r="L1467" i="1"/>
  <c r="K1467" i="1"/>
  <c r="L1466" i="1"/>
  <c r="K1466" i="1"/>
  <c r="L1133" i="1"/>
  <c r="K1133" i="1"/>
  <c r="L596" i="1"/>
  <c r="K596" i="1"/>
  <c r="L1132" i="1"/>
  <c r="K1132" i="1"/>
  <c r="L1759" i="1"/>
  <c r="K1759" i="1"/>
  <c r="L1758" i="1"/>
  <c r="K1758" i="1"/>
  <c r="L563" i="1"/>
  <c r="K563" i="1"/>
  <c r="L595" i="1"/>
  <c r="K595" i="1"/>
  <c r="L1252" i="1"/>
  <c r="K1252" i="1"/>
  <c r="L1671" i="1"/>
  <c r="K1671" i="1"/>
  <c r="L1670" i="1"/>
  <c r="K1670" i="1"/>
  <c r="L1669" i="1"/>
  <c r="K1669" i="1"/>
  <c r="L1914" i="1"/>
  <c r="K1914" i="1"/>
  <c r="L1913" i="1"/>
  <c r="K1913" i="1"/>
  <c r="L1912" i="1"/>
  <c r="K1912" i="1"/>
  <c r="L638" i="1"/>
  <c r="K638" i="1"/>
  <c r="L637" i="1"/>
  <c r="K637" i="1"/>
  <c r="L636" i="1"/>
  <c r="K636" i="1"/>
  <c r="L1304" i="1"/>
  <c r="K1304" i="1"/>
  <c r="L1303" i="1"/>
  <c r="K1303" i="1"/>
  <c r="L1302" i="1"/>
  <c r="K1302" i="1"/>
  <c r="L1988" i="1"/>
  <c r="K1988" i="1"/>
  <c r="L1987" i="1"/>
  <c r="K1987" i="1"/>
  <c r="L1986" i="1"/>
  <c r="K1986" i="1"/>
  <c r="L177" i="1"/>
  <c r="K177" i="1"/>
  <c r="L176" i="1"/>
  <c r="K176" i="1"/>
  <c r="L175" i="1"/>
  <c r="K175" i="1"/>
  <c r="L174" i="1"/>
  <c r="K174" i="1"/>
  <c r="L173" i="1"/>
  <c r="K173" i="1"/>
  <c r="L1301" i="1"/>
  <c r="K1301" i="1"/>
  <c r="L1300" i="1"/>
  <c r="K1300" i="1"/>
  <c r="L635" i="1"/>
  <c r="K635" i="1"/>
  <c r="L634" i="1"/>
  <c r="K634" i="1"/>
  <c r="L2170" i="1"/>
  <c r="K2170" i="1"/>
  <c r="L1082" i="1"/>
  <c r="K1082" i="1"/>
  <c r="L1081" i="1"/>
  <c r="K1081" i="1"/>
  <c r="L1080" i="1"/>
  <c r="K1080" i="1"/>
  <c r="L1079" i="1"/>
  <c r="K1079" i="1"/>
  <c r="L1078" i="1"/>
  <c r="K1078" i="1"/>
  <c r="L2169" i="1"/>
  <c r="K2169" i="1"/>
  <c r="L1911" i="1"/>
  <c r="K1911" i="1"/>
  <c r="L1910" i="1"/>
  <c r="K1910" i="1"/>
  <c r="L2168" i="1"/>
  <c r="K2168" i="1"/>
  <c r="L2167" i="1"/>
  <c r="K2167" i="1"/>
  <c r="L2166" i="1"/>
  <c r="K2166" i="1"/>
  <c r="L894" i="1"/>
  <c r="K894" i="1"/>
  <c r="L893" i="1"/>
  <c r="K893" i="1"/>
  <c r="L892" i="1"/>
  <c r="K892" i="1"/>
  <c r="L443" i="1"/>
  <c r="K443" i="1"/>
  <c r="L1985" i="1"/>
  <c r="K1985" i="1"/>
  <c r="L1984" i="1"/>
  <c r="K1984" i="1"/>
  <c r="L400" i="1"/>
  <c r="K400" i="1"/>
  <c r="L399" i="1"/>
  <c r="K399" i="1"/>
  <c r="L297" i="1"/>
  <c r="K297" i="1"/>
  <c r="L296" i="1"/>
  <c r="K296" i="1"/>
  <c r="L295" i="1"/>
  <c r="K295" i="1"/>
  <c r="L981" i="1"/>
  <c r="K981" i="1"/>
  <c r="L294" i="1"/>
  <c r="K294" i="1"/>
  <c r="L293" i="1"/>
  <c r="K293" i="1"/>
  <c r="L398" i="1"/>
  <c r="K398" i="1"/>
  <c r="L397" i="1"/>
  <c r="K397" i="1"/>
  <c r="L396" i="1"/>
  <c r="K396" i="1"/>
  <c r="L1572" i="1"/>
  <c r="K1572" i="1"/>
  <c r="L1571" i="1"/>
  <c r="K1571" i="1"/>
  <c r="L1570" i="1"/>
  <c r="K1570" i="1"/>
  <c r="L1569" i="1"/>
  <c r="K1569" i="1"/>
  <c r="L1568" i="1"/>
  <c r="K1568" i="1"/>
  <c r="L1739" i="1"/>
  <c r="K1739" i="1"/>
  <c r="L1738" i="1"/>
  <c r="K1738" i="1"/>
  <c r="L1737" i="1"/>
  <c r="K1737" i="1"/>
  <c r="L2297" i="1"/>
  <c r="K2297" i="1"/>
  <c r="L2296" i="1"/>
  <c r="K2296" i="1"/>
  <c r="L137" i="1"/>
  <c r="K137" i="1"/>
  <c r="L136" i="1"/>
  <c r="K136" i="1"/>
  <c r="L135" i="1"/>
  <c r="K135" i="1"/>
  <c r="L134" i="1"/>
  <c r="K134" i="1"/>
  <c r="L1029" i="1"/>
  <c r="K1029" i="1"/>
  <c r="L133" i="1"/>
  <c r="K133" i="1"/>
  <c r="L1028" i="1"/>
  <c r="K1028" i="1"/>
  <c r="L1027" i="1"/>
  <c r="K1027" i="1"/>
  <c r="L1026" i="1"/>
  <c r="K1026" i="1"/>
  <c r="L1025" i="1"/>
  <c r="K1025" i="1"/>
  <c r="L2332" i="1"/>
  <c r="K2332" i="1"/>
  <c r="L2331" i="1"/>
  <c r="K2331" i="1"/>
  <c r="L2330" i="1"/>
  <c r="K2330" i="1"/>
  <c r="L2329" i="1"/>
  <c r="K2329" i="1"/>
  <c r="L725" i="1"/>
  <c r="K725" i="1"/>
  <c r="L724" i="1"/>
  <c r="K724" i="1"/>
  <c r="L723" i="1"/>
  <c r="K723" i="1"/>
  <c r="L2064" i="1"/>
  <c r="K2064" i="1"/>
  <c r="L2063" i="1"/>
  <c r="K2063" i="1"/>
  <c r="L2062" i="1"/>
  <c r="K2062" i="1"/>
  <c r="L2061" i="1"/>
  <c r="K2061" i="1"/>
  <c r="L1736" i="1"/>
  <c r="K1736" i="1"/>
  <c r="L1735" i="1"/>
  <c r="K1735" i="1"/>
  <c r="L2060" i="1"/>
  <c r="K2060" i="1"/>
  <c r="L2295" i="1"/>
  <c r="K2295" i="1"/>
  <c r="L2294" i="1"/>
  <c r="K2294" i="1"/>
  <c r="L2293" i="1"/>
  <c r="K2293" i="1"/>
  <c r="L2328" i="1"/>
  <c r="K2328" i="1"/>
  <c r="L1668" i="1"/>
  <c r="K1668" i="1"/>
  <c r="L2327" i="1"/>
  <c r="K2327" i="1"/>
  <c r="L2326" i="1"/>
  <c r="K2326" i="1"/>
  <c r="L2256" i="1"/>
  <c r="K2256" i="1"/>
  <c r="L2255" i="1"/>
  <c r="K2255" i="1"/>
  <c r="L2104" i="1"/>
  <c r="K2104" i="1"/>
  <c r="L2103" i="1"/>
  <c r="K2103" i="1"/>
  <c r="L1646" i="1"/>
  <c r="K1646" i="1"/>
  <c r="L1645" i="1"/>
  <c r="K1645" i="1"/>
  <c r="L1644" i="1"/>
  <c r="K1644" i="1"/>
  <c r="L1643" i="1"/>
  <c r="K1643" i="1"/>
  <c r="L1608" i="1"/>
  <c r="K1608" i="1"/>
  <c r="L1607" i="1"/>
  <c r="K1607" i="1"/>
  <c r="L1606" i="1"/>
  <c r="K1606" i="1"/>
  <c r="L1605" i="1"/>
  <c r="K1605" i="1"/>
  <c r="L1465" i="1"/>
  <c r="K1465" i="1"/>
  <c r="L1464" i="1"/>
  <c r="K1464" i="1"/>
  <c r="L1463" i="1"/>
  <c r="K1463" i="1"/>
  <c r="L1462" i="1"/>
  <c r="K1462" i="1"/>
  <c r="L1461" i="1"/>
  <c r="K1461" i="1"/>
  <c r="L1508" i="1"/>
  <c r="K1508" i="1"/>
  <c r="L1212" i="1"/>
  <c r="K1212" i="1"/>
  <c r="L1211" i="1"/>
  <c r="K1211" i="1"/>
  <c r="L980" i="1"/>
  <c r="K980" i="1"/>
  <c r="L979" i="1"/>
  <c r="K979" i="1"/>
  <c r="L978" i="1"/>
  <c r="K978" i="1"/>
  <c r="L945" i="1"/>
  <c r="K945" i="1"/>
  <c r="L944" i="1"/>
  <c r="K944" i="1"/>
  <c r="L943" i="1"/>
  <c r="K943" i="1"/>
  <c r="L942" i="1"/>
  <c r="K942" i="1"/>
  <c r="L891" i="1"/>
  <c r="K891" i="1"/>
  <c r="L890" i="1"/>
  <c r="K890" i="1"/>
  <c r="L455" i="1"/>
  <c r="K455" i="1"/>
  <c r="L454" i="1"/>
  <c r="K454" i="1"/>
  <c r="L485" i="1"/>
  <c r="K485" i="1"/>
  <c r="L484" i="1"/>
  <c r="K484" i="1"/>
  <c r="L342" i="1"/>
  <c r="K342" i="1"/>
  <c r="L341" i="1"/>
  <c r="K341" i="1"/>
  <c r="L340" i="1"/>
  <c r="K340" i="1"/>
  <c r="L213" i="1"/>
  <c r="K213" i="1"/>
  <c r="L212" i="1"/>
  <c r="K212" i="1"/>
  <c r="L211" i="1"/>
  <c r="K211" i="1"/>
  <c r="L210" i="1"/>
  <c r="K210" i="1"/>
  <c r="L209" i="1"/>
  <c r="K209" i="1"/>
  <c r="L1210" i="1"/>
  <c r="K1210" i="1"/>
  <c r="L1209" i="1"/>
  <c r="K1209" i="1"/>
  <c r="L1208" i="1"/>
  <c r="K1208" i="1"/>
  <c r="L48" i="1"/>
  <c r="K48" i="1"/>
  <c r="L47" i="1"/>
  <c r="K47" i="1"/>
  <c r="L46" i="1"/>
  <c r="K46" i="1"/>
  <c r="L45" i="1"/>
  <c r="K45" i="1"/>
  <c r="L44" i="1"/>
  <c r="K44" i="1"/>
  <c r="L2214" i="1"/>
  <c r="K2214" i="1"/>
  <c r="L2059" i="1"/>
  <c r="K2059" i="1"/>
  <c r="L2058" i="1"/>
  <c r="K2058" i="1"/>
  <c r="L2036" i="1"/>
  <c r="K2036" i="1"/>
  <c r="L1567" i="1"/>
  <c r="K1567" i="1"/>
  <c r="L1251" i="1"/>
  <c r="K1251" i="1"/>
  <c r="L1415" i="1"/>
  <c r="K1415" i="1"/>
  <c r="L1414" i="1"/>
  <c r="K1414" i="1"/>
  <c r="L1299" i="1"/>
  <c r="K1299" i="1"/>
  <c r="L1131" i="1"/>
  <c r="K1131" i="1"/>
  <c r="L1130" i="1"/>
  <c r="K1130" i="1"/>
  <c r="L1108" i="1"/>
  <c r="K1108" i="1"/>
  <c r="L1107" i="1"/>
  <c r="K1107" i="1"/>
  <c r="L1077" i="1"/>
  <c r="K1077" i="1"/>
  <c r="L1076" i="1"/>
  <c r="K1076" i="1"/>
  <c r="L1024" i="1"/>
  <c r="K1024" i="1"/>
  <c r="L1023" i="1"/>
  <c r="K1023" i="1"/>
  <c r="L722" i="1"/>
  <c r="K722" i="1"/>
  <c r="L633" i="1"/>
  <c r="K633" i="1"/>
  <c r="L632" i="1"/>
  <c r="K632" i="1"/>
  <c r="L594" i="1"/>
  <c r="K594" i="1"/>
  <c r="L593" i="1"/>
  <c r="K593" i="1"/>
  <c r="L562" i="1"/>
  <c r="K562" i="1"/>
  <c r="L442" i="1"/>
  <c r="K442" i="1"/>
  <c r="L441" i="1"/>
  <c r="K441" i="1"/>
  <c r="L172" i="1"/>
  <c r="K172" i="1"/>
  <c r="L171" i="1"/>
  <c r="K171" i="1"/>
  <c r="L20" i="1"/>
  <c r="K20" i="1"/>
  <c r="L395" i="1"/>
  <c r="K395" i="1"/>
  <c r="L394" i="1"/>
  <c r="K394" i="1"/>
  <c r="L393" i="1"/>
  <c r="K393" i="1"/>
  <c r="L247" i="1"/>
  <c r="K247" i="1"/>
  <c r="L246" i="1"/>
  <c r="K246" i="1"/>
  <c r="L85" i="1"/>
  <c r="K85" i="1"/>
  <c r="L132" i="1"/>
  <c r="K132" i="1"/>
  <c r="L131" i="1"/>
  <c r="K131" i="1"/>
  <c r="L2292" i="1"/>
  <c r="K2292" i="1"/>
  <c r="L2165" i="1"/>
  <c r="K2165" i="1"/>
  <c r="L2164" i="1"/>
  <c r="K2164" i="1"/>
  <c r="L1734" i="1"/>
  <c r="K1734" i="1"/>
  <c r="L1733" i="1"/>
  <c r="K1733" i="1"/>
  <c r="L1795" i="1"/>
  <c r="K1795" i="1"/>
  <c r="L1842" i="1"/>
  <c r="K1842" i="1"/>
  <c r="L1841" i="1"/>
  <c r="K1841" i="1"/>
  <c r="L1757" i="1"/>
  <c r="K1757" i="1"/>
  <c r="L1695" i="1"/>
  <c r="K1695" i="1"/>
  <c r="L1341" i="1"/>
  <c r="K1341" i="1"/>
  <c r="L1340" i="1"/>
  <c r="K1340" i="1"/>
  <c r="L1368" i="1"/>
  <c r="K1368" i="1"/>
  <c r="L1167" i="1"/>
  <c r="K1167" i="1"/>
  <c r="L1166" i="1"/>
  <c r="K1166" i="1"/>
  <c r="L678" i="1"/>
  <c r="K678" i="1"/>
  <c r="L677" i="1"/>
  <c r="K677" i="1"/>
  <c r="L292" i="1"/>
  <c r="K292" i="1"/>
  <c r="L291" i="1"/>
  <c r="K291" i="1"/>
  <c r="L530" i="1"/>
  <c r="K530" i="1"/>
  <c r="L2163" i="1"/>
  <c r="K2163" i="1"/>
  <c r="L2162" i="1"/>
  <c r="K2162" i="1"/>
  <c r="L2057" i="1"/>
  <c r="K2057" i="1"/>
  <c r="L2056" i="1"/>
  <c r="K2056" i="1"/>
  <c r="L1840" i="1"/>
  <c r="K1840" i="1"/>
  <c r="L1839" i="1"/>
  <c r="K1839" i="1"/>
  <c r="L1756" i="1"/>
  <c r="K1756" i="1"/>
  <c r="L1755" i="1"/>
  <c r="K1755" i="1"/>
  <c r="L1694" i="1"/>
  <c r="K1694" i="1"/>
  <c r="L1693" i="1"/>
  <c r="K1693" i="1"/>
  <c r="L1566" i="1"/>
  <c r="K1566" i="1"/>
  <c r="L1565" i="1"/>
  <c r="K1565" i="1"/>
  <c r="L1250" i="1"/>
  <c r="K1250" i="1"/>
  <c r="L1249" i="1"/>
  <c r="K1249" i="1"/>
  <c r="L1339" i="1"/>
  <c r="K1339" i="1"/>
  <c r="L1338" i="1"/>
  <c r="K1338" i="1"/>
  <c r="L1413" i="1"/>
  <c r="K1413" i="1"/>
  <c r="L1129" i="1"/>
  <c r="K1129" i="1"/>
  <c r="L1128" i="1"/>
  <c r="K1128" i="1"/>
  <c r="L1165" i="1"/>
  <c r="K1165" i="1"/>
  <c r="L1164" i="1"/>
  <c r="K1164" i="1"/>
  <c r="L1075" i="1"/>
  <c r="K1075" i="1"/>
  <c r="L1074" i="1"/>
  <c r="K1074" i="1"/>
  <c r="L1022" i="1"/>
  <c r="K1022" i="1"/>
  <c r="L1021" i="1"/>
  <c r="K1021" i="1"/>
  <c r="L676" i="1"/>
  <c r="K676" i="1"/>
  <c r="L675" i="1"/>
  <c r="K675" i="1"/>
  <c r="L721" i="1"/>
  <c r="K721" i="1"/>
  <c r="L720" i="1"/>
  <c r="K720" i="1"/>
  <c r="L592" i="1"/>
  <c r="K592" i="1"/>
  <c r="L591" i="1"/>
  <c r="K591" i="1"/>
  <c r="L561" i="1"/>
  <c r="K561" i="1"/>
  <c r="L560" i="1"/>
  <c r="K560" i="1"/>
  <c r="L440" i="1"/>
  <c r="K440" i="1"/>
  <c r="L439" i="1"/>
  <c r="K439" i="1"/>
  <c r="L170" i="1"/>
  <c r="K170" i="1"/>
  <c r="L169" i="1"/>
  <c r="K169" i="1"/>
  <c r="L2291" i="1"/>
  <c r="K2291" i="1"/>
  <c r="L2290" i="1"/>
  <c r="K2290" i="1"/>
  <c r="L2213" i="1"/>
  <c r="K2213" i="1"/>
  <c r="L2212" i="1"/>
  <c r="K2212" i="1"/>
  <c r="L2035" i="1"/>
  <c r="K2035" i="1"/>
  <c r="L2034" i="1"/>
  <c r="K2034" i="1"/>
  <c r="L1732" i="1"/>
  <c r="K1732" i="1"/>
  <c r="L1731" i="1"/>
  <c r="K1731" i="1"/>
  <c r="L1794" i="1"/>
  <c r="K1794" i="1"/>
  <c r="L1793" i="1"/>
  <c r="K1793" i="1"/>
  <c r="L1367" i="1"/>
  <c r="K1367" i="1"/>
  <c r="L1366" i="1"/>
  <c r="K1366" i="1"/>
  <c r="L1298" i="1"/>
  <c r="K1298" i="1"/>
  <c r="L1297" i="1"/>
  <c r="K1297" i="1"/>
  <c r="L1106" i="1"/>
  <c r="K1106" i="1"/>
  <c r="L1105" i="1"/>
  <c r="K1105" i="1"/>
  <c r="L631" i="1"/>
  <c r="K631" i="1"/>
  <c r="L630" i="1"/>
  <c r="K630" i="1"/>
  <c r="L290" i="1"/>
  <c r="K290" i="1"/>
  <c r="L289" i="1"/>
  <c r="K289" i="1"/>
  <c r="L529" i="1"/>
  <c r="K529" i="1"/>
  <c r="L528" i="1"/>
  <c r="K528" i="1"/>
  <c r="L2325" i="1"/>
  <c r="K2325" i="1"/>
  <c r="L2324" i="1"/>
  <c r="K2324" i="1"/>
  <c r="L2289" i="1"/>
  <c r="K2289" i="1"/>
  <c r="L2211" i="1"/>
  <c r="K2211" i="1"/>
  <c r="L2102" i="1"/>
  <c r="K2102" i="1"/>
  <c r="L2101" i="1"/>
  <c r="K2101" i="1"/>
  <c r="L1754" i="1"/>
  <c r="K1754" i="1"/>
  <c r="L1692" i="1"/>
  <c r="K1692" i="1"/>
  <c r="L1564" i="1"/>
  <c r="K1564" i="1"/>
  <c r="L1248" i="1"/>
  <c r="K1248" i="1"/>
  <c r="L245" i="1"/>
  <c r="K245" i="1"/>
  <c r="L244" i="1"/>
  <c r="K244" i="1"/>
  <c r="L130" i="1"/>
  <c r="K130" i="1"/>
  <c r="L129" i="1"/>
  <c r="K129" i="1"/>
  <c r="L2033" i="1"/>
  <c r="K2033" i="1"/>
  <c r="L1792" i="1"/>
  <c r="K1792" i="1"/>
  <c r="L1365" i="1"/>
  <c r="K1365" i="1"/>
  <c r="L1296" i="1"/>
  <c r="K1296" i="1"/>
  <c r="L84" i="1"/>
  <c r="K84" i="1"/>
  <c r="L83" i="1"/>
  <c r="K83" i="1"/>
  <c r="L2100" i="1"/>
  <c r="K2100" i="1"/>
  <c r="L2099" i="1"/>
  <c r="K2099" i="1"/>
  <c r="L1563" i="1"/>
  <c r="K1563" i="1"/>
  <c r="L1562" i="1"/>
  <c r="K1562" i="1"/>
  <c r="L941" i="1"/>
  <c r="K941" i="1"/>
  <c r="L940" i="1"/>
  <c r="K940" i="1"/>
  <c r="L939" i="1"/>
  <c r="K939" i="1"/>
  <c r="L938" i="1"/>
  <c r="K938" i="1"/>
  <c r="L937" i="1"/>
  <c r="K937" i="1"/>
  <c r="L889" i="1"/>
  <c r="K889" i="1"/>
  <c r="L888" i="1"/>
  <c r="K888" i="1"/>
  <c r="L719" i="1"/>
  <c r="K719" i="1"/>
  <c r="L718" i="1"/>
  <c r="K718" i="1"/>
  <c r="L717" i="1"/>
  <c r="K717" i="1"/>
  <c r="L716" i="1"/>
  <c r="K716" i="1"/>
  <c r="L674" i="1"/>
  <c r="K674" i="1"/>
  <c r="L673" i="1"/>
  <c r="K673" i="1"/>
  <c r="L672" i="1"/>
  <c r="K672" i="1"/>
  <c r="L671" i="1"/>
  <c r="K671" i="1"/>
  <c r="L670" i="1"/>
  <c r="K670" i="1"/>
  <c r="L590" i="1"/>
  <c r="K590" i="1"/>
  <c r="L589" i="1"/>
  <c r="K589" i="1"/>
  <c r="L588" i="1"/>
  <c r="K588" i="1"/>
  <c r="L587" i="1"/>
  <c r="K587" i="1"/>
  <c r="L586" i="1"/>
  <c r="K586" i="1"/>
  <c r="L527" i="1"/>
  <c r="K527" i="1"/>
  <c r="L392" i="1"/>
  <c r="K392" i="1"/>
  <c r="L339" i="1"/>
  <c r="K339" i="1"/>
  <c r="L338" i="1"/>
  <c r="K338" i="1"/>
  <c r="L337" i="1"/>
  <c r="K337" i="1"/>
  <c r="L336" i="1"/>
  <c r="K336" i="1"/>
  <c r="L335" i="1"/>
  <c r="K335" i="1"/>
  <c r="L288" i="1"/>
  <c r="K288" i="1"/>
  <c r="L287" i="1"/>
  <c r="K287" i="1"/>
  <c r="L168" i="1"/>
  <c r="K168" i="1"/>
  <c r="L167" i="1"/>
  <c r="K167" i="1"/>
  <c r="L128" i="1"/>
  <c r="K128" i="1"/>
  <c r="L127" i="1"/>
  <c r="K127" i="1"/>
  <c r="L126" i="1"/>
  <c r="K126" i="1"/>
  <c r="L125" i="1"/>
  <c r="K125" i="1"/>
  <c r="L124" i="1"/>
  <c r="K124" i="1"/>
  <c r="L1983" i="1"/>
  <c r="K1983" i="1"/>
  <c r="L1982" i="1"/>
  <c r="K1982" i="1"/>
  <c r="L1561" i="1"/>
  <c r="K1561" i="1"/>
  <c r="L1560" i="1"/>
  <c r="K1560" i="1"/>
  <c r="L1559" i="1"/>
  <c r="K1559" i="1"/>
  <c r="L1295" i="1"/>
  <c r="K1295" i="1"/>
  <c r="L1294" i="1"/>
  <c r="K1294" i="1"/>
  <c r="L887" i="1"/>
  <c r="K887" i="1"/>
  <c r="L886" i="1"/>
  <c r="K886" i="1"/>
  <c r="L885" i="1"/>
  <c r="K885" i="1"/>
  <c r="L526" i="1"/>
  <c r="K526" i="1"/>
  <c r="L525" i="1"/>
  <c r="K525" i="1"/>
  <c r="L524" i="1"/>
  <c r="K524" i="1"/>
  <c r="L1001" i="1"/>
  <c r="K1001" i="1"/>
  <c r="L2098" i="1"/>
  <c r="K2098" i="1"/>
  <c r="L2097" i="1"/>
  <c r="K2097" i="1"/>
  <c r="L1981" i="1"/>
  <c r="K1981" i="1"/>
  <c r="L1980" i="1"/>
  <c r="K1980" i="1"/>
  <c r="L1507" i="1"/>
  <c r="K1507" i="1"/>
  <c r="L1506" i="1"/>
  <c r="K1506" i="1"/>
  <c r="L1293" i="1"/>
  <c r="K1293" i="1"/>
  <c r="L1292" i="1"/>
  <c r="K1292" i="1"/>
  <c r="L391" i="1"/>
  <c r="K391" i="1"/>
  <c r="L390" i="1"/>
  <c r="K390" i="1"/>
  <c r="L389" i="1"/>
  <c r="K389" i="1"/>
  <c r="L166" i="1"/>
  <c r="K166" i="1"/>
  <c r="L165" i="1"/>
  <c r="K165" i="1"/>
  <c r="L1505" i="1"/>
  <c r="K1505" i="1"/>
  <c r="L1504" i="1"/>
  <c r="K1504" i="1"/>
  <c r="L1503" i="1"/>
  <c r="K1503" i="1"/>
  <c r="L388" i="1"/>
  <c r="K388" i="1"/>
  <c r="L387" i="1"/>
  <c r="K387" i="1"/>
  <c r="L2161" i="1"/>
  <c r="K2161" i="1"/>
  <c r="L2160" i="1"/>
  <c r="K2160" i="1"/>
  <c r="L1979" i="1"/>
  <c r="K1979" i="1"/>
  <c r="L1978" i="1"/>
  <c r="K1978" i="1"/>
  <c r="L1977" i="1"/>
  <c r="K1977" i="1"/>
  <c r="L2210" i="1"/>
  <c r="K2210" i="1"/>
  <c r="L2209" i="1"/>
  <c r="K2209" i="1"/>
  <c r="L208" i="1"/>
  <c r="K208" i="1"/>
  <c r="L207" i="1"/>
  <c r="K207" i="1"/>
  <c r="L386" i="1"/>
  <c r="K386" i="1"/>
  <c r="L1976" i="1"/>
  <c r="K1976" i="1"/>
  <c r="L1975" i="1"/>
  <c r="K1975" i="1"/>
  <c r="L1412" i="1"/>
  <c r="K1412" i="1"/>
  <c r="L1411" i="1"/>
  <c r="K1411" i="1"/>
  <c r="L82" i="1"/>
  <c r="K82" i="1"/>
  <c r="L2159" i="1"/>
  <c r="K2159" i="1"/>
  <c r="L2208" i="1"/>
  <c r="K2208" i="1"/>
  <c r="L2207" i="1"/>
  <c r="K2207" i="1"/>
  <c r="L1020" i="1"/>
  <c r="K1020" i="1"/>
  <c r="L1019" i="1"/>
  <c r="K1019" i="1"/>
  <c r="L1018" i="1"/>
  <c r="K1018" i="1"/>
  <c r="L1017" i="1"/>
  <c r="K1017" i="1"/>
  <c r="L1487" i="1"/>
  <c r="K1487" i="1"/>
  <c r="L1016" i="1"/>
  <c r="K1016" i="1"/>
  <c r="L1938" i="1"/>
  <c r="K1938" i="1"/>
  <c r="L1937" i="1"/>
  <c r="K1937" i="1"/>
  <c r="L2032" i="1"/>
  <c r="K2032" i="1"/>
  <c r="L2031" i="1"/>
  <c r="K2031" i="1"/>
  <c r="L2030" i="1"/>
  <c r="K2030" i="1"/>
  <c r="L43" i="1"/>
  <c r="K43" i="1"/>
  <c r="L42" i="1"/>
  <c r="K42" i="1"/>
  <c r="L41" i="1"/>
  <c r="K41" i="1"/>
  <c r="L884" i="1"/>
  <c r="K884" i="1"/>
  <c r="L883" i="1"/>
  <c r="K883" i="1"/>
  <c r="L1974" i="1"/>
  <c r="K1974" i="1"/>
  <c r="L1973" i="1"/>
  <c r="K1973" i="1"/>
  <c r="L669" i="1"/>
  <c r="K669" i="1"/>
  <c r="L668" i="1"/>
  <c r="K668" i="1"/>
  <c r="L2029" i="1"/>
  <c r="K2029" i="1"/>
  <c r="L2028" i="1"/>
  <c r="K2028" i="1"/>
  <c r="L1502" i="1"/>
  <c r="K1502" i="1"/>
  <c r="L1501" i="1"/>
  <c r="K1501" i="1"/>
  <c r="L1291" i="1"/>
  <c r="K1291" i="1"/>
  <c r="L1290" i="1"/>
  <c r="K1290" i="1"/>
  <c r="L629" i="1"/>
  <c r="K629" i="1"/>
  <c r="L628" i="1"/>
  <c r="K628" i="1"/>
  <c r="L627" i="1"/>
  <c r="K627" i="1"/>
  <c r="L81" i="1"/>
  <c r="K81" i="1"/>
  <c r="L80" i="1"/>
  <c r="K80" i="1"/>
  <c r="L79" i="1"/>
  <c r="K79" i="1"/>
  <c r="L2096" i="1"/>
  <c r="K2096" i="1"/>
  <c r="L523" i="1"/>
  <c r="K523" i="1"/>
  <c r="L522" i="1"/>
  <c r="K522" i="1"/>
  <c r="L521" i="1"/>
  <c r="K521" i="1"/>
  <c r="L1364" i="1"/>
  <c r="K1364" i="1"/>
  <c r="L2254" i="1"/>
  <c r="K2254" i="1"/>
  <c r="L2253" i="1"/>
  <c r="K2253" i="1"/>
  <c r="L2239" i="1"/>
  <c r="K2239" i="1"/>
  <c r="L2238" i="1"/>
  <c r="K2238" i="1"/>
  <c r="L483" i="1"/>
  <c r="K483" i="1"/>
  <c r="L977" i="1"/>
  <c r="K977" i="1"/>
  <c r="L438" i="1"/>
  <c r="K438" i="1"/>
  <c r="L437" i="1"/>
  <c r="K437" i="1"/>
  <c r="L976" i="1"/>
  <c r="K976" i="1"/>
  <c r="L436" i="1"/>
  <c r="K436" i="1"/>
  <c r="L482" i="1"/>
  <c r="K482" i="1"/>
  <c r="L481" i="1"/>
  <c r="K481" i="1"/>
  <c r="L2206" i="1"/>
  <c r="K2206" i="1"/>
  <c r="L2205" i="1"/>
  <c r="K2205" i="1"/>
  <c r="L2288" i="1"/>
  <c r="K2288" i="1"/>
  <c r="L2287" i="1"/>
  <c r="K2287" i="1"/>
  <c r="L936" i="1"/>
  <c r="K936" i="1"/>
  <c r="L1410" i="1"/>
  <c r="K1410" i="1"/>
  <c r="L935" i="1"/>
  <c r="K935" i="1"/>
  <c r="L934" i="1"/>
  <c r="K934" i="1"/>
  <c r="L933" i="1"/>
  <c r="K933" i="1"/>
  <c r="L453" i="1"/>
  <c r="K453" i="1"/>
  <c r="L452" i="1"/>
  <c r="K452" i="1"/>
  <c r="L1409" i="1"/>
  <c r="K1409" i="1"/>
  <c r="L1408" i="1"/>
  <c r="K1408" i="1"/>
  <c r="L451" i="1"/>
  <c r="K451" i="1"/>
  <c r="L1407" i="1"/>
  <c r="K1407" i="1"/>
  <c r="L450" i="1"/>
  <c r="K450" i="1"/>
  <c r="L449" i="1"/>
  <c r="K449" i="1"/>
  <c r="L2286" i="1"/>
  <c r="K2286" i="1"/>
  <c r="L2285" i="1"/>
  <c r="K2285" i="1"/>
  <c r="L2284" i="1"/>
  <c r="K2284" i="1"/>
  <c r="L1972" i="1"/>
  <c r="K1972" i="1"/>
  <c r="L334" i="1"/>
  <c r="K334" i="1"/>
  <c r="L1247" i="1"/>
  <c r="K1247" i="1"/>
  <c r="L559" i="1"/>
  <c r="K559" i="1"/>
  <c r="L558" i="1"/>
  <c r="K558" i="1"/>
  <c r="L557" i="1"/>
  <c r="K557" i="1"/>
  <c r="L556" i="1"/>
  <c r="K556" i="1"/>
  <c r="L333" i="1"/>
  <c r="K333" i="1"/>
  <c r="L332" i="1"/>
  <c r="K332" i="1"/>
  <c r="L1246" i="1"/>
  <c r="K1246" i="1"/>
  <c r="L1245" i="1"/>
  <c r="K1245" i="1"/>
  <c r="L1244" i="1"/>
  <c r="K1244" i="1"/>
  <c r="L555" i="1"/>
  <c r="K555" i="1"/>
  <c r="L331" i="1"/>
  <c r="K331" i="1"/>
  <c r="L1243" i="1"/>
  <c r="K1243" i="1"/>
  <c r="L206" i="1"/>
  <c r="K206" i="1"/>
  <c r="L123" i="1"/>
  <c r="K123" i="1"/>
  <c r="L122" i="1"/>
  <c r="K122" i="1"/>
  <c r="L121" i="1"/>
  <c r="K121" i="1"/>
  <c r="L385" i="1"/>
  <c r="K385" i="1"/>
  <c r="L2204" i="1"/>
  <c r="K2204" i="1"/>
  <c r="L2203" i="1"/>
  <c r="K2203" i="1"/>
  <c r="L2202" i="1"/>
  <c r="K2202" i="1"/>
  <c r="L158" i="1"/>
  <c r="K158" i="1"/>
  <c r="L157" i="1"/>
  <c r="K157" i="1"/>
  <c r="L164" i="1"/>
  <c r="K164" i="1"/>
  <c r="L163" i="1"/>
  <c r="K163" i="1"/>
  <c r="L2095" i="1"/>
  <c r="K2095" i="1"/>
  <c r="L2094" i="1"/>
  <c r="K2094" i="1"/>
  <c r="L1971" i="1"/>
  <c r="K1971" i="1"/>
  <c r="L1970" i="1"/>
  <c r="K1970" i="1"/>
  <c r="L1104" i="1"/>
  <c r="K1104" i="1"/>
  <c r="L1103" i="1"/>
  <c r="K1103" i="1"/>
  <c r="L1102" i="1"/>
  <c r="K1102" i="1"/>
  <c r="L1909" i="1"/>
  <c r="K1909" i="1"/>
  <c r="L2158" i="1"/>
  <c r="K2158" i="1"/>
  <c r="L2157" i="1"/>
  <c r="K2157" i="1"/>
  <c r="L1908" i="1"/>
  <c r="K1908" i="1"/>
  <c r="L1907" i="1"/>
  <c r="K1907" i="1"/>
  <c r="L2156" i="1"/>
  <c r="K2156" i="1"/>
  <c r="L1906" i="1"/>
  <c r="K1906" i="1"/>
  <c r="L1905" i="1"/>
  <c r="K1905" i="1"/>
  <c r="L2055" i="1"/>
  <c r="K2055" i="1"/>
  <c r="L2155" i="1"/>
  <c r="K2155" i="1"/>
  <c r="L2154" i="1"/>
  <c r="K2154" i="1"/>
  <c r="L1870" i="1"/>
  <c r="K1870" i="1"/>
  <c r="L1791" i="1"/>
  <c r="K1791" i="1"/>
  <c r="L975" i="1"/>
  <c r="K975" i="1"/>
  <c r="L974" i="1"/>
  <c r="K974" i="1"/>
  <c r="L1207" i="1"/>
  <c r="K1207" i="1"/>
  <c r="L1163" i="1"/>
  <c r="K1163" i="1"/>
  <c r="L1162" i="1"/>
  <c r="K1162" i="1"/>
  <c r="L1869" i="1"/>
  <c r="K1869" i="1"/>
  <c r="L585" i="1"/>
  <c r="K585" i="1"/>
  <c r="L584" i="1"/>
  <c r="K584" i="1"/>
  <c r="L1691" i="1"/>
  <c r="K1691" i="1"/>
  <c r="L2323" i="1"/>
  <c r="K2323" i="1"/>
  <c r="L2322" i="1"/>
  <c r="K2322" i="1"/>
  <c r="L1690" i="1"/>
  <c r="K1690" i="1"/>
  <c r="L1689" i="1"/>
  <c r="K1689" i="1"/>
  <c r="L2321" i="1"/>
  <c r="K2321" i="1"/>
  <c r="L2320" i="1"/>
  <c r="K2320" i="1"/>
  <c r="L2319" i="1"/>
  <c r="K2319" i="1"/>
  <c r="L243" i="1"/>
  <c r="K243" i="1"/>
  <c r="L242" i="1"/>
  <c r="K242" i="1"/>
  <c r="L1065" i="1"/>
  <c r="K1065" i="1"/>
  <c r="L78" i="1"/>
  <c r="K78" i="1"/>
  <c r="L77" i="1"/>
  <c r="K77" i="1"/>
  <c r="L1064" i="1"/>
  <c r="K1064" i="1"/>
  <c r="L1063" i="1"/>
  <c r="K1063" i="1"/>
  <c r="L1337" i="1"/>
  <c r="K1337" i="1"/>
  <c r="L1642" i="1"/>
  <c r="K1642" i="1"/>
  <c r="L1641" i="1"/>
  <c r="K1641" i="1"/>
  <c r="L1062" i="1"/>
  <c r="K1062" i="1"/>
  <c r="L1640" i="1"/>
  <c r="K1640" i="1"/>
  <c r="L1639" i="1"/>
  <c r="K1639" i="1"/>
  <c r="L1638" i="1"/>
  <c r="K1638" i="1"/>
  <c r="L1486" i="1"/>
  <c r="K1486" i="1"/>
  <c r="L2241" i="1"/>
  <c r="K2241" i="1"/>
  <c r="L2240" i="1"/>
  <c r="K2240" i="1"/>
  <c r="L1073" i="1"/>
  <c r="K1073" i="1"/>
  <c r="L1072" i="1"/>
  <c r="K1072" i="1"/>
  <c r="L2017" i="1"/>
  <c r="K2017" i="1"/>
  <c r="L2016" i="1"/>
  <c r="K2016" i="1"/>
  <c r="L286" i="1"/>
  <c r="K286" i="1"/>
  <c r="L285" i="1"/>
  <c r="K285" i="1"/>
  <c r="L1730" i="1"/>
  <c r="K1730" i="1"/>
  <c r="L1729" i="1"/>
  <c r="K1729" i="1"/>
  <c r="L1604" i="1"/>
  <c r="K1604" i="1"/>
  <c r="L1753" i="1"/>
  <c r="K1753" i="1"/>
  <c r="L1603" i="1"/>
  <c r="K1603" i="1"/>
  <c r="L1602" i="1"/>
  <c r="K1602" i="1"/>
  <c r="L1460" i="1"/>
  <c r="K1460" i="1"/>
  <c r="L1459" i="1"/>
  <c r="K1459" i="1"/>
  <c r="L1458" i="1"/>
  <c r="K1458" i="1"/>
  <c r="L1457" i="1"/>
  <c r="K1457" i="1"/>
  <c r="L1456" i="1"/>
  <c r="K1456" i="1"/>
  <c r="L1051" i="1"/>
  <c r="K1051" i="1"/>
  <c r="L715" i="1"/>
  <c r="K715" i="1"/>
  <c r="L714" i="1"/>
  <c r="K714" i="1"/>
  <c r="L713" i="1"/>
  <c r="K713" i="1"/>
  <c r="L712" i="1"/>
  <c r="K712" i="1"/>
  <c r="L711" i="1"/>
  <c r="K711" i="1"/>
  <c r="L156" i="1"/>
  <c r="K156" i="1"/>
  <c r="L155" i="1"/>
  <c r="K155" i="1"/>
  <c r="L1667" i="1"/>
  <c r="K1667" i="1"/>
  <c r="L1666" i="1"/>
  <c r="K1666" i="1"/>
  <c r="L19" i="1"/>
  <c r="K19" i="1"/>
  <c r="L18" i="1"/>
  <c r="K18" i="1"/>
  <c r="L17" i="1"/>
  <c r="K17" i="1"/>
  <c r="L1558" i="1"/>
  <c r="K1558" i="1"/>
  <c r="L1557" i="1"/>
  <c r="K1557" i="1"/>
  <c r="L1556" i="1"/>
  <c r="K1556" i="1"/>
  <c r="L1555" i="1"/>
  <c r="K1555" i="1"/>
  <c r="L1554" i="1"/>
  <c r="K1554" i="1"/>
  <c r="L1838" i="1"/>
  <c r="K1838" i="1"/>
  <c r="L1837" i="1"/>
  <c r="K1837" i="1"/>
  <c r="L1836" i="1"/>
  <c r="K1836" i="1"/>
  <c r="L1835" i="1"/>
  <c r="K1835" i="1"/>
  <c r="L1127" i="1"/>
  <c r="K1127" i="1"/>
  <c r="L1126" i="1"/>
  <c r="K1126" i="1"/>
  <c r="L1125" i="1"/>
  <c r="K1125" i="1"/>
  <c r="L1124" i="1"/>
  <c r="K1124" i="1"/>
  <c r="L1123" i="1"/>
  <c r="K1123" i="1"/>
  <c r="L330" i="1"/>
  <c r="K330" i="1"/>
  <c r="L329" i="1"/>
  <c r="K329" i="1"/>
  <c r="L328" i="1"/>
  <c r="K328" i="1"/>
  <c r="L327" i="1"/>
  <c r="K327" i="1"/>
  <c r="L435" i="1"/>
  <c r="K435" i="1"/>
  <c r="L434" i="1"/>
  <c r="K434" i="1"/>
  <c r="L433" i="1"/>
  <c r="K433" i="1"/>
  <c r="L326" i="1"/>
  <c r="K326" i="1"/>
  <c r="L882" i="1"/>
  <c r="K882" i="1"/>
  <c r="L881" i="1"/>
  <c r="K881" i="1"/>
  <c r="L880" i="1"/>
  <c r="K880" i="1"/>
  <c r="L1500" i="1"/>
  <c r="K1500" i="1"/>
  <c r="L1499" i="1"/>
  <c r="K1499" i="1"/>
  <c r="L40" i="1"/>
  <c r="K40" i="1"/>
  <c r="L39" i="1"/>
  <c r="K39" i="1"/>
  <c r="L38" i="1"/>
  <c r="K38" i="1"/>
  <c r="L2201" i="1"/>
  <c r="K2201" i="1"/>
  <c r="L2200" i="1"/>
  <c r="K2200" i="1"/>
  <c r="L1790" i="1"/>
  <c r="K1790" i="1"/>
  <c r="L520" i="1"/>
  <c r="K520" i="1"/>
  <c r="L519" i="1"/>
  <c r="K519" i="1"/>
  <c r="L1363" i="1"/>
  <c r="K1363" i="1"/>
  <c r="L1161" i="1"/>
  <c r="K1161" i="1"/>
  <c r="L1160" i="1"/>
  <c r="K1160" i="1"/>
  <c r="L16" i="1"/>
  <c r="K16" i="1"/>
  <c r="L15" i="1"/>
  <c r="K15" i="1"/>
  <c r="L14" i="1"/>
  <c r="K14" i="1"/>
  <c r="L518" i="1"/>
  <c r="K518" i="1"/>
  <c r="L1206" i="1"/>
  <c r="K1206" i="1"/>
  <c r="L2153" i="1"/>
  <c r="K2153" i="1"/>
  <c r="L2152" i="1"/>
  <c r="K2152" i="1"/>
  <c r="L480" i="1"/>
  <c r="K480" i="1"/>
  <c r="L2151" i="1"/>
  <c r="K2151" i="1"/>
  <c r="L2150" i="1"/>
  <c r="K2150" i="1"/>
  <c r="L2149" i="1"/>
  <c r="K2149" i="1"/>
  <c r="L2318" i="1"/>
  <c r="K2318" i="1"/>
  <c r="L2317" i="1"/>
  <c r="K2317" i="1"/>
  <c r="L2316" i="1"/>
  <c r="K2316" i="1"/>
  <c r="L2315" i="1"/>
  <c r="K2315" i="1"/>
  <c r="L2314" i="1"/>
  <c r="K2314" i="1"/>
  <c r="L1336" i="1"/>
  <c r="K1336" i="1"/>
  <c r="L479" i="1"/>
  <c r="K479" i="1"/>
  <c r="L1122" i="1"/>
  <c r="K1122" i="1"/>
  <c r="L1121" i="1"/>
  <c r="K1121" i="1"/>
  <c r="L1120" i="1"/>
  <c r="K1120" i="1"/>
  <c r="L1119" i="1"/>
  <c r="K1119" i="1"/>
  <c r="L1118" i="1"/>
  <c r="K1118" i="1"/>
  <c r="L478" i="1"/>
  <c r="K478" i="1"/>
  <c r="L1015" i="1"/>
  <c r="K1015" i="1"/>
  <c r="L1014" i="1"/>
  <c r="K1014" i="1"/>
  <c r="L1013" i="1"/>
  <c r="K1013" i="1"/>
  <c r="L1012" i="1"/>
  <c r="K1012" i="1"/>
  <c r="L1011" i="1"/>
  <c r="K1011" i="1"/>
  <c r="L667" i="1"/>
  <c r="K667" i="1"/>
  <c r="L666" i="1"/>
  <c r="K666" i="1"/>
  <c r="L1752" i="1"/>
  <c r="K1752" i="1"/>
  <c r="L1406" i="1"/>
  <c r="K1406" i="1"/>
  <c r="L1405" i="1"/>
  <c r="K1405" i="1"/>
  <c r="L1404" i="1"/>
  <c r="K1404" i="1"/>
  <c r="L1403" i="1"/>
  <c r="K1403" i="1"/>
  <c r="L1402" i="1"/>
  <c r="K1402" i="1"/>
  <c r="L1242" i="1"/>
  <c r="K1242" i="1"/>
  <c r="L1241" i="1"/>
  <c r="K1241" i="1"/>
  <c r="L1240" i="1"/>
  <c r="K1240" i="1"/>
  <c r="L1239" i="1"/>
  <c r="K1239" i="1"/>
  <c r="L1238" i="1"/>
  <c r="K1238" i="1"/>
  <c r="L2199" i="1"/>
  <c r="K2199" i="1"/>
  <c r="L2198" i="1"/>
  <c r="K2198" i="1"/>
  <c r="L2197" i="1"/>
  <c r="K2197" i="1"/>
  <c r="L162" i="1"/>
  <c r="K162" i="1"/>
  <c r="L161" i="1"/>
  <c r="K161" i="1"/>
  <c r="L2093" i="1"/>
  <c r="K2093" i="1"/>
  <c r="L2092" i="1"/>
  <c r="K2092" i="1"/>
  <c r="L2091" i="1"/>
  <c r="K2091" i="1"/>
  <c r="L2054" i="1"/>
  <c r="K2054" i="1"/>
  <c r="L2053" i="1"/>
  <c r="K2053" i="1"/>
  <c r="L1553" i="1"/>
  <c r="K1553" i="1"/>
  <c r="L1552" i="1"/>
  <c r="K1552" i="1"/>
  <c r="L1551" i="1"/>
  <c r="K1551" i="1"/>
  <c r="L1550" i="1"/>
  <c r="K1550" i="1"/>
  <c r="L1549" i="1"/>
  <c r="K1549" i="1"/>
  <c r="L1289" i="1"/>
  <c r="K1289" i="1"/>
  <c r="L284" i="1"/>
  <c r="K284" i="1"/>
  <c r="L1601" i="1"/>
  <c r="K1601" i="1"/>
  <c r="L1600" i="1"/>
  <c r="K1600" i="1"/>
  <c r="L1599" i="1"/>
  <c r="K1599" i="1"/>
  <c r="L2015" i="1"/>
  <c r="K2015" i="1"/>
  <c r="L2014" i="1"/>
  <c r="K2014" i="1"/>
  <c r="L1455" i="1"/>
  <c r="K1455" i="1"/>
  <c r="L1454" i="1"/>
  <c r="K1454" i="1"/>
  <c r="L1453" i="1"/>
  <c r="K1453" i="1"/>
  <c r="L1452" i="1"/>
  <c r="K1452" i="1"/>
  <c r="L1451" i="1"/>
  <c r="K1451" i="1"/>
  <c r="L932" i="1"/>
  <c r="K932" i="1"/>
  <c r="L931" i="1"/>
  <c r="K931" i="1"/>
  <c r="L930" i="1"/>
  <c r="K930" i="1"/>
  <c r="L929" i="1"/>
  <c r="K929" i="1"/>
  <c r="L384" i="1"/>
  <c r="K384" i="1"/>
  <c r="L710" i="1"/>
  <c r="K710" i="1"/>
  <c r="L709" i="1"/>
  <c r="K709" i="1"/>
  <c r="L708" i="1"/>
  <c r="K708" i="1"/>
  <c r="L707" i="1"/>
  <c r="K707" i="1"/>
  <c r="L1665" i="1"/>
  <c r="K1665" i="1"/>
  <c r="L1664" i="1"/>
  <c r="K1664" i="1"/>
  <c r="L554" i="1"/>
  <c r="K554" i="1"/>
  <c r="L553" i="1"/>
  <c r="K553" i="1"/>
  <c r="L552" i="1"/>
  <c r="K552" i="1"/>
  <c r="L283" i="1"/>
  <c r="K283" i="1"/>
  <c r="L1288" i="1"/>
  <c r="K1288" i="1"/>
  <c r="L551" i="1"/>
  <c r="K551" i="1"/>
  <c r="L1904" i="1"/>
  <c r="K1904" i="1"/>
  <c r="L1903" i="1"/>
  <c r="K1903" i="1"/>
  <c r="L205" i="1"/>
  <c r="K205" i="1"/>
  <c r="L1902" i="1"/>
  <c r="K1902" i="1"/>
  <c r="L120" i="1"/>
  <c r="K120" i="1"/>
  <c r="L119" i="1"/>
  <c r="K119" i="1"/>
  <c r="L1901" i="1"/>
  <c r="K1901" i="1"/>
  <c r="L118" i="1"/>
  <c r="K118" i="1"/>
  <c r="L1900" i="1"/>
  <c r="K1900" i="1"/>
  <c r="L1868" i="1"/>
  <c r="K1868" i="1"/>
  <c r="L1867" i="1"/>
  <c r="K1867" i="1"/>
  <c r="L1688" i="1"/>
  <c r="K1688" i="1"/>
  <c r="L1687" i="1"/>
  <c r="K1687" i="1"/>
  <c r="L1686" i="1"/>
  <c r="K1686" i="1"/>
  <c r="L2027" i="1"/>
  <c r="K2027" i="1"/>
  <c r="L2026" i="1"/>
  <c r="K2026" i="1"/>
  <c r="L1969" i="1"/>
  <c r="K1969" i="1"/>
  <c r="L1968" i="1"/>
  <c r="K1968" i="1"/>
  <c r="L2283" i="1"/>
  <c r="K2283" i="1"/>
  <c r="L626" i="1"/>
  <c r="K626" i="1"/>
  <c r="L1101" i="1"/>
  <c r="K1101" i="1"/>
  <c r="L1100" i="1"/>
  <c r="K1100" i="1"/>
  <c r="L1099" i="1"/>
  <c r="K1099" i="1"/>
  <c r="L2252" i="1"/>
  <c r="K2252" i="1"/>
  <c r="L2251" i="1"/>
  <c r="K2251" i="1"/>
  <c r="L625" i="1"/>
  <c r="K625" i="1"/>
  <c r="L1967" i="1"/>
  <c r="K1967" i="1"/>
  <c r="L624" i="1"/>
  <c r="K624" i="1"/>
  <c r="L1728" i="1"/>
  <c r="K1728" i="1"/>
  <c r="L583" i="1"/>
  <c r="K583" i="1"/>
  <c r="L582" i="1"/>
  <c r="K582" i="1"/>
  <c r="L1834" i="1"/>
  <c r="K1834" i="1"/>
  <c r="L1833" i="1"/>
  <c r="K1833" i="1"/>
  <c r="L1832" i="1"/>
  <c r="K1832" i="1"/>
  <c r="L1831" i="1"/>
  <c r="K1831" i="1"/>
  <c r="L1830" i="1"/>
  <c r="K1830" i="1"/>
  <c r="L1727" i="1"/>
  <c r="K1727" i="1"/>
  <c r="L1071" i="1"/>
  <c r="K1071" i="1"/>
  <c r="L1070" i="1"/>
  <c r="K1070" i="1"/>
  <c r="L2282" i="1"/>
  <c r="K2282" i="1"/>
  <c r="L2281" i="1"/>
  <c r="K2281" i="1"/>
  <c r="L2280" i="1"/>
  <c r="K2280" i="1"/>
  <c r="L241" i="1"/>
  <c r="K241" i="1"/>
  <c r="L240" i="1"/>
  <c r="K240" i="1"/>
  <c r="L239" i="1"/>
  <c r="K239" i="1"/>
  <c r="L76" i="1"/>
  <c r="K76" i="1"/>
  <c r="L1637" i="1"/>
  <c r="K1637" i="1"/>
  <c r="L1636" i="1"/>
  <c r="K1636" i="1"/>
  <c r="L1635" i="1"/>
  <c r="K1635" i="1"/>
  <c r="L1634" i="1"/>
  <c r="K1634" i="1"/>
  <c r="L1633" i="1"/>
  <c r="K1633" i="1"/>
  <c r="L75" i="1"/>
  <c r="K75" i="1"/>
  <c r="L2025" i="1"/>
  <c r="K2025" i="1"/>
  <c r="L2024" i="1"/>
  <c r="K2024" i="1"/>
  <c r="L2023" i="1"/>
  <c r="K2023" i="1"/>
  <c r="L1966" i="1"/>
  <c r="K1966" i="1"/>
  <c r="L1965" i="1"/>
  <c r="K1965" i="1"/>
  <c r="L973" i="1"/>
  <c r="K973" i="1"/>
  <c r="L972" i="1"/>
  <c r="K972" i="1"/>
  <c r="L74" i="1"/>
  <c r="K74" i="1"/>
  <c r="L971" i="1"/>
  <c r="K971" i="1"/>
  <c r="L970" i="1"/>
  <c r="K970" i="1"/>
  <c r="L73" i="1"/>
  <c r="K73" i="1"/>
  <c r="L2279" i="1"/>
  <c r="K2279" i="1"/>
  <c r="L969" i="1"/>
  <c r="K969" i="1"/>
  <c r="L1061" i="1"/>
  <c r="K1061" i="1"/>
  <c r="L1060" i="1"/>
  <c r="K1060" i="1"/>
  <c r="L1059" i="1"/>
  <c r="K1059" i="1"/>
  <c r="L1058" i="1"/>
  <c r="K1058" i="1"/>
  <c r="L1057" i="1"/>
  <c r="K1057" i="1"/>
  <c r="L879" i="1"/>
  <c r="K879" i="1"/>
  <c r="L878" i="1"/>
  <c r="K878" i="1"/>
  <c r="L477" i="1"/>
  <c r="K477" i="1"/>
  <c r="L476" i="1"/>
  <c r="K476" i="1"/>
  <c r="L475" i="1"/>
  <c r="K475" i="1"/>
  <c r="L1498" i="1"/>
  <c r="K1498" i="1"/>
  <c r="L1497" i="1"/>
  <c r="K1497" i="1"/>
  <c r="L1496" i="1"/>
  <c r="K1496" i="1"/>
  <c r="L877" i="1"/>
  <c r="K877" i="1"/>
  <c r="L1287" i="1"/>
  <c r="K1287" i="1"/>
  <c r="L1286" i="1"/>
  <c r="K1286" i="1"/>
  <c r="L1285" i="1"/>
  <c r="K1285" i="1"/>
  <c r="L1789" i="1"/>
  <c r="K1789" i="1"/>
  <c r="L282" i="1"/>
  <c r="K282" i="1"/>
  <c r="L281" i="1"/>
  <c r="K281" i="1"/>
  <c r="L280" i="1"/>
  <c r="K280" i="1"/>
  <c r="L1159" i="1"/>
  <c r="K1159" i="1"/>
  <c r="L1158" i="1"/>
  <c r="K1158" i="1"/>
  <c r="L1157" i="1"/>
  <c r="K1157" i="1"/>
  <c r="L1788" i="1"/>
  <c r="K1788" i="1"/>
  <c r="L383" i="1"/>
  <c r="K383" i="1"/>
  <c r="L382" i="1"/>
  <c r="K382" i="1"/>
  <c r="L381" i="1"/>
  <c r="K381" i="1"/>
  <c r="L380" i="1"/>
  <c r="K380" i="1"/>
  <c r="L379" i="1"/>
  <c r="K379" i="1"/>
  <c r="L1899" i="1"/>
  <c r="K1899" i="1"/>
  <c r="L1898" i="1"/>
  <c r="K1898" i="1"/>
  <c r="L325" i="1"/>
  <c r="K325" i="1"/>
  <c r="L324" i="1"/>
  <c r="K324" i="1"/>
  <c r="L323" i="1"/>
  <c r="K323" i="1"/>
  <c r="L322" i="1"/>
  <c r="K322" i="1"/>
  <c r="L321" i="1"/>
  <c r="K321" i="1"/>
  <c r="L2148" i="1"/>
  <c r="K2148" i="1"/>
  <c r="L2147" i="1"/>
  <c r="K2147" i="1"/>
  <c r="L2146" i="1"/>
  <c r="K2146" i="1"/>
  <c r="L2145" i="1"/>
  <c r="K2145" i="1"/>
  <c r="L2144" i="1"/>
  <c r="K2144" i="1"/>
  <c r="L1010" i="1"/>
  <c r="K1010" i="1"/>
  <c r="L1009" i="1"/>
  <c r="K1009" i="1"/>
  <c r="L1008" i="1"/>
  <c r="K1008" i="1"/>
  <c r="L1007" i="1"/>
  <c r="K1007" i="1"/>
  <c r="L1006" i="1"/>
  <c r="K1006" i="1"/>
  <c r="L1156" i="1"/>
  <c r="K1156" i="1"/>
  <c r="L1155" i="1"/>
  <c r="K1155" i="1"/>
  <c r="L279" i="1"/>
  <c r="K279" i="1"/>
  <c r="L278" i="1"/>
  <c r="K278" i="1"/>
  <c r="L1787" i="1"/>
  <c r="K1787" i="1"/>
  <c r="L1786" i="1"/>
  <c r="K1786" i="1"/>
  <c r="L1785" i="1"/>
  <c r="K1785" i="1"/>
  <c r="L2090" i="1"/>
  <c r="K2090" i="1"/>
  <c r="L2089" i="1"/>
  <c r="K2089" i="1"/>
  <c r="L2088" i="1"/>
  <c r="K2088" i="1"/>
  <c r="L2087" i="1"/>
  <c r="K2087" i="1"/>
  <c r="L2086" i="1"/>
  <c r="K2086" i="1"/>
  <c r="L1548" i="1"/>
  <c r="K1548" i="1"/>
  <c r="L1547" i="1"/>
  <c r="K1547" i="1"/>
  <c r="L1546" i="1"/>
  <c r="K1546" i="1"/>
  <c r="L1545" i="1"/>
  <c r="K1545" i="1"/>
  <c r="L1544" i="1"/>
  <c r="K1544" i="1"/>
  <c r="L1284" i="1"/>
  <c r="K1284" i="1"/>
  <c r="L1283" i="1"/>
  <c r="K1283" i="1"/>
  <c r="L1495" i="1"/>
  <c r="K1495" i="1"/>
  <c r="L1494" i="1"/>
  <c r="K1494" i="1"/>
  <c r="L928" i="1"/>
  <c r="K928" i="1"/>
  <c r="L927" i="1"/>
  <c r="K927" i="1"/>
  <c r="L926" i="1"/>
  <c r="K926" i="1"/>
  <c r="L925" i="1"/>
  <c r="K925" i="1"/>
  <c r="L924" i="1"/>
  <c r="K924" i="1"/>
  <c r="L876" i="1"/>
  <c r="K876" i="1"/>
  <c r="L875" i="1"/>
  <c r="K875" i="1"/>
  <c r="L706" i="1"/>
  <c r="K706" i="1"/>
  <c r="L705" i="1"/>
  <c r="K705" i="1"/>
  <c r="L704" i="1"/>
  <c r="K704" i="1"/>
  <c r="L703" i="1"/>
  <c r="K703" i="1"/>
  <c r="L474" i="1"/>
  <c r="K474" i="1"/>
  <c r="L473" i="1"/>
  <c r="K473" i="1"/>
  <c r="L117" i="1"/>
  <c r="K117" i="1"/>
  <c r="L116" i="1"/>
  <c r="K116" i="1"/>
  <c r="L115" i="1"/>
  <c r="K115" i="1"/>
  <c r="L114" i="1"/>
  <c r="K114" i="1"/>
  <c r="L113" i="1"/>
  <c r="K113" i="1"/>
  <c r="L1964" i="1"/>
  <c r="K1964" i="1"/>
  <c r="L1963" i="1"/>
  <c r="K1963" i="1"/>
  <c r="L1962" i="1"/>
  <c r="K1962" i="1"/>
  <c r="L1726" i="1"/>
  <c r="K1726" i="1"/>
  <c r="L1725" i="1"/>
  <c r="K1725" i="1"/>
  <c r="L1724" i="1"/>
  <c r="K1724" i="1"/>
  <c r="L1723" i="1"/>
  <c r="K1723" i="1"/>
  <c r="L1722" i="1"/>
  <c r="K1722" i="1"/>
  <c r="L623" i="1"/>
  <c r="K623" i="1"/>
  <c r="L622" i="1"/>
  <c r="K622" i="1"/>
  <c r="L621" i="1"/>
  <c r="K621" i="1"/>
  <c r="L620" i="1"/>
  <c r="K620" i="1"/>
  <c r="L1961" i="1"/>
  <c r="K1961" i="1"/>
  <c r="L1960" i="1"/>
  <c r="K1960" i="1"/>
  <c r="L1751" i="1"/>
  <c r="K1751" i="1"/>
  <c r="L1750" i="1"/>
  <c r="K1750" i="1"/>
  <c r="L1154" i="1"/>
  <c r="K1154" i="1"/>
  <c r="L1493" i="1"/>
  <c r="K1493" i="1"/>
  <c r="L923" i="1"/>
  <c r="K923" i="1"/>
  <c r="L1492" i="1"/>
  <c r="K1492" i="1"/>
  <c r="L1050" i="1"/>
  <c r="K1050" i="1"/>
  <c r="L1049" i="1"/>
  <c r="K1049" i="1"/>
  <c r="L1153" i="1"/>
  <c r="K1153" i="1"/>
  <c r="L999" i="1"/>
  <c r="K999" i="1"/>
  <c r="L998" i="1"/>
  <c r="K998" i="1"/>
  <c r="L665" i="1"/>
  <c r="K665" i="1"/>
  <c r="L664" i="1"/>
  <c r="K664" i="1"/>
  <c r="L663" i="1"/>
  <c r="K663" i="1"/>
  <c r="L1749" i="1"/>
  <c r="K1749" i="1"/>
  <c r="L1748" i="1"/>
  <c r="K1748" i="1"/>
  <c r="L1747" i="1"/>
  <c r="K1747" i="1"/>
  <c r="L432" i="1"/>
  <c r="K432" i="1"/>
  <c r="L1362" i="1"/>
  <c r="K1362" i="1"/>
  <c r="L431" i="1"/>
  <c r="K431" i="1"/>
  <c r="L1361" i="1"/>
  <c r="K1361" i="1"/>
  <c r="L874" i="1"/>
  <c r="K874" i="1"/>
  <c r="L873" i="1"/>
  <c r="K873" i="1"/>
  <c r="L1205" i="1"/>
  <c r="K1205" i="1"/>
  <c r="L1784" i="1"/>
  <c r="K1784" i="1"/>
  <c r="L1152" i="1"/>
  <c r="K1152" i="1"/>
  <c r="L1360" i="1"/>
  <c r="K1360" i="1"/>
  <c r="L1721" i="1"/>
  <c r="K1721" i="1"/>
  <c r="L517" i="1"/>
  <c r="K517" i="1"/>
  <c r="L472" i="1"/>
  <c r="K472" i="1"/>
  <c r="L277" i="1"/>
  <c r="K277" i="1"/>
  <c r="L276" i="1"/>
  <c r="K276" i="1"/>
  <c r="L204" i="1"/>
  <c r="K204" i="1"/>
  <c r="L203" i="1"/>
  <c r="K203" i="1"/>
  <c r="L202" i="1"/>
  <c r="K202" i="1"/>
  <c r="L112" i="1"/>
  <c r="K112" i="1"/>
  <c r="L1783" i="1"/>
  <c r="K1783" i="1"/>
  <c r="L111" i="1"/>
  <c r="K111" i="1"/>
  <c r="L1491" i="1"/>
  <c r="K1491" i="1"/>
  <c r="L37" i="1"/>
  <c r="K37" i="1"/>
  <c r="L36" i="1"/>
  <c r="K36" i="1"/>
  <c r="L1782" i="1"/>
  <c r="K1782" i="1"/>
  <c r="L619" i="1"/>
  <c r="K619" i="1"/>
  <c r="L13" i="1"/>
  <c r="K13" i="1"/>
  <c r="L618" i="1"/>
  <c r="K618" i="1"/>
  <c r="L12" i="1"/>
  <c r="K12" i="1"/>
  <c r="L1720" i="1"/>
  <c r="K1720" i="1"/>
  <c r="L1719" i="1"/>
  <c r="K1719" i="1"/>
  <c r="L2085" i="1"/>
  <c r="K2085" i="1"/>
  <c r="L160" i="1"/>
  <c r="K160" i="1"/>
  <c r="L159" i="1"/>
  <c r="K159" i="1"/>
  <c r="L2084" i="1"/>
  <c r="K2084" i="1"/>
  <c r="L2013" i="1"/>
  <c r="K2013" i="1"/>
  <c r="L2052" i="1"/>
  <c r="K2052" i="1"/>
  <c r="L2051" i="1"/>
  <c r="K2051" i="1"/>
  <c r="L2050" i="1"/>
  <c r="K2050" i="1"/>
  <c r="L2250" i="1"/>
  <c r="K2250" i="1"/>
  <c r="L2249" i="1"/>
  <c r="K2249" i="1"/>
  <c r="L581" i="1"/>
  <c r="K581" i="1"/>
  <c r="L580" i="1"/>
  <c r="K580" i="1"/>
  <c r="L1282" i="1"/>
  <c r="K1282" i="1"/>
  <c r="L2248" i="1"/>
  <c r="K2248" i="1"/>
  <c r="L579" i="1"/>
  <c r="K579" i="1"/>
  <c r="L1281" i="1"/>
  <c r="K1281" i="1"/>
  <c r="L378" i="1"/>
  <c r="K378" i="1"/>
  <c r="L377" i="1"/>
  <c r="K377" i="1"/>
  <c r="L376" i="1"/>
  <c r="K376" i="1"/>
  <c r="L1335" i="1"/>
  <c r="K1335" i="1"/>
  <c r="L1334" i="1"/>
  <c r="K1334" i="1"/>
  <c r="L1663" i="1"/>
  <c r="K1663" i="1"/>
  <c r="L1333" i="1"/>
  <c r="K1333" i="1"/>
  <c r="L1332" i="1"/>
  <c r="K1332" i="1"/>
  <c r="L1662" i="1"/>
  <c r="K1662" i="1"/>
  <c r="L1331" i="1"/>
  <c r="K1331" i="1"/>
  <c r="L238" i="1"/>
  <c r="K238" i="1"/>
  <c r="L1661" i="1"/>
  <c r="K1661" i="1"/>
  <c r="L1098" i="1"/>
  <c r="K1098" i="1"/>
  <c r="L237" i="1"/>
  <c r="K237" i="1"/>
  <c r="L1204" i="1"/>
  <c r="K1204" i="1"/>
  <c r="L1866" i="1"/>
  <c r="K1866" i="1"/>
  <c r="L1865" i="1"/>
  <c r="K1865" i="1"/>
  <c r="L1864" i="1"/>
  <c r="K1864" i="1"/>
  <c r="L1097" i="1"/>
  <c r="K1097" i="1"/>
  <c r="L1685" i="1"/>
  <c r="K1685" i="1"/>
  <c r="L1069" i="1"/>
  <c r="K1069" i="1"/>
  <c r="L1684" i="1"/>
  <c r="K1684" i="1"/>
  <c r="L1203" i="1"/>
  <c r="K1203" i="1"/>
  <c r="L1068" i="1"/>
  <c r="K1068" i="1"/>
  <c r="L1598" i="1"/>
  <c r="K1598" i="1"/>
  <c r="L1597" i="1"/>
  <c r="K1597" i="1"/>
  <c r="L1067" i="1"/>
  <c r="K1067" i="1"/>
  <c r="L702" i="1"/>
  <c r="K702" i="1"/>
  <c r="L701" i="1"/>
  <c r="K701" i="1"/>
  <c r="L700" i="1"/>
  <c r="K700" i="1"/>
  <c r="L1237" i="1"/>
  <c r="K1237" i="1"/>
  <c r="L1236" i="1"/>
  <c r="K1236" i="1"/>
  <c r="L1235" i="1"/>
  <c r="K1235" i="1"/>
  <c r="L1005" i="1"/>
  <c r="K1005" i="1"/>
  <c r="L1004" i="1"/>
  <c r="K1004" i="1"/>
  <c r="L1003" i="1"/>
  <c r="K1003" i="1"/>
  <c r="L1002" i="1"/>
  <c r="K1002" i="1"/>
  <c r="L699" i="1"/>
  <c r="K699" i="1"/>
  <c r="L1863" i="1"/>
  <c r="K1863" i="1"/>
  <c r="L1862" i="1"/>
  <c r="K1862" i="1"/>
  <c r="L1280" i="1"/>
  <c r="K1280" i="1"/>
  <c r="L1829" i="1"/>
  <c r="K1829" i="1"/>
  <c r="L1828" i="1"/>
  <c r="K1828" i="1"/>
  <c r="L11" i="1"/>
  <c r="K11" i="1"/>
  <c r="L10" i="1"/>
  <c r="K10" i="1"/>
  <c r="L2143" i="1"/>
  <c r="K2143" i="1"/>
  <c r="L2142" i="1"/>
  <c r="K2142" i="1"/>
  <c r="L375" i="1"/>
  <c r="K375" i="1"/>
  <c r="L374" i="1"/>
  <c r="K374" i="1"/>
  <c r="L1959" i="1"/>
  <c r="K1959" i="1"/>
  <c r="L1958" i="1"/>
  <c r="K1958" i="1"/>
  <c r="L1957" i="1"/>
  <c r="K1957" i="1"/>
  <c r="L1401" i="1"/>
  <c r="K1401" i="1"/>
  <c r="L1400" i="1"/>
  <c r="K1400" i="1"/>
  <c r="L1399" i="1"/>
  <c r="K1399" i="1"/>
  <c r="L2141" i="1"/>
  <c r="K2141" i="1"/>
  <c r="L2140" i="1"/>
  <c r="K2140" i="1"/>
  <c r="L2196" i="1"/>
  <c r="K2196" i="1"/>
  <c r="L2195" i="1"/>
  <c r="K2195" i="1"/>
  <c r="L1956" i="1"/>
  <c r="K1956" i="1"/>
  <c r="L1955" i="1"/>
  <c r="K1955" i="1"/>
  <c r="L1954" i="1"/>
  <c r="K1954" i="1"/>
  <c r="L1897" i="1"/>
  <c r="K1897" i="1"/>
  <c r="L1896" i="1"/>
  <c r="K1896" i="1"/>
  <c r="L72" i="1"/>
  <c r="K72" i="1"/>
  <c r="L71" i="1"/>
  <c r="K71" i="1"/>
  <c r="L2194" i="1"/>
  <c r="K2194" i="1"/>
  <c r="L2193" i="1"/>
  <c r="K2193" i="1"/>
  <c r="L373" i="1"/>
  <c r="K373" i="1"/>
  <c r="L1953" i="1"/>
  <c r="K1953" i="1"/>
  <c r="L1952" i="1"/>
  <c r="K1952" i="1"/>
  <c r="L1951" i="1"/>
  <c r="K1951" i="1"/>
  <c r="L201" i="1"/>
  <c r="K201" i="1"/>
  <c r="L200" i="1"/>
  <c r="K200" i="1"/>
  <c r="L372" i="1"/>
  <c r="K372" i="1"/>
  <c r="L70" i="1"/>
  <c r="K70" i="1"/>
  <c r="L69" i="1"/>
  <c r="K69" i="1"/>
  <c r="L2139" i="1"/>
  <c r="K2139" i="1"/>
  <c r="L2138" i="1"/>
  <c r="K2138" i="1"/>
  <c r="L1398" i="1"/>
  <c r="K1398" i="1"/>
  <c r="L1397" i="1"/>
  <c r="K1397" i="1"/>
  <c r="L1396" i="1"/>
  <c r="K1396" i="1"/>
  <c r="L2137" i="1"/>
  <c r="K2137" i="1"/>
  <c r="L2136" i="1"/>
  <c r="K2136" i="1"/>
  <c r="L2192" i="1"/>
  <c r="K2192" i="1"/>
  <c r="L2191" i="1"/>
  <c r="K2191" i="1"/>
  <c r="L1950" i="1"/>
  <c r="K1950" i="1"/>
  <c r="L1949" i="1"/>
  <c r="K1949" i="1"/>
  <c r="L1948" i="1"/>
  <c r="K1948" i="1"/>
  <c r="L1895" i="1"/>
  <c r="K1895" i="1"/>
  <c r="L1894" i="1"/>
  <c r="K1894" i="1"/>
  <c r="L68" i="1"/>
  <c r="K68" i="1"/>
  <c r="L67" i="1"/>
  <c r="K67" i="1"/>
  <c r="L371" i="1"/>
  <c r="K371" i="1"/>
  <c r="L199" i="1"/>
  <c r="K199" i="1"/>
  <c r="L471" i="1"/>
  <c r="K471" i="1"/>
  <c r="L470" i="1"/>
  <c r="K470" i="1"/>
  <c r="L275" i="1"/>
  <c r="K275" i="1"/>
  <c r="L274" i="1"/>
  <c r="K274" i="1"/>
  <c r="L1096" i="1"/>
  <c r="K1096" i="1"/>
  <c r="L1095" i="1"/>
  <c r="K1095" i="1"/>
  <c r="L1094" i="1"/>
  <c r="K1094" i="1"/>
  <c r="L1279" i="1"/>
  <c r="K1279" i="1"/>
  <c r="L9" i="1"/>
  <c r="K9" i="1"/>
  <c r="L8" i="1"/>
  <c r="K8" i="1"/>
  <c r="L110" i="1"/>
  <c r="K110" i="1"/>
  <c r="L109" i="1"/>
  <c r="K109" i="1"/>
  <c r="L108" i="1"/>
  <c r="K108" i="1"/>
  <c r="L430" i="1"/>
  <c r="K430" i="1"/>
  <c r="L320" i="1"/>
  <c r="K320" i="1"/>
  <c r="L469" i="1"/>
  <c r="K469" i="1"/>
  <c r="L468" i="1"/>
  <c r="K468" i="1"/>
  <c r="L578" i="1"/>
  <c r="K578" i="1"/>
  <c r="L577" i="1"/>
  <c r="K577" i="1"/>
  <c r="L576" i="1"/>
  <c r="K576" i="1"/>
  <c r="L575" i="1"/>
  <c r="K575" i="1"/>
  <c r="L574" i="1"/>
  <c r="K574" i="1"/>
  <c r="L550" i="1"/>
  <c r="K550" i="1"/>
  <c r="L549" i="1"/>
  <c r="K549" i="1"/>
  <c r="L1093" i="1"/>
  <c r="K1093" i="1"/>
  <c r="L922" i="1"/>
  <c r="K922" i="1"/>
  <c r="L921" i="1"/>
  <c r="K921" i="1"/>
  <c r="L920" i="1"/>
  <c r="K920" i="1"/>
  <c r="L919" i="1"/>
  <c r="K919" i="1"/>
  <c r="L1151" i="1"/>
  <c r="K1151" i="1"/>
  <c r="L1150" i="1"/>
  <c r="K1150" i="1"/>
  <c r="L1092" i="1"/>
  <c r="K1092" i="1"/>
  <c r="L1596" i="1"/>
  <c r="K1596" i="1"/>
  <c r="L1595" i="1"/>
  <c r="K1595" i="1"/>
  <c r="L1594" i="1"/>
  <c r="K1594" i="1"/>
  <c r="L1330" i="1"/>
  <c r="K1330" i="1"/>
  <c r="L1329" i="1"/>
  <c r="K1329" i="1"/>
  <c r="L1328" i="1"/>
  <c r="K1328" i="1"/>
  <c r="L1278" i="1"/>
  <c r="K1278" i="1"/>
  <c r="L1543" i="1"/>
  <c r="K1543" i="1"/>
  <c r="L2012" i="1"/>
  <c r="K2012" i="1"/>
  <c r="L1593" i="1"/>
  <c r="K1593" i="1"/>
  <c r="L1592" i="1"/>
  <c r="K1592" i="1"/>
  <c r="L1542" i="1"/>
  <c r="K1542" i="1"/>
  <c r="L1541" i="1"/>
  <c r="K1541" i="1"/>
  <c r="L1540" i="1"/>
  <c r="K1540" i="1"/>
  <c r="L1827" i="1"/>
  <c r="K1827" i="1"/>
  <c r="L1826" i="1"/>
  <c r="K1826" i="1"/>
  <c r="L1825" i="1"/>
  <c r="K1825" i="1"/>
  <c r="L2135" i="1"/>
  <c r="K2135" i="1"/>
  <c r="L1893" i="1"/>
  <c r="K1893" i="1"/>
  <c r="L1781" i="1"/>
  <c r="K1781" i="1"/>
  <c r="L370" i="1"/>
  <c r="K370" i="1"/>
  <c r="L2083" i="1"/>
  <c r="K2083" i="1"/>
  <c r="L2134" i="1"/>
  <c r="K2134" i="1"/>
  <c r="L2133" i="1"/>
  <c r="K2133" i="1"/>
  <c r="L2082" i="1"/>
  <c r="K2082" i="1"/>
  <c r="L2011" i="1"/>
  <c r="K2011" i="1"/>
  <c r="L1539" i="1"/>
  <c r="K1539" i="1"/>
  <c r="L1277" i="1"/>
  <c r="K1277" i="1"/>
  <c r="L1947" i="1"/>
  <c r="K1947" i="1"/>
  <c r="L1946" i="1"/>
  <c r="K1946" i="1"/>
  <c r="L1780" i="1"/>
  <c r="K1780" i="1"/>
  <c r="L1945" i="1"/>
  <c r="K1945" i="1"/>
  <c r="L617" i="1"/>
  <c r="K617" i="1"/>
  <c r="L616" i="1"/>
  <c r="K616" i="1"/>
  <c r="L273" i="1"/>
  <c r="K273" i="1"/>
  <c r="L429" i="1"/>
  <c r="K429" i="1"/>
  <c r="L428" i="1"/>
  <c r="K428" i="1"/>
  <c r="L427" i="1"/>
  <c r="K427" i="1"/>
  <c r="L872" i="1"/>
  <c r="K872" i="1"/>
  <c r="L1861" i="1"/>
  <c r="K1861" i="1"/>
  <c r="L1860" i="1"/>
  <c r="K1860" i="1"/>
  <c r="L1859" i="1"/>
  <c r="K1859" i="1"/>
  <c r="L272" i="1"/>
  <c r="K272" i="1"/>
  <c r="L1359" i="1"/>
  <c r="K1359" i="1"/>
  <c r="L1490" i="1"/>
  <c r="K1490" i="1"/>
  <c r="L1358" i="1"/>
  <c r="K1358" i="1"/>
  <c r="L871" i="1"/>
  <c r="K871" i="1"/>
  <c r="L1489" i="1"/>
  <c r="K1489" i="1"/>
  <c r="L1944" i="1"/>
  <c r="K1944" i="1"/>
  <c r="L1202" i="1"/>
  <c r="K1202" i="1"/>
  <c r="L1201" i="1"/>
  <c r="K1201" i="1"/>
  <c r="L1943" i="1"/>
  <c r="K1943" i="1"/>
  <c r="L2010" i="1"/>
  <c r="K2010" i="1"/>
  <c r="L2081" i="1"/>
  <c r="K2081" i="1"/>
  <c r="L2080" i="1"/>
  <c r="K2080" i="1"/>
  <c r="L2079" i="1"/>
  <c r="K2079" i="1"/>
  <c r="L1779" i="1"/>
  <c r="K1779" i="1"/>
  <c r="L426" i="1"/>
  <c r="K426" i="1"/>
  <c r="L66" i="1"/>
  <c r="K66" i="1"/>
  <c r="L65" i="1"/>
  <c r="K65" i="1"/>
  <c r="L1942" i="1"/>
  <c r="K1942" i="1"/>
  <c r="L1941" i="1"/>
  <c r="K1941" i="1"/>
  <c r="L1940" i="1"/>
  <c r="K1940" i="1"/>
  <c r="L2132" i="1"/>
  <c r="K2132" i="1"/>
  <c r="L2131" i="1"/>
  <c r="K2131" i="1"/>
  <c r="L1357" i="1"/>
  <c r="K1357" i="1"/>
  <c r="L1356" i="1"/>
  <c r="K1356" i="1"/>
  <c r="L1276" i="1"/>
  <c r="K1276" i="1"/>
  <c r="L2247" i="1"/>
  <c r="K2247" i="1"/>
  <c r="L2246" i="1"/>
  <c r="K2246" i="1"/>
  <c r="L107" i="1"/>
  <c r="K107" i="1"/>
  <c r="L516" i="1"/>
  <c r="K516" i="1"/>
  <c r="L1327" i="1"/>
  <c r="K1327" i="1"/>
  <c r="L1632" i="1"/>
  <c r="K1632" i="1"/>
  <c r="L1631" i="1"/>
  <c r="K1631" i="1"/>
  <c r="L1630" i="1"/>
  <c r="K1630" i="1"/>
  <c r="L1629" i="1"/>
  <c r="K1629" i="1"/>
  <c r="L1628" i="1"/>
  <c r="K1628" i="1"/>
  <c r="L1824" i="1"/>
  <c r="K1824" i="1"/>
  <c r="L2130" i="1"/>
  <c r="K2130" i="1"/>
  <c r="L1660" i="1"/>
  <c r="K1660" i="1"/>
  <c r="L1659" i="1"/>
  <c r="K1659" i="1"/>
  <c r="L2245" i="1"/>
  <c r="K2245" i="1"/>
  <c r="L2244" i="1"/>
  <c r="K2244" i="1"/>
  <c r="L1658" i="1"/>
  <c r="K1658" i="1"/>
  <c r="L2243" i="1"/>
  <c r="K2243" i="1"/>
  <c r="L515" i="1"/>
  <c r="K515" i="1"/>
  <c r="L514" i="1"/>
  <c r="K514" i="1"/>
  <c r="L513" i="1"/>
  <c r="K513" i="1"/>
  <c r="L1778" i="1"/>
  <c r="K1778" i="1"/>
  <c r="L1657" i="1"/>
  <c r="K1657" i="1"/>
  <c r="L1056" i="1"/>
  <c r="K1056" i="1"/>
  <c r="L1055" i="1"/>
  <c r="K1055" i="1"/>
  <c r="L1054" i="1"/>
  <c r="K1054" i="1"/>
  <c r="L1656" i="1"/>
  <c r="K1656" i="1"/>
  <c r="L1053" i="1"/>
  <c r="K1053" i="1"/>
  <c r="L1052" i="1"/>
  <c r="K1052" i="1"/>
  <c r="L198" i="1"/>
  <c r="K198" i="1"/>
  <c r="L197" i="1"/>
  <c r="K197" i="1"/>
  <c r="L870" i="1"/>
  <c r="K870" i="1"/>
  <c r="L869" i="1"/>
  <c r="K869" i="1"/>
  <c r="L615" i="1"/>
  <c r="K615" i="1"/>
  <c r="L614" i="1"/>
  <c r="K614" i="1"/>
  <c r="L1200" i="1"/>
  <c r="K1200" i="1"/>
  <c r="L1199" i="1"/>
  <c r="K1199" i="1"/>
  <c r="L319" i="1"/>
  <c r="K319" i="1"/>
  <c r="L1892" i="1"/>
  <c r="K1892" i="1"/>
  <c r="L1891" i="1"/>
  <c r="K1891" i="1"/>
  <c r="L1890" i="1"/>
  <c r="K1890" i="1"/>
  <c r="L1889" i="1"/>
  <c r="K1889" i="1"/>
  <c r="L369" i="1"/>
  <c r="K369" i="1"/>
  <c r="L368" i="1"/>
  <c r="K368" i="1"/>
  <c r="L367" i="1"/>
  <c r="K367" i="1"/>
  <c r="L366" i="1"/>
  <c r="K366" i="1"/>
  <c r="L1149" i="1"/>
  <c r="K1149" i="1"/>
  <c r="L1858" i="1"/>
  <c r="K1858" i="1"/>
  <c r="L742" i="1"/>
  <c r="K742" i="1"/>
  <c r="L741" i="1"/>
  <c r="K741" i="1"/>
  <c r="L740" i="1"/>
  <c r="K740" i="1"/>
  <c r="L739" i="1"/>
  <c r="K739" i="1"/>
  <c r="L738" i="1"/>
  <c r="K738" i="1"/>
  <c r="L2078" i="1"/>
  <c r="K2078" i="1"/>
  <c r="L1939" i="1"/>
  <c r="K1939" i="1"/>
  <c r="L1275" i="1"/>
  <c r="K1275" i="1"/>
  <c r="L365" i="1"/>
  <c r="K365" i="1"/>
  <c r="L364" i="1"/>
  <c r="K364" i="1"/>
  <c r="L271" i="1"/>
  <c r="K271" i="1"/>
  <c r="L1000" i="1"/>
  <c r="K1000" i="1"/>
  <c r="L1655" i="1"/>
  <c r="K1655" i="1"/>
  <c r="L2242" i="1"/>
  <c r="K2242" i="1"/>
  <c r="L363" i="1"/>
  <c r="K363" i="1"/>
  <c r="L1627" i="1"/>
  <c r="K1627" i="1"/>
  <c r="L1591" i="1"/>
  <c r="K1591" i="1"/>
  <c r="L1590" i="1"/>
  <c r="K1590" i="1"/>
  <c r="L1450" i="1"/>
  <c r="K1450" i="1"/>
  <c r="L1488" i="1"/>
  <c r="K1488" i="1"/>
  <c r="L1395" i="1"/>
  <c r="K1395" i="1"/>
  <c r="L236" i="1"/>
  <c r="K236" i="1"/>
  <c r="L968" i="1"/>
  <c r="K968" i="1"/>
  <c r="L918" i="1"/>
  <c r="K918" i="1"/>
  <c r="L868" i="1"/>
  <c r="K868" i="1"/>
  <c r="L448" i="1"/>
  <c r="K448" i="1"/>
  <c r="L467" i="1"/>
  <c r="K467" i="1"/>
  <c r="L270" i="1"/>
  <c r="K270" i="1"/>
  <c r="L318" i="1"/>
  <c r="K318" i="1"/>
  <c r="L7" i="1"/>
  <c r="K7" i="1"/>
</calcChain>
</file>

<file path=xl/sharedStrings.xml><?xml version="1.0" encoding="utf-8"?>
<sst xmlns="http://schemas.openxmlformats.org/spreadsheetml/2006/main" count="26726" uniqueCount="223">
  <si>
    <t xml:space="preserve">Please note that the official SAC dataset as well as the dashboards will be updated and released during the week of June 15th.  </t>
  </si>
  <si>
    <t xml:space="preserve">AFC LVL1 </t>
  </si>
  <si>
    <t>Support Type</t>
  </si>
  <si>
    <t>Antigen</t>
  </si>
  <si>
    <t>Year</t>
  </si>
  <si>
    <t>Fund Center</t>
  </si>
  <si>
    <t>Forecast</t>
  </si>
  <si>
    <t>Period</t>
  </si>
  <si>
    <t>USD</t>
  </si>
  <si>
    <t>Quantity</t>
  </si>
  <si>
    <t>USD in M</t>
  </si>
  <si>
    <t>Quantitiy in M</t>
  </si>
  <si>
    <t>Category</t>
  </si>
  <si>
    <t>Vaccine</t>
  </si>
  <si>
    <t>Campaign</t>
  </si>
  <si>
    <t>HPV</t>
  </si>
  <si>
    <t>Afghanistan</t>
  </si>
  <si>
    <t>v23.2</t>
  </si>
  <si>
    <t>Gavi 6.0</t>
  </si>
  <si>
    <t>Guaranteed</t>
  </si>
  <si>
    <t>Central African Republic</t>
  </si>
  <si>
    <t>Cameroon</t>
  </si>
  <si>
    <t>Congo, the Democratic Republic of the</t>
  </si>
  <si>
    <t>Congo</t>
  </si>
  <si>
    <t>Guinea</t>
  </si>
  <si>
    <t>Guinea-Bissau</t>
  </si>
  <si>
    <t>Haiti</t>
  </si>
  <si>
    <t>Cambodia</t>
  </si>
  <si>
    <t>Myanmar</t>
  </si>
  <si>
    <t>Niger</t>
  </si>
  <si>
    <t>Nepal</t>
  </si>
  <si>
    <t>Pakistan</t>
  </si>
  <si>
    <t>Papua New Guinea</t>
  </si>
  <si>
    <t>Chad</t>
  </si>
  <si>
    <t>Yemen</t>
  </si>
  <si>
    <t>Republic of Syria</t>
  </si>
  <si>
    <t>India</t>
  </si>
  <si>
    <t>Other</t>
  </si>
  <si>
    <t>MenA</t>
  </si>
  <si>
    <t>Discretionary</t>
  </si>
  <si>
    <t>MMCV</t>
  </si>
  <si>
    <t>Mali</t>
  </si>
  <si>
    <t>Sudan</t>
  </si>
  <si>
    <t>Togo</t>
  </si>
  <si>
    <t>Outbreak / Stockpile</t>
  </si>
  <si>
    <t>Global</t>
  </si>
  <si>
    <t>Routine</t>
  </si>
  <si>
    <t>Somalia</t>
  </si>
  <si>
    <t>Liberia</t>
  </si>
  <si>
    <t>South Sudan</t>
  </si>
  <si>
    <t>Madagascar</t>
  </si>
  <si>
    <t>Ethiopia</t>
  </si>
  <si>
    <t>MR</t>
  </si>
  <si>
    <t>Burundi</t>
  </si>
  <si>
    <t>Korea DPR</t>
  </si>
  <si>
    <t>Sierra Leone</t>
  </si>
  <si>
    <t>Côte d’Ivoire</t>
  </si>
  <si>
    <t>Uganda</t>
  </si>
  <si>
    <t>Solomon Islands</t>
  </si>
  <si>
    <t>Mauritania</t>
  </si>
  <si>
    <t>Benin</t>
  </si>
  <si>
    <t>Mozambique</t>
  </si>
  <si>
    <t>Bangladesh</t>
  </si>
  <si>
    <t>Comoros</t>
  </si>
  <si>
    <t>SYRIA-TAR</t>
  </si>
  <si>
    <t>Nigeria</t>
  </si>
  <si>
    <t>Lao People’s Democratic Republic</t>
  </si>
  <si>
    <t>Djibouti</t>
  </si>
  <si>
    <t>Eritrea</t>
  </si>
  <si>
    <t>HEXA</t>
  </si>
  <si>
    <t>IPV</t>
  </si>
  <si>
    <t>United Republic of Tanzania</t>
  </si>
  <si>
    <t>PCV</t>
  </si>
  <si>
    <t>PENTA</t>
  </si>
  <si>
    <t>YF</t>
  </si>
  <si>
    <t>DTPB</t>
  </si>
  <si>
    <t>MAL</t>
  </si>
  <si>
    <t>Ghana</t>
  </si>
  <si>
    <t>Kenya</t>
  </si>
  <si>
    <t>Malawi</t>
  </si>
  <si>
    <t>Kyrgyzstan</t>
  </si>
  <si>
    <t>Rwanda</t>
  </si>
  <si>
    <t>Timor-Leste</t>
  </si>
  <si>
    <t>Burkina Faso</t>
  </si>
  <si>
    <t>Sao Tome and Principe</t>
  </si>
  <si>
    <t>Angola</t>
  </si>
  <si>
    <t>Senegal</t>
  </si>
  <si>
    <t>Gambia</t>
  </si>
  <si>
    <t>Honduras</t>
  </si>
  <si>
    <t>Kiribati</t>
  </si>
  <si>
    <t>Zambia</t>
  </si>
  <si>
    <t>Tajikistan</t>
  </si>
  <si>
    <t>Lesotho</t>
  </si>
  <si>
    <t>Zimbabwe</t>
  </si>
  <si>
    <t>Bhutan</t>
  </si>
  <si>
    <t>Vietnam</t>
  </si>
  <si>
    <t>Nicaragua</t>
  </si>
  <si>
    <t>Bolivia</t>
  </si>
  <si>
    <t>Uzbekistan</t>
  </si>
  <si>
    <t>Sri Lanka</t>
  </si>
  <si>
    <t>RV</t>
  </si>
  <si>
    <t>TCV</t>
  </si>
  <si>
    <t>HepB</t>
  </si>
  <si>
    <t>Rabies PEP</t>
  </si>
  <si>
    <t>JEV</t>
  </si>
  <si>
    <t>Dengue</t>
  </si>
  <si>
    <t>HepE</t>
  </si>
  <si>
    <t>MPOX</t>
  </si>
  <si>
    <t>RSV</t>
  </si>
  <si>
    <t>OCV</t>
  </si>
  <si>
    <t>F&amp;H Adjustment</t>
  </si>
  <si>
    <t>Outbreak</t>
  </si>
  <si>
    <t>Catalytic Phase</t>
  </si>
  <si>
    <t>F&amp;H Approach</t>
  </si>
  <si>
    <t xml:space="preserve">v23.2 Dataset - Vaccine Procurement Cost &amp; Volumes </t>
  </si>
  <si>
    <t>Co-Financing</t>
  </si>
  <si>
    <t>Contingency Fund</t>
  </si>
  <si>
    <t>Sum of USD in M</t>
  </si>
  <si>
    <t>Row Labels</t>
  </si>
  <si>
    <t>Grand Total</t>
  </si>
  <si>
    <t>Ebola</t>
  </si>
  <si>
    <t>Measles</t>
  </si>
  <si>
    <t>Escrow Buffer Adjustment</t>
  </si>
  <si>
    <t>Supply Financing Adjustment</t>
  </si>
  <si>
    <t>Country additional savings</t>
  </si>
  <si>
    <t>Diagnostics</t>
  </si>
  <si>
    <t>2026-2030 Forecast by Antigen and Support Type - as of 05/06/2026</t>
  </si>
  <si>
    <t>ISO3</t>
  </si>
  <si>
    <t>VaccineGroup</t>
  </si>
  <si>
    <t>SupportName</t>
  </si>
  <si>
    <t>PolicyName</t>
  </si>
  <si>
    <t>AFG</t>
  </si>
  <si>
    <t>Pentavalent</t>
  </si>
  <si>
    <t>Standard</t>
  </si>
  <si>
    <t>Hexa</t>
  </si>
  <si>
    <t>DTPB1</t>
  </si>
  <si>
    <t>MAC</t>
  </si>
  <si>
    <t>Catch-up Campaign</t>
  </si>
  <si>
    <t>Two Dose Routine</t>
  </si>
  <si>
    <t>Rota</t>
  </si>
  <si>
    <t>AGO</t>
  </si>
  <si>
    <t>Follow-up Campaign</t>
  </si>
  <si>
    <t>Mini Catch-up Campaign</t>
  </si>
  <si>
    <t>BDI</t>
  </si>
  <si>
    <t>FED</t>
  </si>
  <si>
    <t>Malaria</t>
  </si>
  <si>
    <t>Rabies</t>
  </si>
  <si>
    <t>BEN</t>
  </si>
  <si>
    <t>BFA</t>
  </si>
  <si>
    <t>BGD</t>
  </si>
  <si>
    <t>FER</t>
  </si>
  <si>
    <t>Preventive Campaign</t>
  </si>
  <si>
    <t>BOL</t>
  </si>
  <si>
    <t>BTN</t>
  </si>
  <si>
    <t>CAF</t>
  </si>
  <si>
    <t>CIV</t>
  </si>
  <si>
    <t>CMR</t>
  </si>
  <si>
    <t>COD</t>
  </si>
  <si>
    <t>COG</t>
  </si>
  <si>
    <t>COM</t>
  </si>
  <si>
    <t>DJI</t>
  </si>
  <si>
    <t>ERI</t>
  </si>
  <si>
    <t>ETH</t>
  </si>
  <si>
    <t>GHA</t>
  </si>
  <si>
    <t>GIN</t>
  </si>
  <si>
    <t>GMB</t>
  </si>
  <si>
    <t>GNB</t>
  </si>
  <si>
    <t>HND</t>
  </si>
  <si>
    <t>HTI</t>
  </si>
  <si>
    <t>IND</t>
  </si>
  <si>
    <t>KEN</t>
  </si>
  <si>
    <t>KGZ</t>
  </si>
  <si>
    <t>KHM</t>
  </si>
  <si>
    <t>KIR</t>
  </si>
  <si>
    <t>LAO</t>
  </si>
  <si>
    <t>LBR</t>
  </si>
  <si>
    <t>LKA</t>
  </si>
  <si>
    <t>LSO</t>
  </si>
  <si>
    <t>MDA</t>
  </si>
  <si>
    <t>MDG</t>
  </si>
  <si>
    <t>MLI</t>
  </si>
  <si>
    <t>DTPB2</t>
  </si>
  <si>
    <t>DTPB3</t>
  </si>
  <si>
    <t>MMR</t>
  </si>
  <si>
    <t>MNG</t>
  </si>
  <si>
    <t>MOZ</t>
  </si>
  <si>
    <t>MRT</t>
  </si>
  <si>
    <t>MWI</t>
  </si>
  <si>
    <t>NER</t>
  </si>
  <si>
    <t>NGA</t>
  </si>
  <si>
    <t>NIC</t>
  </si>
  <si>
    <t>NPL</t>
  </si>
  <si>
    <t>PAK</t>
  </si>
  <si>
    <t>PNG</t>
  </si>
  <si>
    <t>PRK</t>
  </si>
  <si>
    <t>RWA</t>
  </si>
  <si>
    <t>SDN</t>
  </si>
  <si>
    <t>SEN</t>
  </si>
  <si>
    <t>SLB</t>
  </si>
  <si>
    <t>SLE</t>
  </si>
  <si>
    <t>SOM</t>
  </si>
  <si>
    <t>SSD</t>
  </si>
  <si>
    <t>STP</t>
  </si>
  <si>
    <t>SYR</t>
  </si>
  <si>
    <t>TAR</t>
  </si>
  <si>
    <t>TCD</t>
  </si>
  <si>
    <t>TGO</t>
  </si>
  <si>
    <t>TJK</t>
  </si>
  <si>
    <t>TLS</t>
  </si>
  <si>
    <t>TZA</t>
  </si>
  <si>
    <t>UGA</t>
  </si>
  <si>
    <t>UZB</t>
  </si>
  <si>
    <t>VNM</t>
  </si>
  <si>
    <t>YEM</t>
  </si>
  <si>
    <t>ZMB</t>
  </si>
  <si>
    <t>ZWE</t>
  </si>
  <si>
    <t>Population_forecasted</t>
  </si>
  <si>
    <t>Cov1_forecasted</t>
  </si>
  <si>
    <t>Cov2_forecasted</t>
  </si>
  <si>
    <t>Cov3_forecasted</t>
  </si>
  <si>
    <t>Cov4_forecasted</t>
  </si>
  <si>
    <t>Wastage_forecasted</t>
  </si>
  <si>
    <t>Buffer_policy_forecasted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</si>
</sst>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name val="Aptos Narrow"/>
      <family val="2"/>
      <scheme val="minor"/>
    </font>
    <font>
      <i/>
      <sz val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43" fontId="0" fillId="0" borderId="0" xfId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43" fontId="2" fillId="2" borderId="0" xfId="1" applyFont="1" applyFill="1"/>
    <xf numFmtId="164" fontId="0" fillId="0" borderId="0" xfId="1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9" fontId="0" fillId="0" borderId="0" xfId="0" applyNumberFormat="1"/>
    <xf numFmtId="0" fontId="2" fillId="0" borderId="0" xfId="0" applyFont="1"/>
    <xf numFmtId="0" fontId="2" fillId="0" borderId="1" xfId="0" applyFont="1" applyBorder="1"/>
    <xf numFmtId="0" fontId="0" fillId="0" borderId="0" xfId="0" applyFont="1"/>
    <xf numFmtId="0" fontId="2" fillId="3" borderId="1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1CD70057-C676-421E-99C0-B8FCC7CB6F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kay Denli" refreshedDate="46178.666336805552" createdVersion="8" refreshedVersion="8" minRefreshableVersion="3" recordCount="2341" xr:uid="{8E9A0B9F-7CD9-42ED-932F-A7008F078066}">
  <cacheSource type="worksheet">
    <worksheetSource ref="B6:M2347" sheet="v23.2 Forecast Data (Internal)"/>
  </cacheSource>
  <cacheFields count="12">
    <cacheField name="AFC LVL1 " numFmtId="0">
      <sharedItems/>
    </cacheField>
    <cacheField name="Support Type" numFmtId="0">
      <sharedItems/>
    </cacheField>
    <cacheField name="Antigen" numFmtId="0">
      <sharedItems count="37">
        <s v="HPV"/>
        <s v="MenA"/>
        <s v="MMCV"/>
        <s v="Measles"/>
        <s v="MR"/>
        <s v="HEXA"/>
        <s v="IPV"/>
        <s v="PCV"/>
        <s v="PENTA"/>
        <s v="YF"/>
        <s v="DTPB"/>
        <s v="MAL"/>
        <s v="RV"/>
        <s v="TCV"/>
        <s v="HepB"/>
        <s v="Rabies PEP"/>
        <s v="Diagnostics"/>
        <s v="Escrow Buffer Adjustment"/>
        <s v="Supply Financing Adjustment"/>
        <s v="JEV"/>
        <s v="Dengue"/>
        <s v="HepE"/>
        <s v="MPOX"/>
        <s v="RSV"/>
        <s v="Ebola"/>
        <s v="OCV"/>
        <s v="Country additional savings"/>
        <s v="F&amp;H Adjustment"/>
        <s v="Outbreak"/>
        <s v="Contingency Fund"/>
        <s v="Catalytic Phase"/>
        <s v="F&amp;H Approach"/>
        <s v="Co-Financing"/>
        <s v="M" u="1"/>
        <s v="DIAG" u="1"/>
        <s v="ADJ" u="1"/>
        <s v="EBL" u="1"/>
      </sharedItems>
    </cacheField>
    <cacheField name="Year" numFmtId="0">
      <sharedItems containsSemiMixedTypes="0" containsString="0" containsNumber="1" containsInteger="1" minValue="2026" maxValue="2030"/>
    </cacheField>
    <cacheField name="Fund Center" numFmtId="0">
      <sharedItems/>
    </cacheField>
    <cacheField name="Forecast" numFmtId="0">
      <sharedItems/>
    </cacheField>
    <cacheField name="Period" numFmtId="0">
      <sharedItems/>
    </cacheField>
    <cacheField name="USD" numFmtId="164">
      <sharedItems containsSemiMixedTypes="0" containsString="0" containsNumber="1" minValue="-127012159.8" maxValue="97108657.739999995"/>
    </cacheField>
    <cacheField name="Quantity" numFmtId="164">
      <sharedItems containsString="0" containsBlank="1" containsNumber="1" minValue="-127570.49887416" maxValue="50000000"/>
    </cacheField>
    <cacheField name="USD in M" numFmtId="164">
      <sharedItems containsSemiMixedTypes="0" containsString="0" containsNumber="1" minValue="-127.01215979999999" maxValue="97.108657739999998"/>
    </cacheField>
    <cacheField name="Quantitiy in M" numFmtId="164">
      <sharedItems containsSemiMixedTypes="0" containsString="0" containsNumber="1" minValue="-0.12757049887416" maxValue="50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1">
  <r>
    <s v="Vaccine"/>
    <s v="Campaign"/>
    <x v="0"/>
    <n v="2029"/>
    <s v="Afghanistan"/>
    <s v="v23.2"/>
    <s v="Gavi 6.0"/>
    <n v="7115838.4813000001"/>
    <n v="2365934.4"/>
    <n v="7.1158384813"/>
    <n v="2.3659344"/>
    <s v="Guaranteed"/>
  </r>
  <r>
    <s v="Vaccine"/>
    <s v="Campaign"/>
    <x v="0"/>
    <n v="2027"/>
    <s v="Central African Republic"/>
    <s v="v23.2"/>
    <s v="Gavi 6.0"/>
    <n v="1228253.0473"/>
    <n v="405968.8"/>
    <n v="1.2282530473"/>
    <n v="0.40596879999999996"/>
    <s v="Guaranteed"/>
  </r>
  <r>
    <s v="Vaccine"/>
    <s v="Campaign"/>
    <x v="0"/>
    <n v="2026"/>
    <s v="Cameroon"/>
    <s v="v23.2"/>
    <s v="Gavi 6.0"/>
    <n v="7164775.5345999999"/>
    <n v="1549859.4"/>
    <n v="7.1647755345999995"/>
    <n v="1.5498593999999999"/>
    <s v="Guaranteed"/>
  </r>
  <r>
    <s v="Vaccine"/>
    <s v="Campaign"/>
    <x v="0"/>
    <n v="2028"/>
    <s v="Congo, the Democratic Republic of the"/>
    <s v="v23.2"/>
    <s v="Gavi 6.0"/>
    <n v="20959865.484900001"/>
    <n v="6968914.0499999998"/>
    <n v="20.9598654849"/>
    <n v="6.9689140499999995"/>
    <s v="Guaranteed"/>
  </r>
  <r>
    <s v="Vaccine"/>
    <s v="Campaign"/>
    <x v="0"/>
    <n v="2028"/>
    <s v="Congo"/>
    <s v="v23.2"/>
    <s v="Gavi 6.0"/>
    <n v="840993.82050000003"/>
    <n v="279865.59999999998"/>
    <n v="0.84099382050000004"/>
    <n v="0.27986559999999999"/>
    <s v="Guaranteed"/>
  </r>
  <r>
    <s v="Vaccine"/>
    <s v="Campaign"/>
    <x v="0"/>
    <n v="2028"/>
    <s v="Guinea"/>
    <s v="v23.2"/>
    <s v="Gavi 6.0"/>
    <n v="2182969.6178000001"/>
    <n v="726447.78947368404"/>
    <n v="2.1829696178"/>
    <n v="0.72644778947368405"/>
    <s v="Guaranteed"/>
  </r>
  <r>
    <s v="Vaccine"/>
    <s v="Campaign"/>
    <x v="0"/>
    <n v="2026"/>
    <s v="Guinea-Bissau"/>
    <s v="v23.2"/>
    <s v="Gavi 6.0"/>
    <n v="311202.52850000001"/>
    <n v="102950"/>
    <n v="0.31120252850000002"/>
    <n v="0.10295"/>
    <s v="Guaranteed"/>
  </r>
  <r>
    <s v="Vaccine"/>
    <s v="Campaign"/>
    <x v="0"/>
    <n v="2027"/>
    <s v="Haiti"/>
    <s v="v23.2"/>
    <s v="Gavi 6.0"/>
    <n v="1426051.8755999999"/>
    <n v="471756.6"/>
    <n v="1.4260518756"/>
    <n v="0.47175659999999997"/>
    <s v="Guaranteed"/>
  </r>
  <r>
    <s v="Vaccine"/>
    <s v="Campaign"/>
    <x v="0"/>
    <n v="2026"/>
    <s v="Cambodia"/>
    <s v="v23.2"/>
    <s v="Gavi 6.0"/>
    <n v="1376.6011000000001"/>
    <n v="0"/>
    <n v="1.3766011000000001E-3"/>
    <n v="0"/>
    <s v="Guaranteed"/>
  </r>
  <r>
    <s v="Vaccine"/>
    <s v="Campaign"/>
    <x v="0"/>
    <n v="2026"/>
    <s v="Myanmar"/>
    <s v="v23.2"/>
    <s v="Gavi 6.0"/>
    <n v="13067394.886399999"/>
    <n v="2826693.5510204099"/>
    <n v="13.067394886399999"/>
    <n v="2.8266935510204099"/>
    <s v="Guaranteed"/>
  </r>
  <r>
    <s v="Vaccine"/>
    <s v="Campaign"/>
    <x v="0"/>
    <n v="2029"/>
    <s v="Niger"/>
    <s v="v23.2"/>
    <s v="Gavi 6.0"/>
    <n v="4893268.9198000003"/>
    <n v="1626955.6"/>
    <n v="4.8932689198000006"/>
    <n v="1.6269556000000001"/>
    <s v="Guaranteed"/>
  </r>
  <r>
    <s v="Vaccine"/>
    <s v="Campaign"/>
    <x v="0"/>
    <n v="2026"/>
    <s v="Nepal"/>
    <s v="v23.2"/>
    <s v="Gavi 6.0"/>
    <n v="3561443.3171999999"/>
    <n v="1178172"/>
    <n v="3.5614433171999997"/>
    <n v="1.178172"/>
    <s v="Guaranteed"/>
  </r>
  <r>
    <s v="Vaccine"/>
    <s v="Campaign"/>
    <x v="0"/>
    <n v="2026"/>
    <s v="Pakistan"/>
    <s v="v23.2"/>
    <s v="Gavi 6.0"/>
    <n v="7269603.9342"/>
    <n v="2404880"/>
    <n v="7.2696039342000001"/>
    <n v="2.4048799999999999"/>
    <s v="Guaranteed"/>
  </r>
  <r>
    <s v="Vaccine"/>
    <s v="Campaign"/>
    <x v="0"/>
    <n v="2027"/>
    <s v="Pakistan"/>
    <s v="v23.2"/>
    <s v="Gavi 6.0"/>
    <n v="2642056.7302999999"/>
    <n v="874026.9"/>
    <n v="2.6420567302999998"/>
    <n v="0.87402690000000005"/>
    <s v="Guaranteed"/>
  </r>
  <r>
    <s v="Vaccine"/>
    <s v="Campaign"/>
    <x v="0"/>
    <n v="2026"/>
    <s v="Papua New Guinea"/>
    <s v="v23.2"/>
    <s v="Gavi 6.0"/>
    <n v="1862199.699"/>
    <n v="616040"/>
    <n v="1.862199699"/>
    <n v="0.61604000000000003"/>
    <s v="Guaranteed"/>
  </r>
  <r>
    <s v="Vaccine"/>
    <s v="Campaign"/>
    <x v="0"/>
    <n v="2027"/>
    <s v="Chad"/>
    <s v="v23.2"/>
    <s v="Gavi 6.0"/>
    <n v="3963509.6003"/>
    <n v="1310040.5"/>
    <n v="3.9635096003000001"/>
    <n v="1.3100404999999999"/>
    <s v="Guaranteed"/>
  </r>
  <r>
    <s v="Vaccine"/>
    <s v="Campaign"/>
    <x v="0"/>
    <n v="2028"/>
    <s v="Yemen"/>
    <s v="v23.2"/>
    <s v="Gavi 6.0"/>
    <n v="6312068.1040000003"/>
    <n v="2098690"/>
    <n v="6.3120681040000006"/>
    <n v="2.0986899999999999"/>
    <s v="Guaranteed"/>
  </r>
  <r>
    <s v="Vaccine"/>
    <s v="Campaign"/>
    <x v="0"/>
    <n v="2029"/>
    <s v="Republic of Syria"/>
    <s v="v23.2"/>
    <s v="Gavi 6.0"/>
    <n v="2459733.8607000001"/>
    <n v="817833.2"/>
    <n v="2.4597338607000001"/>
    <n v="0.81783319999999993"/>
    <s v="Guaranteed"/>
  </r>
  <r>
    <s v="Vaccine"/>
    <s v="Campaign"/>
    <x v="0"/>
    <n v="2026"/>
    <s v="India"/>
    <s v="v23.2"/>
    <s v="Gavi 6.0"/>
    <n v="57097105"/>
    <n v="12112250"/>
    <n v="57.097104999999999"/>
    <n v="12.11225"/>
    <s v="Other"/>
  </r>
  <r>
    <s v="Vaccine"/>
    <s v="Campaign"/>
    <x v="1"/>
    <n v="2028"/>
    <s v="Cameroon"/>
    <s v="v23.2"/>
    <s v="Gavi 6.0"/>
    <n v="6614568.8080000002"/>
    <n v="5394530.4334242102"/>
    <n v="6.6145688080000005"/>
    <n v="5.3945304334242099"/>
    <s v="Discretionary"/>
  </r>
  <r>
    <s v="Vaccine"/>
    <s v="Campaign"/>
    <x v="2"/>
    <n v="2027"/>
    <s v="Chad"/>
    <s v="v23.2"/>
    <s v="Gavi 6.0"/>
    <n v="15698108.069399999"/>
    <n v="5059412.9865277801"/>
    <n v="15.6981080694"/>
    <n v="5.0594129865277804"/>
    <s v="Discretionary"/>
  </r>
  <r>
    <s v="Vaccine"/>
    <s v="Campaign"/>
    <x v="2"/>
    <n v="2028"/>
    <s v="Chad"/>
    <s v="v23.2"/>
    <s v="Gavi 6.0"/>
    <n v="4893207.3949999996"/>
    <n v="1381613.36541667"/>
    <n v="4.8932073949999992"/>
    <n v="1.38161336541667"/>
    <s v="Discretionary"/>
  </r>
  <r>
    <s v="Vaccine"/>
    <s v="Campaign"/>
    <x v="2"/>
    <n v="2028"/>
    <s v="Mali"/>
    <s v="v23.2"/>
    <s v="Gavi 6.0"/>
    <n v="27730191.9791"/>
    <n v="7836334.4027777798"/>
    <n v="27.730191979099999"/>
    <n v="7.8363344027777799"/>
    <s v="Discretionary"/>
  </r>
  <r>
    <s v="Vaccine"/>
    <s v="Campaign"/>
    <x v="2"/>
    <n v="2027"/>
    <s v="Sudan"/>
    <s v="v23.2"/>
    <s v="Gavi 6.0"/>
    <n v="34091128.4146"/>
    <n v="10987381.2222222"/>
    <n v="34.0911284146"/>
    <n v="10.987381222222199"/>
    <s v="Discretionary"/>
  </r>
  <r>
    <s v="Vaccine"/>
    <s v="Campaign"/>
    <x v="2"/>
    <n v="2028"/>
    <s v="Togo"/>
    <s v="v23.2"/>
    <s v="Gavi 6.0"/>
    <n v="9085851.7781000007"/>
    <n v="2567590.3333333302"/>
    <n v="9.0858517781000003"/>
    <n v="2.5675903333333303"/>
    <s v="Discretionary"/>
  </r>
  <r>
    <s v="Vaccine"/>
    <s v="Outbreak / Stockpile"/>
    <x v="2"/>
    <n v="2026"/>
    <s v="Global"/>
    <s v="v23.2"/>
    <s v="Gavi 6.0"/>
    <n v="21701758.357999999"/>
    <n v="7000000"/>
    <n v="21.701758357999999"/>
    <n v="7"/>
    <s v="Outbreak / Stockpile"/>
  </r>
  <r>
    <s v="Vaccine"/>
    <s v="Outbreak / Stockpile"/>
    <x v="2"/>
    <n v="2027"/>
    <s v="Global"/>
    <s v="v23.2"/>
    <s v="Gavi 6.0"/>
    <n v="21701758.357999999"/>
    <n v="7000000"/>
    <n v="21.701758357999999"/>
    <n v="7"/>
    <s v="Outbreak / Stockpile"/>
  </r>
  <r>
    <s v="Vaccine"/>
    <s v="Outbreak / Stockpile"/>
    <x v="2"/>
    <n v="2028"/>
    <s v="Global"/>
    <s v="v23.2"/>
    <s v="Gavi 6.0"/>
    <n v="24774030.260000002"/>
    <n v="7000000"/>
    <n v="24.77403026"/>
    <n v="7"/>
    <s v="Outbreak / Stockpile"/>
  </r>
  <r>
    <s v="Vaccine"/>
    <s v="Outbreak / Stockpile"/>
    <x v="2"/>
    <n v="2029"/>
    <s v="Global"/>
    <s v="v23.2"/>
    <s v="Gavi 6.0"/>
    <n v="24774030.260000002"/>
    <n v="7000000"/>
    <n v="24.77403026"/>
    <n v="7"/>
    <s v="Outbreak / Stockpile"/>
  </r>
  <r>
    <s v="Vaccine"/>
    <s v="Outbreak / Stockpile"/>
    <x v="2"/>
    <n v="2030"/>
    <s v="Global"/>
    <s v="v23.2"/>
    <s v="Gavi 6.0"/>
    <n v="24774030.260000002"/>
    <n v="7000000"/>
    <n v="24.77403026"/>
    <n v="7"/>
    <s v="Outbreak / Stockpile"/>
  </r>
  <r>
    <s v="Vaccine"/>
    <s v="Routine"/>
    <x v="3"/>
    <n v="2026"/>
    <s v="Somalia"/>
    <s v="v23.2"/>
    <s v="Gavi 6.0"/>
    <n v="298888.59080000001"/>
    <n v="592500"/>
    <n v="0.29888859080000002"/>
    <n v="0.59250000000000003"/>
    <s v="Guaranteed"/>
  </r>
  <r>
    <s v="Vaccine"/>
    <s v="Routine"/>
    <x v="3"/>
    <n v="2026"/>
    <s v="Liberia"/>
    <s v="v23.2"/>
    <s v="Gavi 6.0"/>
    <n v="83188.226999999999"/>
    <n v="164563.97253638401"/>
    <n v="8.3188227000000003E-2"/>
    <n v="0.16456397253638402"/>
    <s v="Guaranteed"/>
  </r>
  <r>
    <s v="Vaccine"/>
    <s v="Routine"/>
    <x v="3"/>
    <n v="2028"/>
    <s v="Chad"/>
    <s v="v23.2"/>
    <s v="Gavi 6.0"/>
    <n v="100726.42260000001"/>
    <n v="139762.23392857099"/>
    <n v="0.1007264226"/>
    <n v="0.13976223392857098"/>
    <s v="Guaranteed"/>
  </r>
  <r>
    <s v="Vaccine"/>
    <s v="Routine"/>
    <x v="3"/>
    <n v="2027"/>
    <s v="Chad"/>
    <s v="v23.2"/>
    <s v="Gavi 6.0"/>
    <n v="712516.95079999999"/>
    <n v="971326.73077000002"/>
    <n v="0.71251695079999999"/>
    <n v="0.97132673076999998"/>
    <s v="Guaranteed"/>
  </r>
  <r>
    <s v="Vaccine"/>
    <s v="Routine"/>
    <x v="3"/>
    <n v="2028"/>
    <s v="Chad"/>
    <s v="v23.2"/>
    <s v="Gavi 6.0"/>
    <n v="739661.2683"/>
    <n v="1001856.33488574"/>
    <n v="0.73966126830000001"/>
    <n v="1.0018563348857399"/>
    <s v="Guaranteed"/>
  </r>
  <r>
    <s v="Vaccine"/>
    <s v="Routine"/>
    <x v="3"/>
    <n v="2027"/>
    <s v="Chad"/>
    <s v="v23.2"/>
    <s v="Gavi 6.0"/>
    <n v="99397.3508"/>
    <n v="138969.35"/>
    <n v="9.9397350800000006E-2"/>
    <n v="0.13896935000000002"/>
    <s v="Guaranteed"/>
  </r>
  <r>
    <s v="Vaccine"/>
    <s v="Routine"/>
    <x v="3"/>
    <n v="2027"/>
    <s v="South Sudan"/>
    <s v="v23.2"/>
    <s v="Gavi 6.0"/>
    <n v="59314.795100000003"/>
    <n v="82929.157142857104"/>
    <n v="5.9314795100000005E-2"/>
    <n v="8.2929157142857104E-2"/>
    <s v="Guaranteed"/>
  </r>
  <r>
    <s v="Vaccine"/>
    <s v="Routine"/>
    <x v="3"/>
    <n v="2028"/>
    <s v="South Sudan"/>
    <s v="v23.2"/>
    <s v="Gavi 6.0"/>
    <n v="61289.580499999996"/>
    <n v="85041.923214285707"/>
    <n v="6.1289580499999996E-2"/>
    <n v="8.5041923214285706E-2"/>
    <s v="Guaranteed"/>
  </r>
  <r>
    <s v="Vaccine"/>
    <s v="Routine"/>
    <x v="3"/>
    <n v="2026"/>
    <s v="South Sudan"/>
    <s v="v23.2"/>
    <s v="Gavi 6.0"/>
    <n v="457144.14970000001"/>
    <n v="903000"/>
    <n v="0.4571441497"/>
    <n v="0.90300000000000002"/>
    <s v="Guaranteed"/>
  </r>
  <r>
    <s v="Vaccine"/>
    <s v="Routine"/>
    <x v="3"/>
    <n v="2028"/>
    <s v="South Sudan"/>
    <s v="v23.2"/>
    <s v="Gavi 6.0"/>
    <n v="768022.43579999998"/>
    <n v="1040270.96670303"/>
    <n v="0.76802243579999996"/>
    <n v="1.0402709667030301"/>
    <s v="Guaranteed"/>
  </r>
  <r>
    <s v="Vaccine"/>
    <s v="Routine"/>
    <x v="3"/>
    <n v="2028"/>
    <s v="Central African Republic"/>
    <s v="v23.2"/>
    <s v="Gavi 6.0"/>
    <n v="101794.4529"/>
    <n v="196837.807447739"/>
    <n v="0.1017944529"/>
    <n v="0.19683780744773902"/>
    <s v="Guaranteed"/>
  </r>
  <r>
    <s v="Vaccine"/>
    <s v="Routine"/>
    <x v="3"/>
    <n v="2026"/>
    <s v="Madagascar"/>
    <s v="v23.2"/>
    <s v="Gavi 6.0"/>
    <n v="579981.03969999996"/>
    <n v="1147325.6170651"/>
    <n v="0.57998103969999992"/>
    <n v="1.1473256170651001"/>
    <s v="Guaranteed"/>
  </r>
  <r>
    <s v="Vaccine"/>
    <s v="Routine"/>
    <x v="3"/>
    <n v="2027"/>
    <s v="Madagascar"/>
    <s v="v23.2"/>
    <s v="Gavi 6.0"/>
    <n v="611974.52139999997"/>
    <n v="1190081.54545566"/>
    <n v="0.61197452139999997"/>
    <n v="1.1900815454556599"/>
    <s v="Guaranteed"/>
  </r>
  <r>
    <s v="Vaccine"/>
    <s v="Routine"/>
    <x v="3"/>
    <n v="2026"/>
    <s v="Ethiopia"/>
    <s v="v23.2"/>
    <s v="Gavi 6.0"/>
    <n v="3569763.1244000001"/>
    <n v="4866743.7026212104"/>
    <n v="3.5697631244000001"/>
    <n v="4.8667437026212106"/>
    <s v="Guaranteed"/>
  </r>
  <r>
    <s v="Vaccine"/>
    <s v="Routine"/>
    <x v="3"/>
    <n v="2027"/>
    <s v="Ethiopia"/>
    <s v="v23.2"/>
    <s v="Gavi 6.0"/>
    <n v="4164730.6077999999"/>
    <n v="5677498.8454485899"/>
    <n v="4.1647306078000002"/>
    <n v="5.6774988454485902"/>
    <s v="Guaranteed"/>
  </r>
  <r>
    <s v="Vaccine"/>
    <s v="Routine"/>
    <x v="3"/>
    <n v="2026"/>
    <s v="Guinea"/>
    <s v="v23.2"/>
    <s v="Gavi 6.0"/>
    <n v="380188.1447"/>
    <n v="795384.18859223695"/>
    <n v="0.38018814470000001"/>
    <n v="0.79538418859223692"/>
    <s v="Guaranteed"/>
  </r>
  <r>
    <s v="Vaccine"/>
    <s v="Routine"/>
    <x v="3"/>
    <n v="2027"/>
    <s v="Guinea"/>
    <s v="v23.2"/>
    <s v="Gavi 6.0"/>
    <n v="396221.34340000001"/>
    <n v="812928.67312274699"/>
    <n v="0.39622134340000004"/>
    <n v="0.81292867312274697"/>
    <s v="Guaranteed"/>
  </r>
  <r>
    <s v="Vaccine"/>
    <s v="Routine"/>
    <x v="4"/>
    <n v="2027"/>
    <s v="Burundi"/>
    <s v="v23.2"/>
    <s v="Gavi 6.0"/>
    <n v="18093.301599999999"/>
    <n v="17187"/>
    <n v="1.80933016E-2"/>
    <n v="1.7187000000000001E-2"/>
    <s v="Guaranteed"/>
  </r>
  <r>
    <s v="Vaccine"/>
    <s v="Routine"/>
    <x v="4"/>
    <n v="2028"/>
    <s v="Burundi"/>
    <s v="v23.2"/>
    <s v="Gavi 6.0"/>
    <n v="18928.230800000001"/>
    <n v="17264.916666666701"/>
    <n v="1.8928230800000001E-2"/>
    <n v="1.7264916666666699E-2"/>
    <s v="Guaranteed"/>
  </r>
  <r>
    <s v="Vaccine"/>
    <s v="Routine"/>
    <x v="4"/>
    <n v="2026"/>
    <s v="Korea DPR"/>
    <s v="v23.2"/>
    <s v="Gavi 6.0"/>
    <n v="717231.8798"/>
    <n v="708000"/>
    <n v="0.71723187980000003"/>
    <n v="0.70799999999999996"/>
    <s v="Guaranteed"/>
  </r>
  <r>
    <s v="Vaccine"/>
    <s v="Routine"/>
    <x v="4"/>
    <n v="2027"/>
    <s v="Korea DPR"/>
    <s v="v23.2"/>
    <s v="Gavi 6.0"/>
    <n v="602709.9094"/>
    <n v="569052.66739662504"/>
    <n v="0.60270990940000002"/>
    <n v="0.56905266739662508"/>
    <s v="Guaranteed"/>
  </r>
  <r>
    <s v="Vaccine"/>
    <s v="Routine"/>
    <x v="4"/>
    <n v="2027"/>
    <s v="Republic of Syria"/>
    <s v="v23.2"/>
    <s v="Gavi 6.0"/>
    <n v="1059548.5042999999"/>
    <n v="987393.81177657598"/>
    <n v="1.0595485042999999"/>
    <n v="0.98739381177657604"/>
    <s v="Guaranteed"/>
  </r>
  <r>
    <s v="Vaccine"/>
    <s v="Routine"/>
    <x v="4"/>
    <n v="2028"/>
    <s v="Korea DPR"/>
    <s v="v23.2"/>
    <s v="Gavi 6.0"/>
    <n v="626543.74829999998"/>
    <n v="568596.69437559601"/>
    <n v="0.62654374829999993"/>
    <n v="0.56859669437559601"/>
    <s v="Guaranteed"/>
  </r>
  <r>
    <s v="Vaccine"/>
    <s v="Routine"/>
    <x v="4"/>
    <n v="2029"/>
    <s v="Korea DPR"/>
    <s v="v23.2"/>
    <s v="Gavi 6.0"/>
    <n v="652405.04729999998"/>
    <n v="566132.28672815696"/>
    <n v="0.65240504729999993"/>
    <n v="0.56613228672815696"/>
    <s v="Guaranteed"/>
  </r>
  <r>
    <s v="Vaccine"/>
    <s v="Routine"/>
    <x v="4"/>
    <n v="2030"/>
    <s v="Korea DPR"/>
    <s v="v23.2"/>
    <s v="Gavi 6.0"/>
    <n v="679288.44400000002"/>
    <n v="563483.07108614501"/>
    <n v="0.67928844399999999"/>
    <n v="0.56348307108614504"/>
    <s v="Guaranteed"/>
  </r>
  <r>
    <s v="Vaccine"/>
    <s v="Routine"/>
    <x v="4"/>
    <n v="2026"/>
    <s v="Republic of Syria"/>
    <s v="v23.2"/>
    <s v="Gavi 6.0"/>
    <n v="915726.1936"/>
    <n v="901000"/>
    <n v="0.91572619359999996"/>
    <n v="0.90100000000000002"/>
    <s v="Guaranteed"/>
  </r>
  <r>
    <s v="Vaccine"/>
    <s v="Routine"/>
    <x v="4"/>
    <n v="2026"/>
    <s v="Sierra Leone"/>
    <s v="v23.2"/>
    <s v="Gavi 6.0"/>
    <n v="271083.50420000002"/>
    <n v="269648.290329365"/>
    <n v="0.27108350420000005"/>
    <n v="0.26964829032936499"/>
    <s v="Guaranteed"/>
  </r>
  <r>
    <s v="Vaccine"/>
    <s v="Routine"/>
    <x v="4"/>
    <n v="2026"/>
    <s v="Côte d’Ivoire"/>
    <s v="v23.2"/>
    <s v="Gavi 6.0"/>
    <n v="42487.524299999997"/>
    <n v="42903.989484459402"/>
    <n v="4.2487524299999996E-2"/>
    <n v="4.29039894844594E-2"/>
    <s v="Guaranteed"/>
  </r>
  <r>
    <s v="Vaccine"/>
    <s v="Routine"/>
    <x v="4"/>
    <n v="2027"/>
    <s v="Côte d’Ivoire"/>
    <s v="v23.2"/>
    <s v="Gavi 6.0"/>
    <n v="612937.7953"/>
    <n v="590498.90366652096"/>
    <n v="0.61293779530000003"/>
    <n v="0.59049890366652091"/>
    <s v="Guaranteed"/>
  </r>
  <r>
    <s v="Vaccine"/>
    <s v="Routine"/>
    <x v="4"/>
    <n v="2028"/>
    <s v="Côte d’Ivoire"/>
    <s v="v23.2"/>
    <s v="Gavi 6.0"/>
    <n v="462562.46019999997"/>
    <n v="427506.938329075"/>
    <n v="0.46256246019999997"/>
    <n v="0.42750693832907499"/>
    <s v="Guaranteed"/>
  </r>
  <r>
    <s v="Vaccine"/>
    <s v="Routine"/>
    <x v="4"/>
    <n v="2026"/>
    <s v="Yemen"/>
    <s v="v23.2"/>
    <s v="Gavi 6.0"/>
    <n v="2933289.6124999998"/>
    <n v="2088536.7593797201"/>
    <n v="2.9332896124999999"/>
    <n v="2.0885367593797199"/>
    <s v="Guaranteed"/>
  </r>
  <r>
    <s v="Vaccine"/>
    <s v="Routine"/>
    <x v="4"/>
    <n v="2028"/>
    <s v="Republic of Syria"/>
    <s v="v23.2"/>
    <s v="Gavi 6.0"/>
    <n v="1171855.2005"/>
    <n v="1050706.3782845601"/>
    <n v="1.1718552005"/>
    <n v="1.05070637828456"/>
    <s v="Guaranteed"/>
  </r>
  <r>
    <s v="Vaccine"/>
    <s v="Routine"/>
    <x v="4"/>
    <n v="2029"/>
    <s v="Yemen"/>
    <s v="v23.2"/>
    <s v="Gavi 6.0"/>
    <n v="2222034.4994000001"/>
    <n v="1939256.24259083"/>
    <n v="2.2220344994000003"/>
    <n v="1.93925624259083"/>
    <s v="Guaranteed"/>
  </r>
  <r>
    <s v="Vaccine"/>
    <s v="Routine"/>
    <x v="4"/>
    <n v="2030"/>
    <s v="Yemen"/>
    <s v="v23.2"/>
    <s v="Gavi 6.0"/>
    <n v="2379227.8239000002"/>
    <n v="1984246.7480158401"/>
    <n v="2.3792278239"/>
    <n v="1.9842467480158401"/>
    <s v="Guaranteed"/>
  </r>
  <r>
    <s v="Vaccine"/>
    <s v="Routine"/>
    <x v="4"/>
    <n v="2029"/>
    <s v="Republic of Syria"/>
    <s v="v23.2"/>
    <s v="Gavi 6.0"/>
    <n v="1289843.5977"/>
    <n v="1106655.1217763301"/>
    <n v="1.2898435977"/>
    <n v="1.1066551217763301"/>
    <s v="Guaranteed"/>
  </r>
  <r>
    <s v="Vaccine"/>
    <s v="Routine"/>
    <x v="4"/>
    <n v="2030"/>
    <s v="Republic of Syria"/>
    <s v="v23.2"/>
    <s v="Gavi 6.0"/>
    <n v="1418512.3056999999"/>
    <n v="1164209.17514422"/>
    <n v="1.4185123057"/>
    <n v="1.1642091751442201"/>
    <s v="Guaranteed"/>
  </r>
  <r>
    <s v="Vaccine"/>
    <s v="Routine"/>
    <x v="4"/>
    <n v="2026"/>
    <s v="Uganda"/>
    <s v="v23.2"/>
    <s v="Gavi 6.0"/>
    <n v="2317172.9186999998"/>
    <n v="2303500"/>
    <n v="2.3171729186999999"/>
    <n v="2.3035000000000001"/>
    <s v="Guaranteed"/>
  </r>
  <r>
    <s v="Vaccine"/>
    <s v="Routine"/>
    <x v="4"/>
    <n v="2026"/>
    <s v="Solomon Islands"/>
    <s v="v23.2"/>
    <s v="Gavi 6.0"/>
    <n v="10889.272000000001"/>
    <n v="11000"/>
    <n v="1.0889272E-2"/>
    <n v="1.0999999999999999E-2"/>
    <s v="Guaranteed"/>
  </r>
  <r>
    <s v="Vaccine"/>
    <s v="Routine"/>
    <x v="4"/>
    <n v="2026"/>
    <s v="Papua New Guinea"/>
    <s v="v23.2"/>
    <s v="Gavi 6.0"/>
    <n v="133220.2463"/>
    <n v="132500"/>
    <n v="0.13322024630000001"/>
    <n v="0.13250000000000001"/>
    <s v="Guaranteed"/>
  </r>
  <r>
    <s v="Vaccine"/>
    <s v="Routine"/>
    <x v="4"/>
    <n v="2027"/>
    <s v="Papua New Guinea"/>
    <s v="v23.2"/>
    <s v="Gavi 6.0"/>
    <n v="74057.541400000002"/>
    <n v="70347.965825162406"/>
    <n v="7.4057541399999996E-2"/>
    <n v="7.0347965825162409E-2"/>
    <s v="Guaranteed"/>
  </r>
  <r>
    <s v="Vaccine"/>
    <s v="Routine"/>
    <x v="4"/>
    <n v="2028"/>
    <s v="Papua New Guinea"/>
    <s v="v23.2"/>
    <s v="Gavi 6.0"/>
    <n v="82089.017000000007"/>
    <n v="74875.462552071607"/>
    <n v="8.2089017E-2"/>
    <n v="7.4875462552071601E-2"/>
    <s v="Guaranteed"/>
  </r>
  <r>
    <s v="Vaccine"/>
    <s v="Routine"/>
    <x v="4"/>
    <n v="2029"/>
    <s v="Papua New Guinea"/>
    <s v="v23.2"/>
    <s v="Gavi 6.0"/>
    <n v="90644.730899999995"/>
    <n v="78973.223016512493"/>
    <n v="9.0644730899999998E-2"/>
    <n v="7.8973223016512495E-2"/>
    <s v="Guaranteed"/>
  </r>
  <r>
    <s v="Vaccine"/>
    <s v="Routine"/>
    <x v="4"/>
    <n v="2030"/>
    <s v="Papua New Guinea"/>
    <s v="v23.2"/>
    <s v="Gavi 6.0"/>
    <n v="100594.2997"/>
    <n v="83702.109164382593"/>
    <n v="0.1005942997"/>
    <n v="8.3702109164382588E-2"/>
    <s v="Guaranteed"/>
  </r>
  <r>
    <s v="Vaccine"/>
    <s v="Routine"/>
    <x v="4"/>
    <n v="2026"/>
    <s v="Mauritania"/>
    <s v="v23.2"/>
    <s v="Gavi 6.0"/>
    <n v="83672.767900000006"/>
    <n v="84500"/>
    <n v="8.36727679E-2"/>
    <n v="8.4500000000000006E-2"/>
    <s v="Guaranteed"/>
  </r>
  <r>
    <s v="Vaccine"/>
    <s v="Routine"/>
    <x v="4"/>
    <n v="2029"/>
    <s v="Côte d’Ivoire"/>
    <s v="v23.2"/>
    <s v="Gavi 6.0"/>
    <n v="230165.372"/>
    <n v="203066.20876081099"/>
    <n v="0.23016537200000001"/>
    <n v="0.203066208760811"/>
    <s v="Guaranteed"/>
  </r>
  <r>
    <s v="Vaccine"/>
    <s v="Routine"/>
    <x v="4"/>
    <n v="2026"/>
    <s v="Benin"/>
    <s v="v23.2"/>
    <s v="Gavi 6.0"/>
    <n v="721449.32090000005"/>
    <n v="735500"/>
    <n v="0.72144932090000002"/>
    <n v="0.73550000000000004"/>
    <s v="Guaranteed"/>
  </r>
  <r>
    <s v="Vaccine"/>
    <s v="Routine"/>
    <x v="4"/>
    <n v="2027"/>
    <s v="Yemen"/>
    <s v="v23.2"/>
    <s v="Gavi 6.0"/>
    <n v="2194101.0805000002"/>
    <n v="2085288.2595301899"/>
    <n v="2.1941010805000003"/>
    <n v="2.08528825953019"/>
    <s v="Guaranteed"/>
  </r>
  <r>
    <s v="Vaccine"/>
    <s v="Routine"/>
    <x v="4"/>
    <n v="2028"/>
    <s v="Yemen"/>
    <s v="v23.2"/>
    <s v="Gavi 6.0"/>
    <n v="2297116.4007000001"/>
    <n v="2097406.6473625698"/>
    <n v="2.2971164007000002"/>
    <n v="2.0974066473625697"/>
    <s v="Guaranteed"/>
  </r>
  <r>
    <s v="Vaccine"/>
    <s v="Routine"/>
    <x v="4"/>
    <n v="2026"/>
    <s v="Mali"/>
    <s v="v23.2"/>
    <s v="Gavi 6.0"/>
    <n v="1877336.4609000001"/>
    <n v="1866461.18339525"/>
    <n v="1.8773364609000001"/>
    <n v="1.86646118339525"/>
    <s v="Guaranteed"/>
  </r>
  <r>
    <s v="Vaccine"/>
    <s v="Routine"/>
    <x v="4"/>
    <n v="2026"/>
    <s v="Mozambique"/>
    <s v="v23.2"/>
    <s v="Gavi 6.0"/>
    <n v="406350.4326"/>
    <n v="404199.06674185902"/>
    <n v="0.40635043259999998"/>
    <n v="0.40419906674185901"/>
    <s v="Guaranteed"/>
  </r>
  <r>
    <s v="Vaccine"/>
    <s v="Routine"/>
    <x v="4"/>
    <n v="2027"/>
    <s v="Mozambique"/>
    <s v="v23.2"/>
    <s v="Gavi 6.0"/>
    <n v="2443104.2549999999"/>
    <n v="2321942.5326468698"/>
    <n v="2.4431042549999997"/>
    <n v="2.3219425326468697"/>
    <s v="Guaranteed"/>
  </r>
  <r>
    <s v="Vaccine"/>
    <s v="Routine"/>
    <x v="4"/>
    <n v="2027"/>
    <s v="Uganda"/>
    <s v="v23.2"/>
    <s v="Gavi 6.0"/>
    <n v="80409.730200000005"/>
    <n v="65307.577045714301"/>
    <n v="8.0409730200000001E-2"/>
    <n v="6.5307577045714299E-2"/>
    <s v="Guaranteed"/>
  </r>
  <r>
    <s v="Vaccine"/>
    <s v="Routine"/>
    <x v="4"/>
    <n v="2028"/>
    <s v="Uganda"/>
    <s v="v23.2"/>
    <s v="Gavi 6.0"/>
    <n v="81608.173800000004"/>
    <n v="66117.052281428594"/>
    <n v="8.1608173800000003E-2"/>
    <n v="6.6117052281428598E-2"/>
    <s v="Guaranteed"/>
  </r>
  <r>
    <s v="Vaccine"/>
    <s v="Routine"/>
    <x v="4"/>
    <n v="2028"/>
    <s v="Sudan"/>
    <s v="v23.2"/>
    <s v="Gavi 6.0"/>
    <n v="904247.02980000002"/>
    <n v="732600"/>
    <n v="0.90424702980000005"/>
    <n v="0.73260000000000003"/>
    <s v="Guaranteed"/>
  </r>
  <r>
    <s v="Vaccine"/>
    <s v="Routine"/>
    <x v="4"/>
    <n v="2026"/>
    <s v="Sudan"/>
    <s v="v23.2"/>
    <s v="Gavi 6.0"/>
    <n v="1059675.3877000001"/>
    <n v="855410.77965659299"/>
    <n v="1.0596753877"/>
    <n v="0.85541077965659296"/>
    <s v="Guaranteed"/>
  </r>
  <r>
    <s v="Vaccine"/>
    <s v="Routine"/>
    <x v="4"/>
    <n v="2027"/>
    <s v="Sudan"/>
    <s v="v23.2"/>
    <s v="Gavi 6.0"/>
    <n v="902011.23640000005"/>
    <n v="732600"/>
    <n v="0.90201123640000003"/>
    <n v="0.73260000000000003"/>
    <s v="Guaranteed"/>
  </r>
  <r>
    <s v="Vaccine"/>
    <s v="Routine"/>
    <x v="4"/>
    <n v="2028"/>
    <s v="Bangladesh"/>
    <s v="v23.2"/>
    <s v="Gavi 6.0"/>
    <n v="165050.9895"/>
    <n v="133720.48892857099"/>
    <n v="0.16505098949999999"/>
    <n v="0.133720488928571"/>
    <s v="Guaranteed"/>
  </r>
  <r>
    <s v="Vaccine"/>
    <s v="Routine"/>
    <x v="4"/>
    <n v="2027"/>
    <s v="Bangladesh"/>
    <s v="v23.2"/>
    <s v="Gavi 6.0"/>
    <n v="163936.99979999999"/>
    <n v="133147.17285714301"/>
    <n v="0.16393699979999998"/>
    <n v="0.133147172857143"/>
    <s v="Guaranteed"/>
  </r>
  <r>
    <s v="Vaccine"/>
    <s v="Routine"/>
    <x v="4"/>
    <n v="2027"/>
    <s v="Comoros"/>
    <s v="v23.2"/>
    <s v="Gavi 6.0"/>
    <n v="28629.476200000001"/>
    <n v="23215.394825261301"/>
    <n v="2.86294762E-2"/>
    <n v="2.3215394825261301E-2"/>
    <s v="Guaranteed"/>
  </r>
  <r>
    <s v="Vaccine"/>
    <s v="Routine"/>
    <x v="4"/>
    <n v="2030"/>
    <s v="Sierra Leone"/>
    <s v="v23.2"/>
    <s v="Gavi 6.0"/>
    <n v="625461.70349999995"/>
    <n v="489985.22479503998"/>
    <n v="0.62546170349999997"/>
    <n v="0.48998522479503998"/>
    <s v="Guaranteed"/>
  </r>
  <r>
    <s v="Vaccine"/>
    <s v="Routine"/>
    <x v="4"/>
    <n v="2026"/>
    <s v="Togo"/>
    <s v="v23.2"/>
    <s v="Gavi 6.0"/>
    <n v="604309.96970000002"/>
    <n v="484000"/>
    <n v="0.60430996970000006"/>
    <n v="0.48399999999999999"/>
    <s v="Guaranteed"/>
  </r>
  <r>
    <s v="Vaccine"/>
    <s v="Routine"/>
    <x v="4"/>
    <n v="2027"/>
    <s v="Togo"/>
    <s v="v23.2"/>
    <s v="Gavi 6.0"/>
    <n v="576425.51540000003"/>
    <n v="462708.710231209"/>
    <n v="0.57642551540000009"/>
    <n v="0.46270871023120902"/>
    <s v="Guaranteed"/>
  </r>
  <r>
    <s v="Vaccine"/>
    <s v="Routine"/>
    <x v="4"/>
    <n v="2028"/>
    <s v="Togo"/>
    <s v="v23.2"/>
    <s v="Gavi 6.0"/>
    <n v="586507.33279999997"/>
    <n v="475174.65678040398"/>
    <n v="0.5865073328"/>
    <n v="0.47517465678040399"/>
    <s v="Guaranteed"/>
  </r>
  <r>
    <s v="Vaccine"/>
    <s v="Routine"/>
    <x v="4"/>
    <n v="2026"/>
    <s v="SYRIA-TAR"/>
    <s v="v23.2"/>
    <s v="Gavi 6.0"/>
    <n v="16989.278900000001"/>
    <n v="13500"/>
    <n v="1.6989278900000002E-2"/>
    <n v="1.35E-2"/>
    <s v="Guaranteed"/>
  </r>
  <r>
    <s v="Vaccine"/>
    <s v="Routine"/>
    <x v="4"/>
    <n v="2029"/>
    <s v="Sudan"/>
    <s v="v23.2"/>
    <s v="Gavi 6.0"/>
    <n v="4857548.0001999997"/>
    <n v="3839435.3196971398"/>
    <n v="4.8575480001999995"/>
    <n v="3.8394353196971398"/>
    <s v="Guaranteed"/>
  </r>
  <r>
    <s v="Vaccine"/>
    <s v="Routine"/>
    <x v="4"/>
    <n v="2029"/>
    <s v="Madagascar"/>
    <s v="v23.2"/>
    <s v="Gavi 6.0"/>
    <n v="1816827.4510999999"/>
    <n v="1436031.4062159201"/>
    <n v="1.8168274511"/>
    <n v="1.4360314062159201"/>
    <s v="Guaranteed"/>
  </r>
  <r>
    <s v="Vaccine"/>
    <s v="Routine"/>
    <x v="4"/>
    <n v="2030"/>
    <s v="Madagascar"/>
    <s v="v23.2"/>
    <s v="Gavi 6.0"/>
    <n v="1854639.4665000001"/>
    <n v="1452920.18799954"/>
    <n v="1.8546394665000001"/>
    <n v="1.4529201879995399"/>
    <s v="Guaranteed"/>
  </r>
  <r>
    <s v="Vaccine"/>
    <s v="Routine"/>
    <x v="4"/>
    <n v="2030"/>
    <s v="Sudan"/>
    <s v="v23.2"/>
    <s v="Gavi 6.0"/>
    <n v="4933629.3312999997"/>
    <n v="3864993.5932101998"/>
    <n v="4.9336293312999997"/>
    <n v="3.8649935932101998"/>
    <s v="Guaranteed"/>
  </r>
  <r>
    <s v="Vaccine"/>
    <s v="Routine"/>
    <x v="4"/>
    <n v="2029"/>
    <s v="Niger"/>
    <s v="v23.2"/>
    <s v="Gavi 6.0"/>
    <n v="2633867.7936999998"/>
    <n v="2081825.03483915"/>
    <n v="2.6338677936999999"/>
    <n v="2.08182503483915"/>
    <s v="Guaranteed"/>
  </r>
  <r>
    <s v="Vaccine"/>
    <s v="Routine"/>
    <x v="4"/>
    <n v="2029"/>
    <s v="Guinea"/>
    <s v="v23.2"/>
    <s v="Gavi 6.0"/>
    <n v="587730.04229999997"/>
    <n v="469702.52113651799"/>
    <n v="0.58773004229999992"/>
    <n v="0.469702521136518"/>
    <s v="Guaranteed"/>
  </r>
  <r>
    <s v="Vaccine"/>
    <s v="Routine"/>
    <x v="4"/>
    <n v="2029"/>
    <s v="Mozambique"/>
    <s v="v23.2"/>
    <s v="Gavi 6.0"/>
    <n v="2455623.3177999998"/>
    <n v="1940939.52297791"/>
    <n v="2.4556233177999998"/>
    <n v="1.9409395229779101"/>
    <s v="Guaranteed"/>
  </r>
  <r>
    <s v="Vaccine"/>
    <s v="Routine"/>
    <x v="4"/>
    <n v="2030"/>
    <s v="Niger"/>
    <s v="v23.2"/>
    <s v="Gavi 6.0"/>
    <n v="2719698.9497000002"/>
    <n v="2130605.7488913801"/>
    <n v="2.7196989497000001"/>
    <n v="2.1306057488913801"/>
    <s v="Guaranteed"/>
  </r>
  <r>
    <s v="Vaccine"/>
    <s v="Routine"/>
    <x v="4"/>
    <n v="2030"/>
    <s v="Mozambique"/>
    <s v="v23.2"/>
    <s v="Gavi 6.0"/>
    <n v="2530503.0514000002"/>
    <n v="1982390.1279555799"/>
    <n v="2.5305030514000002"/>
    <n v="1.98239012795558"/>
    <s v="Guaranteed"/>
  </r>
  <r>
    <s v="Vaccine"/>
    <s v="Routine"/>
    <x v="4"/>
    <n v="2029"/>
    <s v="Cameroon"/>
    <s v="v23.2"/>
    <s v="Gavi 6.0"/>
    <n v="431116.47279999999"/>
    <n v="344539.97518735699"/>
    <n v="0.43111647279999998"/>
    <n v="0.34453997518735702"/>
    <s v="Guaranteed"/>
  </r>
  <r>
    <s v="Vaccine"/>
    <s v="Routine"/>
    <x v="4"/>
    <n v="2028"/>
    <s v="Somalia"/>
    <s v="v23.2"/>
    <s v="Gavi 6.0"/>
    <n v="1803632.1540999999"/>
    <n v="1444692.6105196299"/>
    <n v="1.8036321541"/>
    <n v="1.4446926105196298"/>
    <s v="Guaranteed"/>
  </r>
  <r>
    <s v="Vaccine"/>
    <s v="Routine"/>
    <x v="4"/>
    <n v="2029"/>
    <s v="Somalia"/>
    <s v="v23.2"/>
    <s v="Gavi 6.0"/>
    <n v="1856519.1366000001"/>
    <n v="1467403.9545136399"/>
    <n v="1.8565191366"/>
    <n v="1.4674039545136399"/>
    <s v="Guaranteed"/>
  </r>
  <r>
    <s v="Vaccine"/>
    <s v="Routine"/>
    <x v="4"/>
    <n v="2030"/>
    <s v="Somalia"/>
    <s v="v23.2"/>
    <s v="Gavi 6.0"/>
    <n v="1898088.1544000001"/>
    <n v="1486957.7877654701"/>
    <n v="1.8980881544000001"/>
    <n v="1.4869577877654701"/>
    <s v="Guaranteed"/>
  </r>
  <r>
    <s v="Vaccine"/>
    <s v="Routine"/>
    <x v="4"/>
    <n v="2030"/>
    <s v="Guinea"/>
    <s v="v23.2"/>
    <s v="Gavi 6.0"/>
    <n v="562823.60849999997"/>
    <n v="445704.40814454202"/>
    <n v="0.56282360850000002"/>
    <n v="0.44570440814454204"/>
    <s v="Guaranteed"/>
  </r>
  <r>
    <s v="Vaccine"/>
    <s v="Routine"/>
    <x v="4"/>
    <n v="2028"/>
    <s v="Comoros"/>
    <s v="v23.2"/>
    <s v="Gavi 6.0"/>
    <n v="23614.890599999999"/>
    <n v="19102.6446326478"/>
    <n v="2.3614890599999997E-2"/>
    <n v="1.9102644632647801E-2"/>
    <s v="Guaranteed"/>
  </r>
  <r>
    <s v="Vaccine"/>
    <s v="Routine"/>
    <x v="4"/>
    <n v="2029"/>
    <s v="Comoros"/>
    <s v="v23.2"/>
    <s v="Gavi 6.0"/>
    <n v="17616.676200000002"/>
    <n v="14057.4266002351"/>
    <n v="1.76166762E-2"/>
    <n v="1.4057426600235099E-2"/>
    <s v="Guaranteed"/>
  </r>
  <r>
    <s v="Vaccine"/>
    <s v="Routine"/>
    <x v="4"/>
    <n v="2030"/>
    <s v="Comoros"/>
    <s v="v23.2"/>
    <s v="Gavi 6.0"/>
    <n v="14897.4264"/>
    <n v="11779.551487500001"/>
    <n v="1.48974264E-2"/>
    <n v="1.1779551487500001E-2"/>
    <s v="Guaranteed"/>
  </r>
  <r>
    <s v="Vaccine"/>
    <s v="Routine"/>
    <x v="4"/>
    <n v="2030"/>
    <s v="Cameroon"/>
    <s v="v23.2"/>
    <s v="Gavi 6.0"/>
    <n v="443348.25709999999"/>
    <n v="351090.94494750001"/>
    <n v="0.44334825709999998"/>
    <n v="0.35109094494750004"/>
    <s v="Guaranteed"/>
  </r>
  <r>
    <s v="Vaccine"/>
    <s v="Routine"/>
    <x v="4"/>
    <n v="2029"/>
    <s v="Ethiopia"/>
    <s v="v23.2"/>
    <s v="Gavi 6.0"/>
    <n v="5936715.2130000005"/>
    <n v="4692415.61190766"/>
    <n v="5.9367152130000003"/>
    <n v="4.6924156119076601"/>
    <s v="Guaranteed"/>
  </r>
  <r>
    <s v="Vaccine"/>
    <s v="Routine"/>
    <x v="4"/>
    <n v="2030"/>
    <s v="Ethiopia"/>
    <s v="v23.2"/>
    <s v="Gavi 6.0"/>
    <n v="5978848.8344000001"/>
    <n v="4734697.0543574803"/>
    <n v="5.9788488343999999"/>
    <n v="4.73469705435748"/>
    <s v="Guaranteed"/>
  </r>
  <r>
    <s v="Vaccine"/>
    <s v="Routine"/>
    <x v="4"/>
    <n v="2027"/>
    <s v="Sudan"/>
    <s v="v23.2"/>
    <s v="Gavi 6.0"/>
    <n v="3756077.1126000001"/>
    <n v="2991853.04255128"/>
    <n v="3.7560771126000003"/>
    <n v="2.9918530425512802"/>
    <s v="Guaranteed"/>
  </r>
  <r>
    <s v="Vaccine"/>
    <s v="Routine"/>
    <x v="4"/>
    <n v="2028"/>
    <s v="Sierra Leone"/>
    <s v="v23.2"/>
    <s v="Gavi 6.0"/>
    <n v="591382.81050000002"/>
    <n v="473692.14080811001"/>
    <n v="0.59138281049999997"/>
    <n v="0.47369214080811001"/>
    <s v="Guaranteed"/>
  </r>
  <r>
    <s v="Vaccine"/>
    <s v="Routine"/>
    <x v="4"/>
    <n v="2026"/>
    <s v="Sudan"/>
    <s v="v23.2"/>
    <s v="Gavi 6.0"/>
    <n v="3414769.2749999999"/>
    <n v="2698905.088"/>
    <n v="3.4147692749999998"/>
    <n v="2.6989050880000001"/>
    <s v="Guaranteed"/>
  </r>
  <r>
    <s v="Vaccine"/>
    <s v="Routine"/>
    <x v="4"/>
    <n v="2028"/>
    <s v="Sudan"/>
    <s v="v23.2"/>
    <s v="Gavi 6.0"/>
    <n v="3746463.3979000002"/>
    <n v="2978411.58774585"/>
    <n v="3.7464633979000004"/>
    <n v="2.9784115877458501"/>
    <s v="Guaranteed"/>
  </r>
  <r>
    <s v="Vaccine"/>
    <s v="Routine"/>
    <x v="4"/>
    <n v="2029"/>
    <s v="Mali"/>
    <s v="v23.2"/>
    <s v="Gavi 6.0"/>
    <n v="1880472.9606999999"/>
    <n v="1502837.7434700101"/>
    <n v="1.8804729606999999"/>
    <n v="1.5028377434700102"/>
    <s v="Guaranteed"/>
  </r>
  <r>
    <s v="Vaccine"/>
    <s v="Routine"/>
    <x v="4"/>
    <n v="2026"/>
    <s v="Nigeria"/>
    <s v="v23.2"/>
    <s v="Gavi 6.0"/>
    <n v="8574494.8738000002"/>
    <n v="6896500"/>
    <n v="8.5744948738000009"/>
    <n v="6.8964999999999996"/>
    <s v="Guaranteed"/>
  </r>
  <r>
    <s v="Vaccine"/>
    <s v="Routine"/>
    <x v="4"/>
    <n v="2027"/>
    <s v="SYRIA-TAR"/>
    <s v="v23.2"/>
    <s v="Gavi 6.0"/>
    <n v="20682.852500000001"/>
    <n v="16698.404092647099"/>
    <n v="2.0682852500000001E-2"/>
    <n v="1.6698404092647098E-2"/>
    <s v="Guaranteed"/>
  </r>
  <r>
    <s v="Vaccine"/>
    <s v="Routine"/>
    <x v="4"/>
    <n v="2029"/>
    <s v="Togo"/>
    <s v="v23.2"/>
    <s v="Gavi 6.0"/>
    <n v="578146.99659999995"/>
    <n v="462043.93574716599"/>
    <n v="0.57814699659999991"/>
    <n v="0.46204393574716601"/>
    <s v="Guaranteed"/>
  </r>
  <r>
    <s v="Vaccine"/>
    <s v="Routine"/>
    <x v="4"/>
    <n v="2029"/>
    <s v="Uganda"/>
    <s v="v23.2"/>
    <s v="Gavi 6.0"/>
    <n v="4032504.0532"/>
    <n v="3222699.51146245"/>
    <n v="4.0325040532000003"/>
    <n v="3.2226995114624502"/>
    <s v="Guaranteed"/>
  </r>
  <r>
    <s v="Vaccine"/>
    <s v="Routine"/>
    <x v="4"/>
    <n v="2030"/>
    <s v="Uganda"/>
    <s v="v23.2"/>
    <s v="Gavi 6.0"/>
    <n v="3878954.7127"/>
    <n v="3071774.5105655701"/>
    <n v="3.8789547127000001"/>
    <n v="3.0717745105655703"/>
    <s v="Guaranteed"/>
  </r>
  <r>
    <s v="Vaccine"/>
    <s v="Routine"/>
    <x v="4"/>
    <n v="2030"/>
    <s v="Togo"/>
    <s v="v23.2"/>
    <s v="Gavi 6.0"/>
    <n v="561137.11179999996"/>
    <n v="444368.85829468502"/>
    <n v="0.56113711179999992"/>
    <n v="0.44436885829468503"/>
    <s v="Guaranteed"/>
  </r>
  <r>
    <s v="Vaccine"/>
    <s v="Routine"/>
    <x v="4"/>
    <n v="2030"/>
    <s v="Chad"/>
    <s v="v23.2"/>
    <s v="Gavi 6.0"/>
    <n v="1580643.0514"/>
    <n v="1238272.04202474"/>
    <n v="1.5806430514000001"/>
    <n v="1.2382720420247399"/>
    <s v="Guaranteed"/>
  </r>
  <r>
    <s v="Vaccine"/>
    <s v="Routine"/>
    <x v="4"/>
    <n v="2029"/>
    <s v="Sierra Leone"/>
    <s v="v23.2"/>
    <s v="Gavi 6.0"/>
    <n v="613266.13520000002"/>
    <n v="484729.26253625302"/>
    <n v="0.61326613520000006"/>
    <n v="0.48472926253625304"/>
    <s v="Guaranteed"/>
  </r>
  <r>
    <s v="Vaccine"/>
    <s v="Routine"/>
    <x v="4"/>
    <n v="2030"/>
    <s v="South Sudan"/>
    <s v="v23.2"/>
    <s v="Gavi 6.0"/>
    <n v="1470562.8689999999"/>
    <n v="1152035.48656325"/>
    <n v="1.4705628689999999"/>
    <n v="1.1520354865632501"/>
    <s v="Guaranteed"/>
  </r>
  <r>
    <s v="Vaccine"/>
    <s v="Routine"/>
    <x v="4"/>
    <n v="2028"/>
    <s v="Uganda"/>
    <s v="v23.2"/>
    <s v="Gavi 6.0"/>
    <n v="4135944.4668000001"/>
    <n v="3350846.4130644901"/>
    <n v="4.1359444667999998"/>
    <n v="3.3508464130644899"/>
    <s v="Guaranteed"/>
  </r>
  <r>
    <s v="Vaccine"/>
    <s v="Routine"/>
    <x v="4"/>
    <n v="2028"/>
    <s v="Solomon Islands"/>
    <s v="v23.2"/>
    <s v="Gavi 6.0"/>
    <n v="13400.562599999999"/>
    <n v="10856.825450320401"/>
    <n v="1.3400562599999999E-2"/>
    <n v="1.0856825450320401E-2"/>
    <s v="Guaranteed"/>
  </r>
  <r>
    <s v="Vaccine"/>
    <s v="Routine"/>
    <x v="4"/>
    <n v="2029"/>
    <s v="Solomon Islands"/>
    <s v="v23.2"/>
    <s v="Gavi 6.0"/>
    <n v="13192.299000000001"/>
    <n v="10543.031107999999"/>
    <n v="1.3192299000000001E-2"/>
    <n v="1.0543031107999999E-2"/>
    <s v="Guaranteed"/>
  </r>
  <r>
    <s v="Vaccine"/>
    <s v="Routine"/>
    <x v="4"/>
    <n v="2030"/>
    <s v="Solomon Islands"/>
    <s v="v23.2"/>
    <s v="Gavi 6.0"/>
    <n v="13568.099200000001"/>
    <n v="10744.6836442857"/>
    <n v="1.3568099200000001E-2"/>
    <n v="1.0744683644285701E-2"/>
    <s v="Guaranteed"/>
  </r>
  <r>
    <s v="Vaccine"/>
    <s v="Routine"/>
    <x v="4"/>
    <n v="2027"/>
    <s v="Nigeria"/>
    <s v="v23.2"/>
    <s v="Gavi 6.0"/>
    <n v="10434135.937899999"/>
    <n v="10623532.220179301"/>
    <n v="10.434135937899999"/>
    <n v="10.623532220179301"/>
    <s v="Guaranteed"/>
  </r>
  <r>
    <s v="Vaccine"/>
    <s v="Routine"/>
    <x v="4"/>
    <n v="2028"/>
    <s v="Nigeria"/>
    <s v="v23.2"/>
    <s v="Gavi 6.0"/>
    <n v="12416793.848200001"/>
    <n v="10044238.797975499"/>
    <n v="12.416793848200001"/>
    <n v="10.044238797975499"/>
    <s v="Guaranteed"/>
  </r>
  <r>
    <s v="Vaccine"/>
    <s v="Routine"/>
    <x v="4"/>
    <n v="2029"/>
    <s v="Nigeria"/>
    <s v="v23.2"/>
    <s v="Gavi 6.0"/>
    <n v="11869675.6249"/>
    <n v="9471542.3156929202"/>
    <n v="11.869675624900001"/>
    <n v="9.4715423156929202"/>
    <s v="Guaranteed"/>
  </r>
  <r>
    <s v="Vaccine"/>
    <s v="Routine"/>
    <x v="4"/>
    <n v="2029"/>
    <s v="Pakistan"/>
    <s v="v23.2"/>
    <s v="Gavi 6.0"/>
    <n v="5253063.6374000004"/>
    <n v="4182170.0617389502"/>
    <n v="5.2530636374000004"/>
    <n v="4.1821700617389501"/>
    <s v="Guaranteed"/>
  </r>
  <r>
    <s v="Vaccine"/>
    <s v="Routine"/>
    <x v="4"/>
    <n v="2030"/>
    <s v="Pakistan"/>
    <s v="v23.2"/>
    <s v="Gavi 6.0"/>
    <n v="4458072.2687999997"/>
    <n v="3517068.2446912499"/>
    <n v="4.4580722687999996"/>
    <n v="3.51706824469125"/>
    <s v="Guaranteed"/>
  </r>
  <r>
    <s v="Vaccine"/>
    <s v="Routine"/>
    <x v="4"/>
    <n v="2028"/>
    <s v="SYRIA-TAR"/>
    <s v="v23.2"/>
    <s v="Gavi 6.0"/>
    <n v="21680.7533"/>
    <n v="17463.7918579412"/>
    <n v="2.1680753300000001E-2"/>
    <n v="1.74637918579412E-2"/>
    <s v="Guaranteed"/>
  </r>
  <r>
    <s v="Vaccine"/>
    <s v="Routine"/>
    <x v="4"/>
    <n v="2030"/>
    <s v="Nigeria"/>
    <s v="v23.2"/>
    <s v="Gavi 6.0"/>
    <n v="11022750.6325"/>
    <n v="8715804.6668260898"/>
    <n v="11.022750632500001"/>
    <n v="8.7158046668260898"/>
    <s v="Guaranteed"/>
  </r>
  <r>
    <s v="Vaccine"/>
    <s v="Routine"/>
    <x v="4"/>
    <n v="2030"/>
    <s v="Mali"/>
    <s v="v23.2"/>
    <s v="Gavi 6.0"/>
    <n v="1818244.9458999999"/>
    <n v="1439882.363294"/>
    <n v="1.8182449458999999"/>
    <n v="1.4398823632940001"/>
    <s v="Guaranteed"/>
  </r>
  <r>
    <s v="Vaccine"/>
    <s v="Routine"/>
    <x v="4"/>
    <n v="2028"/>
    <s v="Mauritania"/>
    <s v="v23.2"/>
    <s v="Gavi 6.0"/>
    <n v="92381.591899999999"/>
    <n v="74845.426071428607"/>
    <n v="9.2381591900000004E-2"/>
    <n v="7.4845426071428606E-2"/>
    <s v="Guaranteed"/>
  </r>
  <r>
    <s v="Vaccine"/>
    <s v="Routine"/>
    <x v="4"/>
    <n v="2029"/>
    <s v="Mauritania"/>
    <s v="v23.2"/>
    <s v="Gavi 6.0"/>
    <n v="94832.559699999998"/>
    <n v="75788.353749999995"/>
    <n v="9.4832559699999999E-2"/>
    <n v="7.5788353749999995E-2"/>
    <s v="Guaranteed"/>
  </r>
  <r>
    <s v="Vaccine"/>
    <s v="Routine"/>
    <x v="4"/>
    <n v="2030"/>
    <s v="Mauritania"/>
    <s v="v23.2"/>
    <s v="Gavi 6.0"/>
    <n v="97343.567899999995"/>
    <n v="77087.1311607143"/>
    <n v="9.7343567899999997E-2"/>
    <n v="7.7087131160714306E-2"/>
    <s v="Guaranteed"/>
  </r>
  <r>
    <s v="Vaccine"/>
    <s v="Routine"/>
    <x v="4"/>
    <n v="2026"/>
    <s v="Pakistan"/>
    <s v="v23.2"/>
    <s v="Gavi 6.0"/>
    <n v="9196093.9366999995"/>
    <n v="7379000"/>
    <n v="9.1960939366999987"/>
    <n v="7.3789999999999996"/>
    <s v="Guaranteed"/>
  </r>
  <r>
    <s v="Vaccine"/>
    <s v="Routine"/>
    <x v="4"/>
    <n v="2027"/>
    <s v="Pakistan"/>
    <s v="v23.2"/>
    <s v="Gavi 6.0"/>
    <n v="8535657.3479999993"/>
    <n v="6904993.3770130202"/>
    <n v="8.5356573479999991"/>
    <n v="6.9049933770130201"/>
    <s v="Guaranteed"/>
  </r>
  <r>
    <s v="Vaccine"/>
    <s v="Routine"/>
    <x v="4"/>
    <n v="2028"/>
    <s v="Pakistan"/>
    <s v="v23.2"/>
    <s v="Gavi 6.0"/>
    <n v="7009864.3492000001"/>
    <n v="5657319.7079187799"/>
    <n v="7.0098643491999999"/>
    <n v="5.6573197079187798"/>
    <s v="Guaranteed"/>
  </r>
  <r>
    <s v="Vaccine"/>
    <s v="Routine"/>
    <x v="4"/>
    <n v="2030"/>
    <s v="Lao People’s Democratic Republic"/>
    <s v="v23.2"/>
    <s v="Gavi 6.0"/>
    <n v="74580.650699999998"/>
    <n v="58971.703650810799"/>
    <n v="7.4580650700000001E-2"/>
    <n v="5.8971703650810801E-2"/>
    <s v="Guaranteed"/>
  </r>
  <r>
    <s v="Vaccine"/>
    <s v="Routine"/>
    <x v="4"/>
    <n v="2029"/>
    <s v="Liberia"/>
    <s v="v23.2"/>
    <s v="Gavi 6.0"/>
    <n v="257601.3958"/>
    <n v="203609.70133780499"/>
    <n v="0.25760139580000002"/>
    <n v="0.20360970133780498"/>
    <s v="Guaranteed"/>
  </r>
  <r>
    <s v="Vaccine"/>
    <s v="Routine"/>
    <x v="4"/>
    <n v="2030"/>
    <s v="Liberia"/>
    <s v="v23.2"/>
    <s v="Gavi 6.0"/>
    <n v="261055.3487"/>
    <n v="204510.145082851"/>
    <n v="0.26105534870000002"/>
    <n v="0.20451014508285101"/>
    <s v="Guaranteed"/>
  </r>
  <r>
    <s v="Vaccine"/>
    <s v="Routine"/>
    <x v="4"/>
    <n v="2029"/>
    <s v="Guinea-Bissau"/>
    <s v="v23.2"/>
    <s v="Gavi 6.0"/>
    <n v="155873.35500000001"/>
    <n v="123861.20045658801"/>
    <n v="0.15587335500000002"/>
    <n v="0.12386120045658801"/>
    <s v="Guaranteed"/>
  </r>
  <r>
    <s v="Vaccine"/>
    <s v="Routine"/>
    <x v="4"/>
    <n v="2030"/>
    <s v="Guinea-Bissau"/>
    <s v="v23.2"/>
    <s v="Gavi 6.0"/>
    <n v="150670.55480000001"/>
    <n v="118643.49494961801"/>
    <n v="0.15067055480000002"/>
    <n v="0.11864349494961801"/>
    <s v="Guaranteed"/>
  </r>
  <r>
    <s v="Vaccine"/>
    <s v="Routine"/>
    <x v="4"/>
    <n v="2027"/>
    <s v="Guinea-Bissau"/>
    <s v="v23.2"/>
    <s v="Gavi 6.0"/>
    <n v="151424.4461"/>
    <n v="120599.10081448"/>
    <n v="0.1514244461"/>
    <n v="0.12059910081448"/>
    <s v="Guaranteed"/>
  </r>
  <r>
    <s v="Vaccine"/>
    <s v="Routine"/>
    <x v="4"/>
    <n v="2028"/>
    <s v="Guinea-Bissau"/>
    <s v="v23.2"/>
    <s v="Gavi 6.0"/>
    <n v="153982.12359999999"/>
    <n v="122398.883945647"/>
    <n v="0.15398212359999999"/>
    <n v="0.12239888394564701"/>
    <s v="Guaranteed"/>
  </r>
  <r>
    <s v="Vaccine"/>
    <s v="Routine"/>
    <x v="4"/>
    <n v="2029"/>
    <s v="Lao People’s Democratic Republic"/>
    <s v="v23.2"/>
    <s v="Gavi 6.0"/>
    <n v="74099.142900000006"/>
    <n v="59128.251664864802"/>
    <n v="7.4099142900000012E-2"/>
    <n v="5.9128251664864802E-2"/>
    <s v="Guaranteed"/>
  </r>
  <r>
    <s v="Vaccine"/>
    <s v="Routine"/>
    <x v="4"/>
    <n v="2029"/>
    <s v="Djibouti"/>
    <s v="v23.2"/>
    <s v="Gavi 6.0"/>
    <n v="31938.302800000001"/>
    <n v="25524.475970015199"/>
    <n v="3.1938302799999999E-2"/>
    <n v="2.5524475970015198E-2"/>
    <s v="Guaranteed"/>
  </r>
  <r>
    <s v="Vaccine"/>
    <s v="Routine"/>
    <x v="4"/>
    <n v="2028"/>
    <s v="Djibouti"/>
    <s v="v23.2"/>
    <s v="Gavi 6.0"/>
    <n v="36050.024400000002"/>
    <n v="29206.894808670098"/>
    <n v="3.6050024400000005E-2"/>
    <n v="2.9206894808670097E-2"/>
    <s v="Guaranteed"/>
  </r>
  <r>
    <s v="Vaccine"/>
    <s v="Routine"/>
    <x v="4"/>
    <n v="2026"/>
    <s v="Eritrea"/>
    <s v="v23.2"/>
    <s v="Gavi 6.0"/>
    <n v="245274.29209999999"/>
    <n v="195000"/>
    <n v="0.24527429209999999"/>
    <n v="0.19500000000000001"/>
    <s v="Guaranteed"/>
  </r>
  <r>
    <s v="Vaccine"/>
    <s v="Routine"/>
    <x v="4"/>
    <n v="2027"/>
    <s v="Eritrea"/>
    <s v="v23.2"/>
    <s v="Gavi 6.0"/>
    <n v="249852.10509999999"/>
    <n v="200139.96501957701"/>
    <n v="0.2498521051"/>
    <n v="0.20013996501957701"/>
    <s v="Guaranteed"/>
  </r>
  <r>
    <s v="Vaccine"/>
    <s v="Routine"/>
    <x v="4"/>
    <n v="2028"/>
    <s v="Eritrea"/>
    <s v="v23.2"/>
    <s v="Gavi 6.0"/>
    <n v="257690.4278"/>
    <n v="205986.07514601201"/>
    <n v="0.25769042780000001"/>
    <n v="0.205986075146012"/>
    <s v="Guaranteed"/>
  </r>
  <r>
    <s v="Vaccine"/>
    <s v="Routine"/>
    <x v="4"/>
    <n v="2029"/>
    <s v="Eritrea"/>
    <s v="v23.2"/>
    <s v="Gavi 6.0"/>
    <n v="267422.72470000002"/>
    <n v="210948.52541317401"/>
    <n v="0.2674227247"/>
    <n v="0.21094852541317402"/>
    <s v="Guaranteed"/>
  </r>
  <r>
    <s v="Vaccine"/>
    <s v="Routine"/>
    <x v="4"/>
    <n v="2030"/>
    <s v="Eritrea"/>
    <s v="v23.2"/>
    <s v="Gavi 6.0"/>
    <n v="275027.63020000001"/>
    <n v="215028.941001712"/>
    <n v="0.27502763020000004"/>
    <n v="0.21502894100171199"/>
    <s v="Guaranteed"/>
  </r>
  <r>
    <s v="Vaccine"/>
    <s v="Routine"/>
    <x v="4"/>
    <n v="2029"/>
    <s v="Congo, the Democratic Republic of the"/>
    <s v="v23.2"/>
    <s v="Gavi 6.0"/>
    <n v="7236234.8584000003"/>
    <n v="5708090.3441161197"/>
    <n v="7.2362348584000005"/>
    <n v="5.7080903441161199"/>
    <s v="Guaranteed"/>
  </r>
  <r>
    <s v="Vaccine"/>
    <s v="Routine"/>
    <x v="4"/>
    <n v="2030"/>
    <s v="Congo, the Democratic Republic of the"/>
    <s v="v23.2"/>
    <s v="Gavi 6.0"/>
    <n v="7447148.2675999999"/>
    <n v="5822514.6475422801"/>
    <n v="7.4471482676000003"/>
    <n v="5.8225146475422802"/>
    <s v="Guaranteed"/>
  </r>
  <r>
    <s v="Vaccine"/>
    <s v="Routine"/>
    <x v="4"/>
    <n v="2030"/>
    <s v="Central African Republic"/>
    <s v="v23.2"/>
    <s v="Gavi 6.0"/>
    <n v="311327.60720000003"/>
    <n v="243893.313932961"/>
    <n v="0.31132760720000002"/>
    <n v="0.24389331393296099"/>
    <s v="Guaranteed"/>
  </r>
  <r>
    <s v="Vaccine"/>
    <s v="Routine"/>
    <x v="4"/>
    <n v="2026"/>
    <s v="Comoros"/>
    <s v="v23.2"/>
    <s v="Gavi 6.0"/>
    <n v="34190.736599999997"/>
    <n v="27500"/>
    <n v="3.4190736599999993E-2"/>
    <n v="2.75E-2"/>
    <s v="Guaranteed"/>
  </r>
  <r>
    <s v="Vaccine"/>
    <s v="Routine"/>
    <x v="4"/>
    <n v="2028"/>
    <s v="Benin"/>
    <s v="v23.2"/>
    <s v="Gavi 6.0"/>
    <n v="463447.3873"/>
    <n v="375474.33911639999"/>
    <n v="0.46344738730000001"/>
    <n v="0.37547433911639999"/>
    <s v="Guaranteed"/>
  </r>
  <r>
    <s v="Vaccine"/>
    <s v="Routine"/>
    <x v="4"/>
    <n v="2029"/>
    <s v="Benin"/>
    <s v="v23.2"/>
    <s v="Gavi 6.0"/>
    <n v="387736.02610000002"/>
    <n v="309871.15832153399"/>
    <n v="0.38773602610000002"/>
    <n v="0.309871158321534"/>
    <s v="Guaranteed"/>
  </r>
  <r>
    <s v="Vaccine"/>
    <s v="Routine"/>
    <x v="4"/>
    <n v="2030"/>
    <s v="Benin"/>
    <s v="v23.2"/>
    <s v="Gavi 6.0"/>
    <n v="288132.13669999997"/>
    <n v="228174.087810734"/>
    <n v="0.28813213669999999"/>
    <n v="0.22817408781073401"/>
    <s v="Guaranteed"/>
  </r>
  <r>
    <s v="Vaccine"/>
    <s v="Routine"/>
    <x v="4"/>
    <n v="2029"/>
    <s v="Afghanistan"/>
    <s v="v23.2"/>
    <s v="Gavi 6.0"/>
    <n v="2213872.4356"/>
    <n v="1749858.1635020999"/>
    <n v="2.2138724355999999"/>
    <n v="1.7498581635021"/>
    <s v="Guaranteed"/>
  </r>
  <r>
    <s v="Vaccine"/>
    <s v="Routine"/>
    <x v="4"/>
    <n v="2030"/>
    <s v="Afghanistan"/>
    <s v="v23.2"/>
    <s v="Gavi 6.0"/>
    <n v="2296818.6565"/>
    <n v="1799322.32358771"/>
    <n v="2.2968186565000002"/>
    <n v="1.79932232358771"/>
    <s v="Guaranteed"/>
  </r>
  <r>
    <s v="Vaccine"/>
    <s v="Routine"/>
    <x v="4"/>
    <n v="2028"/>
    <s v="Mali"/>
    <s v="v23.2"/>
    <s v="Gavi 6.0"/>
    <n v="2173170.1518999999"/>
    <n v="1760652.12356316"/>
    <n v="2.1731701519"/>
    <n v="1.76065212356316"/>
    <s v="Guaranteed"/>
  </r>
  <r>
    <s v="Vaccine"/>
    <s v="Routine"/>
    <x v="4"/>
    <n v="2026"/>
    <s v="Lao People’s Democratic Republic"/>
    <s v="v23.2"/>
    <s v="Gavi 6.0"/>
    <n v="126545.1219"/>
    <n v="101952.84819588999"/>
    <n v="0.1265451219"/>
    <n v="0.10195284819589"/>
    <s v="Guaranteed"/>
  </r>
  <r>
    <s v="Vaccine"/>
    <s v="Routine"/>
    <x v="4"/>
    <n v="2027"/>
    <s v="Lao People’s Democratic Republic"/>
    <s v="v23.2"/>
    <s v="Gavi 6.0"/>
    <n v="80383.343999999997"/>
    <n v="65286.146574999999"/>
    <n v="8.0383343999999995E-2"/>
    <n v="6.5286146574999995E-2"/>
    <s v="Guaranteed"/>
  </r>
  <r>
    <s v="Vaccine"/>
    <s v="Routine"/>
    <x v="4"/>
    <n v="2028"/>
    <s v="Lao People’s Democratic Republic"/>
    <s v="v23.2"/>
    <s v="Gavi 6.0"/>
    <n v="81022.094400000002"/>
    <n v="65642.224285714299"/>
    <n v="8.1022094400000008E-2"/>
    <n v="6.5642224285714298E-2"/>
    <s v="Guaranteed"/>
  </r>
  <r>
    <s v="Vaccine"/>
    <s v="Routine"/>
    <x v="4"/>
    <n v="2027"/>
    <s v="Cameroon"/>
    <s v="v23.2"/>
    <s v="Gavi 6.0"/>
    <n v="616493.92209999997"/>
    <n v="500707.118819536"/>
    <n v="0.61649392209999998"/>
    <n v="0.500707118819536"/>
    <s v="Guaranteed"/>
  </r>
  <r>
    <s v="Vaccine"/>
    <s v="Routine"/>
    <x v="4"/>
    <n v="2028"/>
    <s v="Cameroon"/>
    <s v="v23.2"/>
    <s v="Gavi 6.0"/>
    <n v="506424.64809999999"/>
    <n v="410293.52043652302"/>
    <n v="0.50642464809999999"/>
    <n v="0.41029352043652301"/>
    <s v="Guaranteed"/>
  </r>
  <r>
    <s v="Vaccine"/>
    <s v="Routine"/>
    <x v="4"/>
    <n v="2027"/>
    <s v="Congo, the Democratic Republic of the"/>
    <s v="v23.2"/>
    <s v="Gavi 6.0"/>
    <n v="6676254.2045"/>
    <n v="5347696.7194615398"/>
    <n v="6.6762542045000002"/>
    <n v="5.3476967194615401"/>
    <s v="Guaranteed"/>
  </r>
  <r>
    <s v="Vaccine"/>
    <s v="Routine"/>
    <x v="4"/>
    <n v="2028"/>
    <s v="Congo, the Democratic Republic of the"/>
    <s v="v23.2"/>
    <s v="Gavi 6.0"/>
    <n v="6893650.5894999998"/>
    <n v="5510264.13907813"/>
    <n v="6.8936505895"/>
    <n v="5.5102641390781297"/>
    <s v="Guaranteed"/>
  </r>
  <r>
    <s v="Vaccine"/>
    <s v="Routine"/>
    <x v="5"/>
    <n v="2028"/>
    <s v="Burundi"/>
    <s v="v23.2"/>
    <s v="Gavi 6.0"/>
    <n v="57146.584199999998"/>
    <n v="21818.321463706601"/>
    <n v="5.7146584199999996E-2"/>
    <n v="2.1818321463706603E-2"/>
    <s v="Guaranteed"/>
  </r>
  <r>
    <s v="Vaccine"/>
    <s v="Routine"/>
    <x v="5"/>
    <n v="2028"/>
    <s v="Chad"/>
    <s v="v23.2"/>
    <s v="Gavi 6.0"/>
    <n v="438810.36330000003"/>
    <n v="167535.92006117501"/>
    <n v="0.43881036330000001"/>
    <n v="0.16753592006117501"/>
    <s v="Guaranteed"/>
  </r>
  <r>
    <s v="Vaccine"/>
    <s v="Routine"/>
    <x v="6"/>
    <n v="2028"/>
    <s v="Bangladesh"/>
    <s v="v23.2"/>
    <s v="Gavi 6.0"/>
    <n v="140012.5147"/>
    <n v="99104.929895994006"/>
    <n v="0.14001251470000001"/>
    <n v="9.9104929895994009E-2"/>
    <s v="Guaranteed"/>
  </r>
  <r>
    <s v="Vaccine"/>
    <s v="Routine"/>
    <x v="6"/>
    <n v="2027"/>
    <s v="Bangladesh"/>
    <s v="v23.2"/>
    <s v="Gavi 6.0"/>
    <n v="140121.8769"/>
    <n v="100305.196690108"/>
    <n v="0.1401218769"/>
    <n v="0.100305196690108"/>
    <s v="Guaranteed"/>
  </r>
  <r>
    <s v="Vaccine"/>
    <s v="Routine"/>
    <x v="6"/>
    <n v="2027"/>
    <s v="South Sudan"/>
    <s v="v23.2"/>
    <s v="Gavi 6.0"/>
    <n v="98485.832399999999"/>
    <n v="70843.574621874999"/>
    <n v="9.8485832400000001E-2"/>
    <n v="7.0843574621875002E-2"/>
    <s v="Guaranteed"/>
  </r>
  <r>
    <s v="Vaccine"/>
    <s v="Routine"/>
    <x v="6"/>
    <n v="2028"/>
    <s v="South Sudan"/>
    <s v="v23.2"/>
    <s v="Gavi 6.0"/>
    <n v="100886.9728"/>
    <n v="71745.314827312497"/>
    <n v="0.1008869728"/>
    <n v="7.1745314827312501E-2"/>
    <s v="Guaranteed"/>
  </r>
  <r>
    <s v="Vaccine"/>
    <s v="Routine"/>
    <x v="6"/>
    <n v="2026"/>
    <s v="Sudan"/>
    <s v="v23.2"/>
    <s v="Gavi 6.0"/>
    <n v="1497256.3851999999"/>
    <n v="735329.64599999995"/>
    <n v="1.4972563851999998"/>
    <n v="0.73532964599999995"/>
    <s v="Guaranteed"/>
  </r>
  <r>
    <s v="Vaccine"/>
    <s v="Routine"/>
    <x v="6"/>
    <n v="2027"/>
    <s v="Sudan"/>
    <s v="v23.2"/>
    <s v="Gavi 6.0"/>
    <n v="887887.152"/>
    <n v="652850.85191671399"/>
    <n v="0.88788715200000001"/>
    <n v="0.65285085191671399"/>
    <s v="Guaranteed"/>
  </r>
  <r>
    <s v="Vaccine"/>
    <s v="Routine"/>
    <x v="6"/>
    <n v="2028"/>
    <s v="Sudan"/>
    <s v="v23.2"/>
    <s v="Gavi 6.0"/>
    <n v="949325.06290000002"/>
    <n v="658959.80794747802"/>
    <n v="0.94932506290000007"/>
    <n v="0.65895980794747799"/>
    <s v="Guaranteed"/>
  </r>
  <r>
    <s v="Vaccine"/>
    <s v="Routine"/>
    <x v="6"/>
    <n v="2028"/>
    <s v="United Republic of Tanzania"/>
    <s v="v23.2"/>
    <s v="Gavi 6.0"/>
    <n v="24370.219499999999"/>
    <n v="17249.9501475"/>
    <n v="2.4370219499999998E-2"/>
    <n v="1.7249950147499998E-2"/>
    <s v="Guaranteed"/>
  </r>
  <r>
    <s v="Vaccine"/>
    <s v="Routine"/>
    <x v="6"/>
    <n v="2027"/>
    <s v="United Republic of Tanzania"/>
    <s v="v23.2"/>
    <s v="Gavi 6.0"/>
    <n v="23947.736000000001"/>
    <n v="17142.8076"/>
    <n v="2.3947736000000001E-2"/>
    <n v="1.7142807600000001E-2"/>
    <s v="Guaranteed"/>
  </r>
  <r>
    <s v="Vaccine"/>
    <s v="Routine"/>
    <x v="6"/>
    <n v="2027"/>
    <s v="Uganda"/>
    <s v="v23.2"/>
    <s v="Gavi 6.0"/>
    <n v="87280.972699999998"/>
    <n v="62479.430999999997"/>
    <n v="8.7280972700000001E-2"/>
    <n v="6.2479430999999995E-2"/>
    <s v="Guaranteed"/>
  </r>
  <r>
    <s v="Vaccine"/>
    <s v="Routine"/>
    <x v="6"/>
    <n v="2028"/>
    <s v="Uganda"/>
    <s v="v23.2"/>
    <s v="Gavi 6.0"/>
    <n v="88710.438299999994"/>
    <n v="62791.828155000003"/>
    <n v="8.87104383E-2"/>
    <n v="6.2791828155000007E-2"/>
    <s v="Guaranteed"/>
  </r>
  <r>
    <s v="Vaccine"/>
    <s v="Routine"/>
    <x v="6"/>
    <n v="2028"/>
    <s v="Myanmar"/>
    <s v="v23.2"/>
    <s v="Gavi 6.0"/>
    <n v="465022.97230000002"/>
    <n v="329156.78399999999"/>
    <n v="0.4650229723"/>
    <n v="0.32915678399999998"/>
    <s v="Guaranteed"/>
  </r>
  <r>
    <s v="Vaccine"/>
    <s v="Routine"/>
    <x v="6"/>
    <n v="2027"/>
    <s v="Myanmar"/>
    <s v="v23.2"/>
    <s v="Gavi 6.0"/>
    <n v="289165.7254"/>
    <n v="206997.12"/>
    <n v="0.28916572540000002"/>
    <n v="0.20699712000000001"/>
    <s v="Guaranteed"/>
  </r>
  <r>
    <s v="Vaccine"/>
    <s v="Routine"/>
    <x v="6"/>
    <n v="2026"/>
    <s v="Myanmar"/>
    <s v="v23.2"/>
    <s v="Gavi 6.0"/>
    <n v="446570.03490000003"/>
    <n v="258746.4"/>
    <n v="0.44657003490000002"/>
    <n v="0.25874639999999999"/>
    <s v="Guaranteed"/>
  </r>
  <r>
    <s v="Vaccine"/>
    <s v="Routine"/>
    <x v="7"/>
    <n v="2027"/>
    <s v="Uganda"/>
    <s v="v23.2"/>
    <s v="Gavi 6.0"/>
    <n v="183349.0619"/>
    <n v="87780.635692559998"/>
    <n v="0.1833490619"/>
    <n v="8.7780635692559991E-2"/>
    <s v="Guaranteed"/>
  </r>
  <r>
    <s v="Vaccine"/>
    <s v="Routine"/>
    <x v="7"/>
    <n v="2028"/>
    <s v="Uganda"/>
    <s v="v23.2"/>
    <s v="Gavi 6.0"/>
    <n v="185197.29639999999"/>
    <n v="89105.348260953004"/>
    <n v="0.18519729639999999"/>
    <n v="8.910534826095301E-2"/>
    <s v="Guaranteed"/>
  </r>
  <r>
    <s v="Vaccine"/>
    <s v="Routine"/>
    <x v="7"/>
    <n v="2027"/>
    <s v="Bangladesh"/>
    <s v="v23.2"/>
    <s v="Gavi 6.0"/>
    <n v="455518.15299999999"/>
    <n v="153231.75"/>
    <n v="0.45551815299999998"/>
    <n v="0.15323175"/>
    <s v="Guaranteed"/>
  </r>
  <r>
    <s v="Vaccine"/>
    <s v="Routine"/>
    <x v="7"/>
    <n v="2028"/>
    <s v="Bangladesh"/>
    <s v="v23.2"/>
    <s v="Gavi 6.0"/>
    <n v="320070.53340000001"/>
    <n v="153997.90875"/>
    <n v="0.32007053340000002"/>
    <n v="0.15399790875"/>
    <s v="Guaranteed"/>
  </r>
  <r>
    <s v="Vaccine"/>
    <s v="Routine"/>
    <x v="7"/>
    <n v="2027"/>
    <s v="Chad"/>
    <s v="v23.2"/>
    <s v="Gavi 6.0"/>
    <n v="399135.91249999998"/>
    <n v="162823.67887500001"/>
    <n v="0.39913591249999997"/>
    <n v="0.16282367887500002"/>
    <s v="Guaranteed"/>
  </r>
  <r>
    <s v="Vaccine"/>
    <s v="Routine"/>
    <x v="7"/>
    <n v="2027"/>
    <s v="Burundi"/>
    <s v="v23.2"/>
    <s v="Gavi 6.0"/>
    <n v="51790.3361"/>
    <n v="21127.372393207501"/>
    <n v="5.1790336100000001E-2"/>
    <n v="2.11273723932075E-2"/>
    <s v="Guaranteed"/>
  </r>
  <r>
    <s v="Vaccine"/>
    <s v="Routine"/>
    <x v="7"/>
    <n v="2028"/>
    <s v="Burundi"/>
    <s v="v23.2"/>
    <s v="Gavi 6.0"/>
    <n v="52392.425300000003"/>
    <n v="21488.901200789998"/>
    <n v="5.2392425300000003E-2"/>
    <n v="2.1488901200789997E-2"/>
    <s v="Guaranteed"/>
  </r>
  <r>
    <s v="Vaccine"/>
    <s v="Routine"/>
    <x v="7"/>
    <n v="2026"/>
    <s v="Sudan"/>
    <s v="v23.2"/>
    <s v="Gavi 6.0"/>
    <n v="6149193.9861000003"/>
    <n v="2156600"/>
    <n v="6.1491939861000002"/>
    <n v="2.1566000000000001"/>
    <s v="Guaranteed"/>
  </r>
  <r>
    <s v="Vaccine"/>
    <s v="Routine"/>
    <x v="7"/>
    <n v="2027"/>
    <s v="Sudan"/>
    <s v="v23.2"/>
    <s v="Gavi 6.0"/>
    <n v="2033733.4036999999"/>
    <n v="829642.09499999997"/>
    <n v="2.0337334036999999"/>
    <n v="0.82964209499999997"/>
    <s v="Guaranteed"/>
  </r>
  <r>
    <s v="Vaccine"/>
    <s v="Routine"/>
    <x v="7"/>
    <n v="2028"/>
    <s v="Sudan"/>
    <s v="v23.2"/>
    <s v="Gavi 6.0"/>
    <n v="2048694.601"/>
    <n v="840277.87694999995"/>
    <n v="2.0486946010000002"/>
    <n v="0.84027787695"/>
    <s v="Guaranteed"/>
  </r>
  <r>
    <s v="Vaccine"/>
    <s v="Routine"/>
    <x v="7"/>
    <n v="2028"/>
    <s v="Chad"/>
    <s v="v23.2"/>
    <s v="Gavi 6.0"/>
    <n v="402394.9804"/>
    <n v="165043.437755625"/>
    <n v="0.40239498039999999"/>
    <n v="0.16504343775562499"/>
    <s v="Guaranteed"/>
  </r>
  <r>
    <s v="Vaccine"/>
    <s v="Routine"/>
    <x v="7"/>
    <n v="2027"/>
    <s v="United Republic of Tanzania"/>
    <s v="v23.2"/>
    <s v="Gavi 6.0"/>
    <n v="59075.680399999997"/>
    <n v="24099.358924079999"/>
    <n v="5.9075680399999997E-2"/>
    <n v="2.4099358924079998E-2"/>
    <s v="Guaranteed"/>
  </r>
  <r>
    <s v="Vaccine"/>
    <s v="Routine"/>
    <x v="7"/>
    <n v="2028"/>
    <s v="United Republic of Tanzania"/>
    <s v="v23.2"/>
    <s v="Gavi 6.0"/>
    <n v="59644.067799999997"/>
    <n v="24463.182872625701"/>
    <n v="5.9644067799999999E-2"/>
    <n v="2.4463182872625701E-2"/>
    <s v="Guaranteed"/>
  </r>
  <r>
    <s v="Vaccine"/>
    <s v="Routine"/>
    <x v="8"/>
    <n v="2027"/>
    <s v="Bangladesh"/>
    <s v="v23.2"/>
    <s v="Gavi 6.0"/>
    <n v="202004.73860000001"/>
    <n v="144885.28410793401"/>
    <n v="0.20200473860000001"/>
    <n v="0.14488528410793403"/>
    <s v="Guaranteed"/>
  </r>
  <r>
    <s v="Vaccine"/>
    <s v="Routine"/>
    <x v="8"/>
    <n v="2028"/>
    <s v="Bangladesh"/>
    <s v="v23.2"/>
    <s v="Gavi 6.0"/>
    <n v="199482.71900000001"/>
    <n v="143151.565405325"/>
    <n v="0.199482719"/>
    <n v="0.143151565405325"/>
    <s v="Guaranteed"/>
  </r>
  <r>
    <s v="Vaccine"/>
    <s v="Routine"/>
    <x v="8"/>
    <n v="2027"/>
    <s v="South Sudan"/>
    <s v="v23.2"/>
    <s v="Gavi 6.0"/>
    <n v="98963.318499999994"/>
    <n v="106265.361932813"/>
    <n v="9.8963318499999994E-2"/>
    <n v="0.106265361932813"/>
    <s v="Guaranteed"/>
  </r>
  <r>
    <s v="Vaccine"/>
    <s v="Routine"/>
    <x v="8"/>
    <n v="2028"/>
    <s v="South Sudan"/>
    <s v="v23.2"/>
    <s v="Gavi 6.0"/>
    <n v="107475.9914"/>
    <n v="107617.972240969"/>
    <n v="0.1074759914"/>
    <n v="0.107617972240969"/>
    <s v="Guaranteed"/>
  </r>
  <r>
    <s v="Vaccine"/>
    <s v="Routine"/>
    <x v="8"/>
    <n v="2026"/>
    <s v="Sudan"/>
    <s v="v23.2"/>
    <s v="Gavi 6.0"/>
    <n v="975878.11789999995"/>
    <n v="1035494.469"/>
    <n v="0.97587811790000001"/>
    <n v="1.0354944690000001"/>
    <s v="Guaranteed"/>
  </r>
  <r>
    <s v="Vaccine"/>
    <s v="Routine"/>
    <x v="8"/>
    <n v="2027"/>
    <s v="Sudan"/>
    <s v="v23.2"/>
    <s v="Gavi 6.0"/>
    <n v="926651.19510000001"/>
    <n v="987845.34734383796"/>
    <n v="0.92665119510000005"/>
    <n v="0.987845347343838"/>
    <s v="Guaranteed"/>
  </r>
  <r>
    <s v="Vaccine"/>
    <s v="Routine"/>
    <x v="8"/>
    <n v="2028"/>
    <s v="Sudan"/>
    <s v="v23.2"/>
    <s v="Gavi 6.0"/>
    <n v="993647.89379999996"/>
    <n v="988439.71192121704"/>
    <n v="0.99364789379999996"/>
    <n v="0.98843971192121705"/>
    <s v="Guaranteed"/>
  </r>
  <r>
    <s v="Vaccine"/>
    <s v="Routine"/>
    <x v="8"/>
    <n v="2027"/>
    <s v="United Republic of Tanzania"/>
    <s v="v23.2"/>
    <s v="Gavi 6.0"/>
    <n v="24121.2906"/>
    <n v="25714.2114"/>
    <n v="2.4121290600000001E-2"/>
    <n v="2.5714211399999999E-2"/>
    <s v="Guaranteed"/>
  </r>
  <r>
    <s v="Vaccine"/>
    <s v="Routine"/>
    <x v="8"/>
    <n v="2028"/>
    <s v="United Republic of Tanzania"/>
    <s v="v23.2"/>
    <s v="Gavi 6.0"/>
    <n v="26011.262599999998"/>
    <n v="25874.92522125"/>
    <n v="2.6011262599999998E-2"/>
    <n v="2.5874925221250001E-2"/>
    <s v="Guaranteed"/>
  </r>
  <r>
    <s v="Vaccine"/>
    <s v="Routine"/>
    <x v="8"/>
    <n v="2027"/>
    <s v="Uganda"/>
    <s v="v23.2"/>
    <s v="Gavi 6.0"/>
    <n v="87913.517399999997"/>
    <n v="93719.146500000003"/>
    <n v="8.7913517400000002E-2"/>
    <n v="9.3719146500000003E-2"/>
    <s v="Guaranteed"/>
  </r>
  <r>
    <s v="Vaccine"/>
    <s v="Routine"/>
    <x v="8"/>
    <n v="2028"/>
    <s v="Uganda"/>
    <s v="v23.2"/>
    <s v="Gavi 6.0"/>
    <n v="94684.026299999998"/>
    <n v="94187.742232499993"/>
    <n v="9.4684026300000002E-2"/>
    <n v="9.4187742232499996E-2"/>
    <s v="Guaranteed"/>
  </r>
  <r>
    <s v="Vaccine"/>
    <s v="Routine"/>
    <x v="8"/>
    <n v="2026"/>
    <s v="Myanmar"/>
    <s v="v23.2"/>
    <s v="Gavi 6.0"/>
    <n v="391046.42090000003"/>
    <n v="415562.4"/>
    <n v="0.39104642090000002"/>
    <n v="0.4155624"/>
    <s v="Guaranteed"/>
  </r>
  <r>
    <s v="Vaccine"/>
    <s v="Routine"/>
    <x v="8"/>
    <n v="2027"/>
    <s v="Myanmar"/>
    <s v="v23.2"/>
    <s v="Gavi 6.0"/>
    <n v="315091.84980000003"/>
    <n v="335899.87199999997"/>
    <n v="0.31509184980000005"/>
    <n v="0.33589987199999999"/>
    <s v="Guaranteed"/>
  </r>
  <r>
    <s v="Vaccine"/>
    <s v="Routine"/>
    <x v="8"/>
    <n v="2028"/>
    <s v="Myanmar"/>
    <s v="v23.2"/>
    <s v="Gavi 6.0"/>
    <n v="340444.26409999997"/>
    <n v="338659.83360000001"/>
    <n v="0.34044426409999995"/>
    <n v="0.33865983360000002"/>
    <s v="Guaranteed"/>
  </r>
  <r>
    <s v="Vaccine"/>
    <s v="Routine"/>
    <x v="9"/>
    <n v="2026"/>
    <s v="Sudan"/>
    <s v="v23.2"/>
    <s v="Gavi 6.0"/>
    <n v="580800.29879999999"/>
    <n v="291914.50905528601"/>
    <n v="0.58080029879999995"/>
    <n v="0.29191450905528599"/>
    <s v="Guaranteed"/>
  </r>
  <r>
    <s v="Vaccine"/>
    <s v="Routine"/>
    <x v="9"/>
    <n v="2027"/>
    <s v="Sudan"/>
    <s v="v23.2"/>
    <s v="Gavi 6.0"/>
    <n v="595477.06019999995"/>
    <n v="299291.15745482902"/>
    <n v="0.59547706019999991"/>
    <n v="0.29929115745482904"/>
    <s v="Guaranteed"/>
  </r>
  <r>
    <s v="Vaccine"/>
    <s v="Routine"/>
    <x v="9"/>
    <n v="2028"/>
    <s v="Sudan"/>
    <s v="v23.2"/>
    <s v="Gavi 6.0"/>
    <n v="439238.12819999998"/>
    <n v="303063.95635743701"/>
    <n v="0.43923812819999997"/>
    <n v="0.30306395635743699"/>
    <s v="Guaranteed"/>
  </r>
  <r>
    <s v="Vaccine"/>
    <s v="Routine"/>
    <x v="9"/>
    <n v="2027"/>
    <s v="Chad"/>
    <s v="v23.2"/>
    <s v="Gavi 6.0"/>
    <n v="134410.0232"/>
    <n v="81250"/>
    <n v="0.13441002320000001"/>
    <n v="8.1250000000000003E-2"/>
    <s v="Guaranteed"/>
  </r>
  <r>
    <s v="Vaccine"/>
    <s v="Routine"/>
    <x v="9"/>
    <n v="2028"/>
    <s v="Chad"/>
    <s v="v23.2"/>
    <s v="Gavi 6.0"/>
    <n v="124590.08839999999"/>
    <n v="81250"/>
    <n v="0.12459008839999999"/>
    <n v="8.1250000000000003E-2"/>
    <s v="Guaranteed"/>
  </r>
  <r>
    <s v="Vaccine"/>
    <s v="Routine"/>
    <x v="9"/>
    <n v="2027"/>
    <s v="Uganda"/>
    <s v="v23.2"/>
    <s v="Gavi 6.0"/>
    <n v="59862.221299999997"/>
    <n v="36186.3301778963"/>
    <n v="5.9862221299999997E-2"/>
    <n v="3.6186330177896298E-2"/>
    <s v="Guaranteed"/>
  </r>
  <r>
    <s v="Vaccine"/>
    <s v="Routine"/>
    <x v="9"/>
    <n v="2028"/>
    <s v="Uganda"/>
    <s v="v23.2"/>
    <s v="Gavi 6.0"/>
    <n v="55789.321799999998"/>
    <n v="36382.367606112901"/>
    <n v="5.57893218E-2"/>
    <n v="3.6382367606112902E-2"/>
    <s v="Guaranteed"/>
  </r>
  <r>
    <s v="Vaccine"/>
    <s v="Routine"/>
    <x v="10"/>
    <n v="2029"/>
    <s v="Afghanistan"/>
    <s v="v23.2"/>
    <s v="Gavi 6.0"/>
    <n v="339882.51459999999"/>
    <n v="739782.46727114404"/>
    <n v="0.33988251460000002"/>
    <n v="0.73978246727114405"/>
    <s v="Discretionary"/>
  </r>
  <r>
    <s v="Vaccine"/>
    <s v="Routine"/>
    <x v="10"/>
    <n v="2030"/>
    <s v="Afghanistan"/>
    <s v="v23.2"/>
    <s v="Gavi 6.0"/>
    <n v="309459.57949999999"/>
    <n v="673564.42723470496"/>
    <n v="0.30945957949999997"/>
    <n v="0.673564427234705"/>
    <s v="Discretionary"/>
  </r>
  <r>
    <s v="Vaccine"/>
    <s v="Routine"/>
    <x v="10"/>
    <n v="2029"/>
    <s v="Solomon Islands"/>
    <s v="v23.2"/>
    <s v="Gavi 6.0"/>
    <n v="1612.4027000000001"/>
    <n v="3992.6902254516999"/>
    <n v="1.6124027E-3"/>
    <n v="3.9926902254517E-3"/>
    <s v="Discretionary"/>
  </r>
  <r>
    <s v="Vaccine"/>
    <s v="Routine"/>
    <x v="10"/>
    <n v="2030"/>
    <s v="Solomon Islands"/>
    <s v="v23.2"/>
    <s v="Gavi 6.0"/>
    <n v="1651.0565999999999"/>
    <n v="4088.4063841799998"/>
    <n v="1.6510565999999999E-3"/>
    <n v="4.0884063841799996E-3"/>
    <s v="Discretionary"/>
  </r>
  <r>
    <s v="Vaccine"/>
    <s v="Routine"/>
    <x v="10"/>
    <n v="2030"/>
    <s v="Mali"/>
    <s v="v23.2"/>
    <s v="Gavi 6.0"/>
    <n v="181280.65820000001"/>
    <n v="448893.75588650198"/>
    <n v="0.1812806582"/>
    <n v="0.44889375588650199"/>
    <s v="Discretionary"/>
  </r>
  <r>
    <s v="Vaccine"/>
    <s v="Routine"/>
    <x v="10"/>
    <n v="2029"/>
    <s v="Somalia"/>
    <s v="v23.2"/>
    <s v="Gavi 6.0"/>
    <n v="99027.932000000001"/>
    <n v="215542.50282347901"/>
    <n v="9.9027931999999999E-2"/>
    <n v="0.215542502823479"/>
    <s v="Discretionary"/>
  </r>
  <r>
    <s v="Vaccine"/>
    <s v="Routine"/>
    <x v="10"/>
    <n v="2030"/>
    <s v="Somalia"/>
    <s v="v23.2"/>
    <s v="Gavi 6.0"/>
    <n v="90540.267699999997"/>
    <n v="197068.397865437"/>
    <n v="9.0540267699999996E-2"/>
    <n v="0.19706839786543701"/>
    <s v="Discretionary"/>
  </r>
  <r>
    <s v="Vaccine"/>
    <s v="Routine"/>
    <x v="11"/>
    <n v="2029"/>
    <s v="Ghana"/>
    <s v="v23.2"/>
    <s v="Gavi 6.0"/>
    <n v="840599.06909999996"/>
    <n v="263592.97517584998"/>
    <n v="0.84059906909999993"/>
    <n v="0.26359297517584995"/>
    <s v="Discretionary"/>
  </r>
  <r>
    <s v="Vaccine"/>
    <s v="Routine"/>
    <x v="11"/>
    <n v="2027"/>
    <s v="Kenya"/>
    <s v="v23.2"/>
    <s v="Gavi 6.0"/>
    <n v="1329280.8221"/>
    <n v="411051.57986040198"/>
    <n v="1.3292808221000001"/>
    <n v="0.41105157986040197"/>
    <s v="Discretionary"/>
  </r>
  <r>
    <s v="Vaccine"/>
    <s v="Routine"/>
    <x v="11"/>
    <n v="2028"/>
    <s v="Kenya"/>
    <s v="v23.2"/>
    <s v="Gavi 6.0"/>
    <n v="903061.62459999998"/>
    <n v="283179.82870031998"/>
    <n v="0.90306162459999995"/>
    <n v="0.28317982870031999"/>
    <s v="Discretionary"/>
  </r>
  <r>
    <s v="Vaccine"/>
    <s v="Routine"/>
    <x v="11"/>
    <n v="2029"/>
    <s v="Kenya"/>
    <s v="v23.2"/>
    <s v="Gavi 6.0"/>
    <n v="505763.38789999997"/>
    <n v="158596.03116164199"/>
    <n v="0.50576338789999997"/>
    <n v="0.158596031161642"/>
    <s v="Discretionary"/>
  </r>
  <r>
    <s v="Vaccine"/>
    <s v="Routine"/>
    <x v="11"/>
    <n v="2030"/>
    <s v="Kenya"/>
    <s v="v23.2"/>
    <s v="Gavi 6.0"/>
    <n v="522532.31819999998"/>
    <n v="163854.39079826401"/>
    <n v="0.52253231820000001"/>
    <n v="0.163854390798264"/>
    <s v="Discretionary"/>
  </r>
  <r>
    <s v="Vaccine"/>
    <s v="Routine"/>
    <x v="11"/>
    <n v="2028"/>
    <s v="Malawi"/>
    <s v="v23.2"/>
    <s v="Gavi 6.0"/>
    <n v="3538658.8365000002"/>
    <n v="1100491.28509524"/>
    <n v="3.5386588365000002"/>
    <n v="1.10049128509524"/>
    <s v="Discretionary"/>
  </r>
  <r>
    <s v="Vaccine"/>
    <s v="Routine"/>
    <x v="11"/>
    <n v="2029"/>
    <s v="Malawi"/>
    <s v="v23.2"/>
    <s v="Gavi 6.0"/>
    <n v="3608415.6031999998"/>
    <n v="1122185.0163552"/>
    <n v="3.6084156031999997"/>
    <n v="1.1221850163552001"/>
    <s v="Discretionary"/>
  </r>
  <r>
    <s v="Vaccine"/>
    <s v="Routine"/>
    <x v="11"/>
    <n v="2030"/>
    <s v="Malawi"/>
    <s v="v23.2"/>
    <s v="Gavi 6.0"/>
    <n v="3679468.8747"/>
    <n v="1144281.9490138099"/>
    <n v="3.6794688746999999"/>
    <n v="1.1442819490138099"/>
    <s v="Discretionary"/>
  </r>
  <r>
    <s v="Vaccine"/>
    <s v="Routine"/>
    <x v="11"/>
    <n v="2026"/>
    <s v="Ghana"/>
    <s v="v23.2"/>
    <s v="Gavi 6.0"/>
    <n v="4718292.3624"/>
    <n v="1122600"/>
    <n v="4.7182923623999997"/>
    <n v="1.1226"/>
    <s v="Discretionary"/>
  </r>
  <r>
    <s v="Vaccine"/>
    <s v="Routine"/>
    <x v="11"/>
    <n v="2027"/>
    <s v="Ghana"/>
    <s v="v23.2"/>
    <s v="Gavi 6.0"/>
    <n v="2808336.6301000002"/>
    <n v="868417.861274241"/>
    <n v="2.8083366301000003"/>
    <n v="0.86841786127424103"/>
    <s v="Discretionary"/>
  </r>
  <r>
    <s v="Vaccine"/>
    <s v="Routine"/>
    <x v="11"/>
    <n v="2028"/>
    <s v="Ghana"/>
    <s v="v23.2"/>
    <s v="Gavi 6.0"/>
    <n v="1765889.3669"/>
    <n v="553743.21616631502"/>
    <n v="1.7658893669"/>
    <n v="0.55374321616631506"/>
    <s v="Discretionary"/>
  </r>
  <r>
    <s v="Vaccine"/>
    <s v="Routine"/>
    <x v="5"/>
    <n v="2028"/>
    <s v="Kyrgyzstan"/>
    <s v="v23.2"/>
    <s v="Gavi 6.0"/>
    <n v="835823.29610000004"/>
    <n v="319113.75987720699"/>
    <n v="0.83582329610000006"/>
    <n v="0.31911375987720697"/>
    <s v="Guaranteed"/>
  </r>
  <r>
    <s v="Vaccine"/>
    <s v="Routine"/>
    <x v="5"/>
    <n v="2029"/>
    <s v="Pakistan"/>
    <s v="v23.2"/>
    <s v="Gavi 6.0"/>
    <n v="33867927.373000003"/>
    <n v="14827372.7149956"/>
    <n v="33.867927373000001"/>
    <n v="14.827372714995601"/>
    <s v="Guaranteed"/>
  </r>
  <r>
    <s v="Vaccine"/>
    <s v="Routine"/>
    <x v="5"/>
    <n v="2030"/>
    <s v="Pakistan"/>
    <s v="v23.2"/>
    <s v="Gavi 6.0"/>
    <n v="25322294.575300001"/>
    <n v="11060170.4094932"/>
    <n v="25.322294575299999"/>
    <n v="11.0601704094932"/>
    <s v="Guaranteed"/>
  </r>
  <r>
    <s v="Vaccine"/>
    <s v="Routine"/>
    <x v="5"/>
    <n v="2029"/>
    <s v="Kyrgyzstan"/>
    <s v="v23.2"/>
    <s v="Gavi 6.0"/>
    <n v="663108.76170000003"/>
    <n v="290308.90057422599"/>
    <n v="0.66310876169999999"/>
    <n v="0.29030890057422598"/>
    <s v="Guaranteed"/>
  </r>
  <r>
    <s v="Vaccine"/>
    <s v="Routine"/>
    <x v="5"/>
    <n v="2030"/>
    <s v="Madagascar"/>
    <s v="v23.2"/>
    <s v="Gavi 6.0"/>
    <n v="5255642.6617000001"/>
    <n v="2290788.9293762599"/>
    <n v="5.2556426617000005"/>
    <n v="2.29078892937626"/>
    <s v="Guaranteed"/>
  </r>
  <r>
    <s v="Vaccine"/>
    <s v="Routine"/>
    <x v="5"/>
    <n v="2029"/>
    <s v="Rwanda"/>
    <s v="v23.2"/>
    <s v="Gavi 6.0"/>
    <n v="2596208.0414"/>
    <n v="1134255.99884297"/>
    <n v="2.5962080414000002"/>
    <n v="1.1342559988429699"/>
    <s v="Guaranteed"/>
  </r>
  <r>
    <s v="Vaccine"/>
    <s v="Routine"/>
    <x v="5"/>
    <n v="2030"/>
    <s v="Kyrgyzstan"/>
    <s v="v23.2"/>
    <s v="Gavi 6.0"/>
    <n v="576971.41899999999"/>
    <n v="252007.26564517801"/>
    <n v="0.57697141900000004"/>
    <n v="0.252007265645178"/>
    <s v="Guaranteed"/>
  </r>
  <r>
    <s v="Vaccine"/>
    <s v="Routine"/>
    <x v="5"/>
    <n v="2030"/>
    <s v="Rwanda"/>
    <s v="v23.2"/>
    <s v="Gavi 6.0"/>
    <n v="2232263.7897999999"/>
    <n v="972981.89894649899"/>
    <n v="2.2322637897999997"/>
    <n v="0.972981898946499"/>
    <s v="Guaranteed"/>
  </r>
  <r>
    <s v="Vaccine"/>
    <s v="Routine"/>
    <x v="5"/>
    <n v="2029"/>
    <s v="Lao People’s Democratic Republic"/>
    <s v="v23.2"/>
    <s v="Gavi 6.0"/>
    <n v="581232.52110000001"/>
    <n v="254463.496688065"/>
    <n v="0.58123252110000001"/>
    <n v="0.25446349668806501"/>
    <s v="Guaranteed"/>
  </r>
  <r>
    <s v="Vaccine"/>
    <s v="Routine"/>
    <x v="5"/>
    <n v="2028"/>
    <s v="Somalia"/>
    <s v="v23.2"/>
    <s v="Gavi 6.0"/>
    <n v="4246122.3656000001"/>
    <n v="1618625.7788553301"/>
    <n v="4.2461223655999998"/>
    <n v="1.61862577885533"/>
    <s v="Guaranteed"/>
  </r>
  <r>
    <s v="Vaccine"/>
    <s v="Routine"/>
    <x v="5"/>
    <n v="2029"/>
    <s v="Somalia"/>
    <s v="v23.2"/>
    <s v="Gavi 6.0"/>
    <n v="3334918.1104000001"/>
    <n v="1456990.6617739301"/>
    <n v="3.3349181104000003"/>
    <n v="1.4569906617739301"/>
    <s v="Guaranteed"/>
  </r>
  <r>
    <s v="Vaccine"/>
    <s v="Routine"/>
    <x v="5"/>
    <n v="2030"/>
    <s v="Somalia"/>
    <s v="v23.2"/>
    <s v="Gavi 6.0"/>
    <n v="3414086.6866000001"/>
    <n v="1488105.73490334"/>
    <n v="3.4140866866000001"/>
    <n v="1.48810573490334"/>
    <s v="Guaranteed"/>
  </r>
  <r>
    <s v="Vaccine"/>
    <s v="Routine"/>
    <x v="5"/>
    <n v="2029"/>
    <s v="Madagascar"/>
    <s v="v23.2"/>
    <s v="Gavi 6.0"/>
    <n v="5153317.7878"/>
    <n v="2251430.3636253802"/>
    <n v="5.1533177877999998"/>
    <n v="2.2514303636253801"/>
    <s v="Guaranteed"/>
  </r>
  <r>
    <s v="Vaccine"/>
    <s v="Routine"/>
    <x v="5"/>
    <n v="2029"/>
    <s v="Cambodia"/>
    <s v="v23.2"/>
    <s v="Gavi 6.0"/>
    <n v="2211980.0636"/>
    <n v="968404.48720788199"/>
    <n v="2.2119800636"/>
    <n v="0.96840448720788197"/>
    <s v="Guaranteed"/>
  </r>
  <r>
    <s v="Vaccine"/>
    <s v="Routine"/>
    <x v="5"/>
    <n v="2030"/>
    <s v="Lao People’s Democratic Republic"/>
    <s v="v23.2"/>
    <s v="Gavi 6.0"/>
    <n v="449677.65710000001"/>
    <n v="196408.406132843"/>
    <n v="0.44967765710000002"/>
    <n v="0.19640840613284299"/>
    <s v="Guaranteed"/>
  </r>
  <r>
    <s v="Vaccine"/>
    <s v="Routine"/>
    <x v="5"/>
    <n v="2028"/>
    <s v="Republic of Syria"/>
    <s v="v23.2"/>
    <s v="Gavi 6.0"/>
    <n v="8278062.7932000002"/>
    <n v="3155605.2045758101"/>
    <n v="8.2780627932000002"/>
    <n v="3.1556052045758101"/>
    <s v="Guaranteed"/>
  </r>
  <r>
    <s v="Vaccine"/>
    <s v="Routine"/>
    <x v="5"/>
    <n v="2030"/>
    <s v="Cambodia"/>
    <s v="v23.2"/>
    <s v="Gavi 6.0"/>
    <n v="1812118.517"/>
    <n v="791489.86837613396"/>
    <n v="1.812118517"/>
    <n v="0.791489868376134"/>
    <s v="Guaranteed"/>
  </r>
  <r>
    <s v="Vaccine"/>
    <s v="Routine"/>
    <x v="5"/>
    <n v="2026"/>
    <s v="Mauritania"/>
    <s v="v23.2"/>
    <s v="Gavi 6.0"/>
    <n v="1313043.8577000001"/>
    <n v="420800"/>
    <n v="1.3130438577000001"/>
    <n v="0.42080000000000001"/>
    <s v="Guaranteed"/>
  </r>
  <r>
    <s v="Vaccine"/>
    <s v="Routine"/>
    <x v="5"/>
    <n v="2029"/>
    <s v="Republic of Syria"/>
    <s v="v23.2"/>
    <s v="Gavi 6.0"/>
    <n v="6624476.1058999998"/>
    <n v="2894163.96622848"/>
    <n v="6.6244761058999995"/>
    <n v="2.8941639662284802"/>
    <s v="Guaranteed"/>
  </r>
  <r>
    <s v="Vaccine"/>
    <s v="Routine"/>
    <x v="5"/>
    <n v="2027"/>
    <s v="Mauritania"/>
    <s v="v23.2"/>
    <s v="Gavi 6.0"/>
    <n v="1171427.9342"/>
    <n v="394252.21685397101"/>
    <n v="1.1714279342"/>
    <n v="0.39425221685397099"/>
    <s v="Guaranteed"/>
  </r>
  <r>
    <s v="Vaccine"/>
    <s v="Routine"/>
    <x v="5"/>
    <n v="2028"/>
    <s v="Mauritania"/>
    <s v="v23.2"/>
    <s v="Gavi 6.0"/>
    <n v="1051865.5046999999"/>
    <n v="401597.75118785899"/>
    <n v="1.0518655046999998"/>
    <n v="0.40159775118785901"/>
    <s v="Guaranteed"/>
  </r>
  <r>
    <s v="Vaccine"/>
    <s v="Routine"/>
    <x v="5"/>
    <n v="2030"/>
    <s v="Republic of Syria"/>
    <s v="v23.2"/>
    <s v="Gavi 6.0"/>
    <n v="6770762.5191000002"/>
    <n v="2951187.6701862598"/>
    <n v="6.7707625190999998"/>
    <n v="2.9511876701862598"/>
    <s v="Guaranteed"/>
  </r>
  <r>
    <s v="Vaccine"/>
    <s v="Routine"/>
    <x v="5"/>
    <n v="2029"/>
    <s v="Mauritania"/>
    <s v="v23.2"/>
    <s v="Gavi 6.0"/>
    <n v="941727.13439999998"/>
    <n v="412287.97570145398"/>
    <n v="0.9417271344"/>
    <n v="0.41228797570145398"/>
    <s v="Guaranteed"/>
  </r>
  <r>
    <s v="Vaccine"/>
    <s v="Routine"/>
    <x v="5"/>
    <n v="2030"/>
    <s v="Mauritania"/>
    <s v="v23.2"/>
    <s v="Gavi 6.0"/>
    <n v="849410.88430000003"/>
    <n v="371002.284189909"/>
    <n v="0.8494108843"/>
    <n v="0.37100228418990899"/>
    <s v="Guaranteed"/>
  </r>
  <r>
    <s v="Vaccine"/>
    <s v="Routine"/>
    <x v="5"/>
    <n v="2028"/>
    <s v="Chad"/>
    <s v="v23.2"/>
    <s v="Gavi 6.0"/>
    <n v="5252180.4839000003"/>
    <n v="2002136.0654518399"/>
    <n v="5.2521804839000001"/>
    <n v="2.0021360654518401"/>
    <s v="Guaranteed"/>
  </r>
  <r>
    <s v="Vaccine"/>
    <s v="Routine"/>
    <x v="5"/>
    <n v="2029"/>
    <s v="Chad"/>
    <s v="v23.2"/>
    <s v="Gavi 6.0"/>
    <n v="4629073.2419999996"/>
    <n v="2022393.43305231"/>
    <n v="4.6290732419999996"/>
    <n v="2.0223934330523101"/>
    <s v="Guaranteed"/>
  </r>
  <r>
    <s v="Vaccine"/>
    <s v="Routine"/>
    <x v="5"/>
    <n v="2030"/>
    <s v="Chad"/>
    <s v="v23.2"/>
    <s v="Gavi 6.0"/>
    <n v="4723368.2646000003"/>
    <n v="2058785.2763698101"/>
    <n v="4.7233682646000004"/>
    <n v="2.05878527636981"/>
    <s v="Guaranteed"/>
  </r>
  <r>
    <s v="Vaccine"/>
    <s v="Routine"/>
    <x v="5"/>
    <n v="2029"/>
    <s v="Mali"/>
    <s v="v23.2"/>
    <s v="Gavi 6.0"/>
    <n v="6079399.6321999999"/>
    <n v="2661560.1019145302"/>
    <n v="6.0793996321999995"/>
    <n v="2.6615601019145303"/>
    <s v="Guaranteed"/>
  </r>
  <r>
    <s v="Vaccine"/>
    <s v="Routine"/>
    <x v="5"/>
    <n v="2028"/>
    <s v="Eritrea"/>
    <s v="v23.2"/>
    <s v="Gavi 6.0"/>
    <n v="691262.43149999995"/>
    <n v="263509.87919284398"/>
    <n v="0.6912624315"/>
    <n v="0.26350987919284397"/>
    <s v="Guaranteed"/>
  </r>
  <r>
    <s v="Vaccine"/>
    <s v="Routine"/>
    <x v="5"/>
    <n v="2028"/>
    <s v="Yemen"/>
    <s v="v23.2"/>
    <s v="Gavi 6.0"/>
    <n v="9541846.8378999997"/>
    <n v="3637360.8530296902"/>
    <n v="9.5418468378999997"/>
    <n v="3.6373608530296901"/>
    <s v="Guaranteed"/>
  </r>
  <r>
    <s v="Vaccine"/>
    <s v="Routine"/>
    <x v="5"/>
    <n v="2030"/>
    <s v="Mali"/>
    <s v="v23.2"/>
    <s v="Gavi 6.0"/>
    <n v="6080438.8579000002"/>
    <n v="2655789.7323607001"/>
    <n v="6.0804388578999999"/>
    <n v="2.6557897323607"/>
    <s v="Guaranteed"/>
  </r>
  <r>
    <s v="Vaccine"/>
    <s v="Routine"/>
    <x v="5"/>
    <n v="2029"/>
    <s v="Eritrea"/>
    <s v="v23.2"/>
    <s v="Gavi 6.0"/>
    <n v="544450.75320000004"/>
    <n v="237864.81015938401"/>
    <n v="0.54445075320000003"/>
    <n v="0.23786481015938402"/>
    <s v="Guaranteed"/>
  </r>
  <r>
    <s v="Vaccine"/>
    <s v="Routine"/>
    <x v="5"/>
    <n v="2030"/>
    <s v="Eritrea"/>
    <s v="v23.2"/>
    <s v="Gavi 6.0"/>
    <n v="557688.18119999999"/>
    <n v="243080.816911687"/>
    <n v="0.55768818119999997"/>
    <n v="0.24308081691168701"/>
    <s v="Guaranteed"/>
  </r>
  <r>
    <s v="Vaccine"/>
    <s v="Routine"/>
    <x v="5"/>
    <n v="2029"/>
    <s v="Yemen"/>
    <s v="v23.2"/>
    <s v="Gavi 6.0"/>
    <n v="7400312.9943000004"/>
    <n v="3233118.9462506101"/>
    <n v="7.4003129943000001"/>
    <n v="3.23311894625061"/>
    <s v="Guaranteed"/>
  </r>
  <r>
    <s v="Vaccine"/>
    <s v="Routine"/>
    <x v="5"/>
    <n v="2030"/>
    <s v="Yemen"/>
    <s v="v23.2"/>
    <s v="Gavi 6.0"/>
    <n v="7477971.3049999997"/>
    <n v="3259440.3733752901"/>
    <n v="7.4779713049999996"/>
    <n v="3.2594403733752899"/>
    <s v="Guaranteed"/>
  </r>
  <r>
    <s v="Vaccine"/>
    <s v="Routine"/>
    <x v="5"/>
    <n v="2028"/>
    <s v="Timor-Leste"/>
    <s v="v23.2"/>
    <s v="Gavi 6.0"/>
    <n v="73302.215599999996"/>
    <n v="27986.472406252498"/>
    <n v="7.3302215599999998E-2"/>
    <n v="2.7986472406252499E-2"/>
    <s v="Guaranteed"/>
  </r>
  <r>
    <s v="Vaccine"/>
    <s v="Routine"/>
    <x v="5"/>
    <n v="2029"/>
    <s v="Timor-Leste"/>
    <s v="v23.2"/>
    <s v="Gavi 6.0"/>
    <n v="57771.682999999997"/>
    <n v="25292.432771022199"/>
    <n v="5.7771682999999997E-2"/>
    <n v="2.5292432771022198E-2"/>
    <s v="Guaranteed"/>
  </r>
  <r>
    <s v="Vaccine"/>
    <s v="Routine"/>
    <x v="5"/>
    <n v="2030"/>
    <s v="Timor-Leste"/>
    <s v="v23.2"/>
    <s v="Gavi 6.0"/>
    <n v="58488.974699999999"/>
    <n v="25546.580122912499"/>
    <n v="5.8488974700000002E-2"/>
    <n v="2.5546580122912499E-2"/>
    <s v="Guaranteed"/>
  </r>
  <r>
    <s v="Vaccine"/>
    <s v="Routine"/>
    <x v="5"/>
    <n v="2028"/>
    <s v="SYRIA-TAR"/>
    <s v="v23.2"/>
    <s v="Gavi 6.0"/>
    <n v="62842.316899999998"/>
    <n v="23955.549401109001"/>
    <n v="6.28423169E-2"/>
    <n v="2.3955549401109E-2"/>
    <s v="Guaranteed"/>
  </r>
  <r>
    <s v="Vaccine"/>
    <s v="Routine"/>
    <x v="5"/>
    <n v="2029"/>
    <s v="Togo"/>
    <s v="v23.2"/>
    <s v="Gavi 6.0"/>
    <n v="2123407.6176"/>
    <n v="929627.48575687699"/>
    <n v="2.1234076175999999"/>
    <n v="0.92962748575687704"/>
    <s v="Guaranteed"/>
  </r>
  <r>
    <s v="Vaccine"/>
    <s v="Routine"/>
    <x v="5"/>
    <n v="2029"/>
    <s v="Burkina Faso"/>
    <s v="v23.2"/>
    <s v="Gavi 6.0"/>
    <n v="6087851.3498999998"/>
    <n v="2659718.2519769301"/>
    <n v="6.0878513499000002"/>
    <n v="2.6597182519769302"/>
    <s v="Guaranteed"/>
  </r>
  <r>
    <s v="Vaccine"/>
    <s v="Routine"/>
    <x v="5"/>
    <n v="2030"/>
    <s v="Burkina Faso"/>
    <s v="v23.2"/>
    <s v="Gavi 6.0"/>
    <n v="6250873.7259"/>
    <n v="2730231.5914290901"/>
    <n v="6.2508737259"/>
    <n v="2.73023159142909"/>
    <s v="Guaranteed"/>
  </r>
  <r>
    <s v="Vaccine"/>
    <s v="Routine"/>
    <x v="5"/>
    <n v="2030"/>
    <s v="Togo"/>
    <s v="v23.2"/>
    <s v="Gavi 6.0"/>
    <n v="1895227.9393"/>
    <n v="827790.06899987999"/>
    <n v="1.8952279393"/>
    <n v="0.82779006899987995"/>
    <s v="Guaranteed"/>
  </r>
  <r>
    <s v="Vaccine"/>
    <s v="Routine"/>
    <x v="5"/>
    <n v="2029"/>
    <s v="Sao Tome and Principe"/>
    <s v="v23.2"/>
    <s v="Gavi 6.0"/>
    <n v="22312.4398"/>
    <n v="9768.3822545939001"/>
    <n v="2.23124398E-2"/>
    <n v="9.7683822545939006E-3"/>
    <s v="Guaranteed"/>
  </r>
  <r>
    <s v="Vaccine"/>
    <s v="Routine"/>
    <x v="5"/>
    <n v="2030"/>
    <s v="Sao Tome and Principe"/>
    <s v="v23.2"/>
    <s v="Gavi 6.0"/>
    <n v="17676.805100000001"/>
    <n v="7720.8041556974003"/>
    <n v="1.7676805100000002E-2"/>
    <n v="7.7208041556974007E-3"/>
    <s v="Guaranteed"/>
  </r>
  <r>
    <s v="Vaccine"/>
    <s v="Routine"/>
    <x v="5"/>
    <n v="2029"/>
    <s v="Afghanistan"/>
    <s v="v23.2"/>
    <s v="Gavi 6.0"/>
    <n v="11546688.4166"/>
    <n v="5044626.7765586805"/>
    <n v="11.5466884166"/>
    <n v="5.0446267765586805"/>
    <s v="Guaranteed"/>
  </r>
  <r>
    <s v="Vaccine"/>
    <s v="Routine"/>
    <x v="5"/>
    <n v="2029"/>
    <s v="Ethiopia"/>
    <s v="v23.2"/>
    <s v="Gavi 6.0"/>
    <n v="19282629.737399999"/>
    <n v="8426283.7476377897"/>
    <n v="19.282629737400001"/>
    <n v="8.4262837476377896"/>
    <s v="Guaranteed"/>
  </r>
  <r>
    <s v="Vaccine"/>
    <s v="Routine"/>
    <x v="5"/>
    <n v="2030"/>
    <s v="Afghanistan"/>
    <s v="v23.2"/>
    <s v="Gavi 6.0"/>
    <n v="10714107.5778"/>
    <n v="4669982.45637473"/>
    <n v="10.7141075778"/>
    <n v="4.6699824563747301"/>
    <s v="Guaranteed"/>
  </r>
  <r>
    <s v="Vaccine"/>
    <s v="Routine"/>
    <x v="5"/>
    <n v="2030"/>
    <s v="Ethiopia"/>
    <s v="v23.2"/>
    <s v="Gavi 6.0"/>
    <n v="18990662.316100001"/>
    <n v="8294665.4293430001"/>
    <n v="18.9906623161"/>
    <n v="8.2946654293430004"/>
    <s v="Guaranteed"/>
  </r>
  <r>
    <s v="Vaccine"/>
    <s v="Routine"/>
    <x v="5"/>
    <n v="2029"/>
    <s v="Sierra Leone"/>
    <s v="v23.2"/>
    <s v="Gavi 6.0"/>
    <n v="1164787.4049"/>
    <n v="508883.37156270799"/>
    <n v="1.1647874049"/>
    <n v="0.50888337156270802"/>
    <s v="Guaranteed"/>
  </r>
  <r>
    <s v="Vaccine"/>
    <s v="Routine"/>
    <x v="5"/>
    <n v="2029"/>
    <s v="Angola"/>
    <s v="v23.2"/>
    <s v="Gavi 6.0"/>
    <n v="1673012.0904999999"/>
    <n v="732444.40231333498"/>
    <n v="1.6730120904999999"/>
    <n v="0.73244440231333496"/>
    <s v="Guaranteed"/>
  </r>
  <r>
    <s v="Vaccine"/>
    <s v="Routine"/>
    <x v="5"/>
    <n v="2030"/>
    <s v="Angola"/>
    <s v="v23.2"/>
    <s v="Gavi 6.0"/>
    <n v="1554605.8681999999"/>
    <n v="679014.52496478905"/>
    <n v="1.5546058681999999"/>
    <n v="0.67901452496478909"/>
    <s v="Guaranteed"/>
  </r>
  <r>
    <s v="Vaccine"/>
    <s v="Routine"/>
    <x v="5"/>
    <n v="2028"/>
    <s v="Niger"/>
    <s v="v23.2"/>
    <s v="Gavi 6.0"/>
    <n v="8912967.6523000002"/>
    <n v="3397631.52495518"/>
    <n v="8.9129676523000008"/>
    <n v="3.3976315249551798"/>
    <s v="Guaranteed"/>
  </r>
  <r>
    <s v="Vaccine"/>
    <s v="Routine"/>
    <x v="5"/>
    <n v="2029"/>
    <s v="Benin"/>
    <s v="v23.2"/>
    <s v="Gavi 6.0"/>
    <n v="2659189.5795"/>
    <n v="1164192.7355458401"/>
    <n v="2.6591895795"/>
    <n v="1.1641927355458401"/>
    <s v="Guaranteed"/>
  </r>
  <r>
    <s v="Vaccine"/>
    <s v="Routine"/>
    <x v="5"/>
    <n v="2030"/>
    <s v="Sierra Leone"/>
    <s v="v23.2"/>
    <s v="Gavi 6.0"/>
    <n v="1183776.6825999999"/>
    <n v="515975.437047543"/>
    <n v="1.1837766826"/>
    <n v="0.51597543704754301"/>
    <s v="Guaranteed"/>
  </r>
  <r>
    <s v="Vaccine"/>
    <s v="Routine"/>
    <x v="5"/>
    <n v="2030"/>
    <s v="Benin"/>
    <s v="v23.2"/>
    <s v="Gavi 6.0"/>
    <n v="2210837.31"/>
    <n v="965640.66591387603"/>
    <n v="2.2108373100000001"/>
    <n v="0.96564066591387598"/>
    <s v="Guaranteed"/>
  </r>
  <r>
    <s v="Vaccine"/>
    <s v="Routine"/>
    <x v="5"/>
    <n v="2028"/>
    <s v="Burundi"/>
    <s v="v23.2"/>
    <s v="Gavi 6.0"/>
    <n v="2922673.1327999998"/>
    <n v="1114125.70543626"/>
    <n v="2.9226731328"/>
    <n v="1.1141257054362599"/>
    <s v="Guaranteed"/>
  </r>
  <r>
    <s v="Vaccine"/>
    <s v="Routine"/>
    <x v="5"/>
    <n v="2029"/>
    <s v="Burundi"/>
    <s v="v23.2"/>
    <s v="Gavi 6.0"/>
    <n v="2586038.6082000001"/>
    <n v="1129813.0803870601"/>
    <n v="2.5860386082"/>
    <n v="1.1298130803870601"/>
    <s v="Guaranteed"/>
  </r>
  <r>
    <s v="Vaccine"/>
    <s v="Routine"/>
    <x v="5"/>
    <n v="2030"/>
    <s v="Burundi"/>
    <s v="v23.2"/>
    <s v="Gavi 6.0"/>
    <n v="2665061.4389"/>
    <n v="1161626.39535389"/>
    <n v="2.6650614389"/>
    <n v="1.1616263953538901"/>
    <s v="Guaranteed"/>
  </r>
  <r>
    <s v="Vaccine"/>
    <s v="Routine"/>
    <x v="5"/>
    <n v="2029"/>
    <s v="Cameroon"/>
    <s v="v23.2"/>
    <s v="Gavi 6.0"/>
    <n v="2530934.5181999998"/>
    <n v="1108042.6920024001"/>
    <n v="2.5309345182"/>
    <n v="1.1080426920024"/>
    <s v="Guaranteed"/>
  </r>
  <r>
    <s v="Vaccine"/>
    <s v="Routine"/>
    <x v="5"/>
    <n v="2030"/>
    <s v="Cameroon"/>
    <s v="v23.2"/>
    <s v="Gavi 6.0"/>
    <n v="2221224.9665999999"/>
    <n v="970177.74496128794"/>
    <n v="2.2212249665999999"/>
    <n v="0.97017774496128795"/>
    <s v="Guaranteed"/>
  </r>
  <r>
    <s v="Vaccine"/>
    <s v="Routine"/>
    <x v="5"/>
    <n v="2030"/>
    <s v="Congo, the Democratic Republic of the"/>
    <s v="v23.2"/>
    <s v="Gavi 6.0"/>
    <n v="25921109.4388"/>
    <n v="11298292.970286099"/>
    <n v="25.921109438799999"/>
    <n v="11.298292970286099"/>
    <s v="Guaranteed"/>
  </r>
  <r>
    <s v="Vaccine"/>
    <s v="Routine"/>
    <x v="5"/>
    <n v="2029"/>
    <s v="Côte d’Ivoire"/>
    <s v="v23.2"/>
    <s v="Gavi 6.0"/>
    <n v="4262162.0037000002"/>
    <n v="1865973.78414086"/>
    <n v="4.2621620037000003"/>
    <n v="1.8659737841408599"/>
    <s v="Guaranteed"/>
  </r>
  <r>
    <s v="Vaccine"/>
    <s v="Routine"/>
    <x v="5"/>
    <n v="2028"/>
    <s v="Sao Tome and Principe"/>
    <s v="v23.2"/>
    <s v="Gavi 6.0"/>
    <n v="15685.3675"/>
    <n v="5988.6062121995001"/>
    <n v="1.5685367500000002E-2"/>
    <n v="5.9886062121994998E-3"/>
    <s v="Guaranteed"/>
  </r>
  <r>
    <s v="Vaccine"/>
    <s v="Routine"/>
    <x v="5"/>
    <n v="2028"/>
    <s v="Mozambique"/>
    <s v="v23.2"/>
    <s v="Gavi 6.0"/>
    <n v="8777457.9586999994"/>
    <n v="3345975.1042252998"/>
    <n v="8.7774579586999995"/>
    <n v="3.3459751042252996"/>
    <s v="Guaranteed"/>
  </r>
  <r>
    <s v="Vaccine"/>
    <s v="Routine"/>
    <x v="5"/>
    <n v="2028"/>
    <s v="Liberia"/>
    <s v="v23.2"/>
    <s v="Gavi 6.0"/>
    <n v="1433548.3970999999"/>
    <n v="546469.97685867804"/>
    <n v="1.4335483971"/>
    <n v="0.54646997685867804"/>
    <s v="Guaranteed"/>
  </r>
  <r>
    <s v="Vaccine"/>
    <s v="Routine"/>
    <x v="5"/>
    <n v="2028"/>
    <s v="Sierra Leone"/>
    <s v="v23.2"/>
    <s v="Gavi 6.0"/>
    <n v="1948402.9036999999"/>
    <n v="742732.99166398495"/>
    <n v="1.9484029036999999"/>
    <n v="0.74273299166398499"/>
    <s v="Guaranteed"/>
  </r>
  <r>
    <s v="Vaccine"/>
    <s v="Routine"/>
    <x v="5"/>
    <n v="2028"/>
    <s v="Madagascar"/>
    <s v="v23.2"/>
    <s v="Gavi 6.0"/>
    <n v="6969353.6158999996"/>
    <n v="2656724.0539585799"/>
    <n v="6.9693536158999994"/>
    <n v="2.6567240539585799"/>
    <s v="Guaranteed"/>
  </r>
  <r>
    <s v="Vaccine"/>
    <s v="Routine"/>
    <x v="5"/>
    <n v="2029"/>
    <s v="Guinea"/>
    <s v="v23.2"/>
    <s v="Gavi 6.0"/>
    <n v="1710735.6532999999"/>
    <n v="748959.77155878104"/>
    <n v="1.7107356533"/>
    <n v="0.74895977155878102"/>
    <s v="Guaranteed"/>
  </r>
  <r>
    <s v="Vaccine"/>
    <s v="Routine"/>
    <x v="5"/>
    <n v="2030"/>
    <s v="Guinea"/>
    <s v="v23.2"/>
    <s v="Gavi 6.0"/>
    <n v="1305714.5438000001"/>
    <n v="570304.76908053097"/>
    <n v="1.3057145438000002"/>
    <n v="0.57030476908053096"/>
    <s v="Guaranteed"/>
  </r>
  <r>
    <s v="Vaccine"/>
    <s v="Routine"/>
    <x v="5"/>
    <n v="2029"/>
    <s v="Mozambique"/>
    <s v="v23.2"/>
    <s v="Gavi 6.0"/>
    <n v="5107078.9227999998"/>
    <n v="2231229.0896478901"/>
    <n v="5.1070789227999995"/>
    <n v="2.2312290896478899"/>
    <s v="Guaranteed"/>
  </r>
  <r>
    <s v="Vaccine"/>
    <s v="Routine"/>
    <x v="5"/>
    <n v="2029"/>
    <s v="Comoros"/>
    <s v="v23.2"/>
    <s v="Gavi 6.0"/>
    <n v="115532.92329999999"/>
    <n v="50580.2937155853"/>
    <n v="0.11553292329999999"/>
    <n v="5.0580293715585298E-2"/>
    <s v="Guaranteed"/>
  </r>
  <r>
    <s v="Vaccine"/>
    <s v="Routine"/>
    <x v="5"/>
    <n v="2030"/>
    <s v="Mozambique"/>
    <s v="v23.2"/>
    <s v="Gavi 6.0"/>
    <n v="5246294.8737000003"/>
    <n v="2286714.4877302302"/>
    <n v="5.2462948737000001"/>
    <n v="2.2867144877302303"/>
    <s v="Guaranteed"/>
  </r>
  <r>
    <s v="Vaccine"/>
    <s v="Routine"/>
    <x v="5"/>
    <n v="2030"/>
    <s v="Comoros"/>
    <s v="v23.2"/>
    <s v="Gavi 6.0"/>
    <n v="90161.4902"/>
    <n v="39380.374612725704"/>
    <n v="9.01614902E-2"/>
    <n v="3.9380374612725706E-2"/>
    <s v="Guaranteed"/>
  </r>
  <r>
    <s v="Vaccine"/>
    <s v="Routine"/>
    <x v="5"/>
    <n v="2028"/>
    <s v="Senegal"/>
    <s v="v23.2"/>
    <s v="Gavi 6.0"/>
    <n v="3671173.2044000002"/>
    <n v="1401638.22894428"/>
    <n v="3.6711732044000001"/>
    <n v="1.4016382289442799"/>
    <s v="Guaranteed"/>
  </r>
  <r>
    <s v="Vaccine"/>
    <s v="Routine"/>
    <x v="5"/>
    <n v="2029"/>
    <s v="Senegal"/>
    <s v="v23.2"/>
    <s v="Gavi 6.0"/>
    <n v="3277383.3182000001"/>
    <n v="1434837.8468279601"/>
    <n v="3.2773833182000001"/>
    <n v="1.4348378468279601"/>
    <s v="Guaranteed"/>
  </r>
  <r>
    <s v="Vaccine"/>
    <s v="Routine"/>
    <x v="5"/>
    <n v="2030"/>
    <s v="Senegal"/>
    <s v="v23.2"/>
    <s v="Gavi 6.0"/>
    <n v="3108480.1888000001"/>
    <n v="1357709.52749499"/>
    <n v="3.1084801888000002"/>
    <n v="1.35770952749499"/>
    <s v="Guaranteed"/>
  </r>
  <r>
    <s v="Vaccine"/>
    <s v="Routine"/>
    <x v="5"/>
    <n v="2028"/>
    <s v="Gambia"/>
    <s v="v23.2"/>
    <s v="Gavi 6.0"/>
    <n v="493909.99349999998"/>
    <n v="188278.94703970299"/>
    <n v="0.49390999349999998"/>
    <n v="0.18827894703970299"/>
    <s v="Guaranteed"/>
  </r>
  <r>
    <s v="Vaccine"/>
    <s v="Routine"/>
    <x v="5"/>
    <n v="2029"/>
    <s v="Gambia"/>
    <s v="v23.2"/>
    <s v="Gavi 6.0"/>
    <n v="383597.37310000003"/>
    <n v="167589.659466952"/>
    <n v="0.38359737310000003"/>
    <n v="0.16758965946695201"/>
    <s v="Guaranteed"/>
  </r>
  <r>
    <s v="Vaccine"/>
    <s v="Routine"/>
    <x v="5"/>
    <n v="2030"/>
    <s v="Gambia"/>
    <s v="v23.2"/>
    <s v="Gavi 6.0"/>
    <n v="389555.73719999997"/>
    <n v="169796.54583447901"/>
    <n v="0.38955573719999997"/>
    <n v="0.16979654583447901"/>
    <s v="Guaranteed"/>
  </r>
  <r>
    <s v="Vaccine"/>
    <s v="Routine"/>
    <x v="5"/>
    <n v="2026"/>
    <s v="Honduras"/>
    <s v="v23.2"/>
    <s v="Gavi 6.0"/>
    <n v="350220.26669999998"/>
    <n v="112400"/>
    <n v="0.3502202667"/>
    <n v="0.1124"/>
    <s v="Guaranteed"/>
  </r>
  <r>
    <s v="Vaccine"/>
    <s v="Routine"/>
    <x v="5"/>
    <n v="2027"/>
    <s v="Honduras"/>
    <s v="v23.2"/>
    <s v="Gavi 6.0"/>
    <n v="742114.00349999999"/>
    <n v="45000"/>
    <n v="0.74211400350000001"/>
    <n v="4.4999999999999998E-2"/>
    <s v="Guaranteed"/>
  </r>
  <r>
    <s v="Vaccine"/>
    <s v="Routine"/>
    <x v="5"/>
    <n v="2030"/>
    <s v="Liberia"/>
    <s v="v23.2"/>
    <s v="Gavi 6.0"/>
    <n v="772392.93099999998"/>
    <n v="336664.66487034003"/>
    <n v="0.77239293099999995"/>
    <n v="0.33666466487034002"/>
    <s v="Guaranteed"/>
  </r>
  <r>
    <s v="Vaccine"/>
    <s v="Routine"/>
    <x v="5"/>
    <n v="2026"/>
    <s v="Kiribati"/>
    <s v="v23.2"/>
    <s v="Gavi 6.0"/>
    <n v="24658.492999999999"/>
    <n v="7900"/>
    <n v="2.4658493E-2"/>
    <n v="7.9000000000000008E-3"/>
    <s v="Guaranteed"/>
  </r>
  <r>
    <s v="Vaccine"/>
    <s v="Routine"/>
    <x v="5"/>
    <n v="2027"/>
    <s v="Kiribati"/>
    <s v="v23.2"/>
    <s v="Gavi 6.0"/>
    <n v="9503.8210999999992"/>
    <n v="3200"/>
    <n v="9.5038210999999987E-3"/>
    <n v="3.2000000000000002E-3"/>
    <s v="Guaranteed"/>
  </r>
  <r>
    <s v="Vaccine"/>
    <s v="Routine"/>
    <x v="5"/>
    <n v="2029"/>
    <s v="Niger"/>
    <s v="v23.2"/>
    <s v="Gavi 6.0"/>
    <n v="5753722.2589999996"/>
    <n v="2513740.7649090001"/>
    <n v="5.7537222589999999"/>
    <n v="2.513740764909"/>
    <s v="Guaranteed"/>
  </r>
  <r>
    <s v="Vaccine"/>
    <s v="Routine"/>
    <x v="5"/>
    <n v="2030"/>
    <s v="Guinea-Bissau"/>
    <s v="v23.2"/>
    <s v="Gavi 6.0"/>
    <n v="351885.43900000001"/>
    <n v="153695.11277644901"/>
    <n v="0.35188543900000002"/>
    <n v="0.15369511277644901"/>
    <s v="Guaranteed"/>
  </r>
  <r>
    <s v="Vaccine"/>
    <s v="Routine"/>
    <x v="5"/>
    <n v="2030"/>
    <s v="Niger"/>
    <s v="v23.2"/>
    <s v="Gavi 6.0"/>
    <n v="5898036.9937000005"/>
    <n v="2570790.8089824901"/>
    <n v="5.8980369937000008"/>
    <n v="2.57079080898249"/>
    <s v="Guaranteed"/>
  </r>
  <r>
    <s v="Vaccine"/>
    <s v="Routine"/>
    <x v="5"/>
    <n v="2029"/>
    <s v="Liberia"/>
    <s v="v23.2"/>
    <s v="Gavi 6.0"/>
    <n v="761524.74739999999"/>
    <n v="332702.15606474498"/>
    <n v="0.76152474739999998"/>
    <n v="0.33270215606474496"/>
    <s v="Guaranteed"/>
  </r>
  <r>
    <s v="Vaccine"/>
    <s v="Routine"/>
    <x v="5"/>
    <n v="2026"/>
    <s v="Senegal"/>
    <s v="v23.2"/>
    <s v="Gavi 6.0"/>
    <n v="5338504.1163999997"/>
    <n v="1711000"/>
    <n v="5.3385041163999993"/>
    <n v="1.7110000000000001"/>
    <s v="Guaranteed"/>
  </r>
  <r>
    <s v="Vaccine"/>
    <s v="Routine"/>
    <x v="5"/>
    <n v="2027"/>
    <s v="Senegal"/>
    <s v="v23.2"/>
    <s v="Gavi 6.0"/>
    <n v="4072377.2008000002"/>
    <n v="1370586.8644207299"/>
    <n v="4.0723772008000001"/>
    <n v="1.37058686442073"/>
    <s v="Guaranteed"/>
  </r>
  <r>
    <s v="Vaccine"/>
    <s v="Routine"/>
    <x v="9"/>
    <n v="2029"/>
    <s v="Sudan"/>
    <s v="v23.2"/>
    <s v="Gavi 6.0"/>
    <n v="2011911.365"/>
    <n v="1376652.9384751599"/>
    <n v="2.011911365"/>
    <n v="1.37665293847516"/>
    <s v="Guaranteed"/>
  </r>
  <r>
    <s v="Vaccine"/>
    <s v="Routine"/>
    <x v="9"/>
    <n v="2030"/>
    <s v="Sudan"/>
    <s v="v23.2"/>
    <s v="Gavi 6.0"/>
    <n v="2136377.8565000002"/>
    <n v="1395637.3887453"/>
    <n v="2.1363778565000002"/>
    <n v="1.3956373887453"/>
    <s v="Guaranteed"/>
  </r>
  <r>
    <s v="Vaccine"/>
    <s v="Routine"/>
    <x v="9"/>
    <n v="2027"/>
    <s v="Ethiopia"/>
    <s v="v23.2"/>
    <s v="Gavi 6.0"/>
    <n v="8121763.3975"/>
    <n v="4068487.4982979302"/>
    <n v="8.1217633975000005"/>
    <n v="4.0684874982979302"/>
    <s v="Guaranteed"/>
  </r>
  <r>
    <s v="Vaccine"/>
    <s v="Routine"/>
    <x v="9"/>
    <n v="2028"/>
    <s v="Ethiopia"/>
    <s v="v23.2"/>
    <s v="Gavi 6.0"/>
    <n v="4823987.8545000004"/>
    <n v="3306693.9832136398"/>
    <n v="4.8239878545000003"/>
    <n v="3.3066939832136399"/>
    <s v="Guaranteed"/>
  </r>
  <r>
    <s v="Vaccine"/>
    <s v="Routine"/>
    <x v="9"/>
    <n v="2029"/>
    <s v="Ethiopia"/>
    <s v="v23.2"/>
    <s v="Gavi 6.0"/>
    <n v="4858478.0285"/>
    <n v="3330335.9272890501"/>
    <n v="4.8584780285000004"/>
    <n v="3.3303359272890503"/>
    <s v="Guaranteed"/>
  </r>
  <r>
    <s v="Vaccine"/>
    <s v="Routine"/>
    <x v="9"/>
    <n v="2030"/>
    <s v="Ethiopia"/>
    <s v="v23.2"/>
    <s v="Gavi 6.0"/>
    <n v="5130501.6162"/>
    <n v="3376829.88518519"/>
    <n v="5.1305016162000001"/>
    <n v="3.3768298851851899"/>
    <s v="Guaranteed"/>
  </r>
  <r>
    <s v="Vaccine"/>
    <s v="Routine"/>
    <x v="9"/>
    <n v="2029"/>
    <s v="Sao Tome and Principe"/>
    <s v="v23.2"/>
    <s v="Gavi 6.0"/>
    <n v="954.96019999999999"/>
    <n v="658.9"/>
    <n v="9.5496019999999999E-4"/>
    <n v="6.5890000000000002E-4"/>
    <s v="Guaranteed"/>
  </r>
  <r>
    <s v="Vaccine"/>
    <s v="Routine"/>
    <x v="9"/>
    <n v="2030"/>
    <s v="Sao Tome and Principe"/>
    <s v="v23.2"/>
    <s v="Gavi 6.0"/>
    <n v="504.46899999999999"/>
    <n v="332.03500000000003"/>
    <n v="5.0446900000000001E-4"/>
    <n v="3.32035E-4"/>
    <s v="Guaranteed"/>
  </r>
  <r>
    <s v="Vaccine"/>
    <s v="Routine"/>
    <x v="9"/>
    <n v="2026"/>
    <s v="Sao Tome and Principe"/>
    <s v="v23.2"/>
    <s v="Gavi 6.0"/>
    <n v="1323.6660999999999"/>
    <n v="664.38250000000005"/>
    <n v="1.3236660999999999E-3"/>
    <n v="6.643825000000001E-4"/>
    <s v="Guaranteed"/>
  </r>
  <r>
    <s v="Vaccine"/>
    <s v="Routine"/>
    <x v="9"/>
    <n v="2027"/>
    <s v="Sao Tome and Principe"/>
    <s v="v23.2"/>
    <s v="Gavi 6.0"/>
    <n v="1314.9349"/>
    <n v="660"/>
    <n v="1.3149348999999999E-3"/>
    <n v="6.6E-4"/>
    <s v="Guaranteed"/>
  </r>
  <r>
    <s v="Vaccine"/>
    <s v="Routine"/>
    <x v="9"/>
    <n v="2028"/>
    <s v="Sao Tome and Principe"/>
    <s v="v23.2"/>
    <s v="Gavi 6.0"/>
    <n v="743.06600000000003"/>
    <n v="511.77891469190001"/>
    <n v="7.4306600000000002E-4"/>
    <n v="5.1177891469189997E-4"/>
    <s v="Guaranteed"/>
  </r>
  <r>
    <s v="Vaccine"/>
    <s v="Routine"/>
    <x v="9"/>
    <n v="2026"/>
    <s v="Sudan"/>
    <s v="v23.2"/>
    <s v="Gavi 6.0"/>
    <n v="2805956.1143"/>
    <n v="1404403.6611698801"/>
    <n v="2.8059561142999998"/>
    <n v="1.40440366116988"/>
    <s v="Guaranteed"/>
  </r>
  <r>
    <s v="Vaccine"/>
    <s v="Routine"/>
    <x v="9"/>
    <n v="2027"/>
    <s v="Sudan"/>
    <s v="v23.2"/>
    <s v="Gavi 6.0"/>
    <n v="2872893.7903999998"/>
    <n v="1437906.50778504"/>
    <n v="2.8728937904"/>
    <n v="1.4379065077850399"/>
    <s v="Guaranteed"/>
  </r>
  <r>
    <s v="Vaccine"/>
    <s v="Routine"/>
    <x v="9"/>
    <n v="2028"/>
    <s v="Sudan"/>
    <s v="v23.2"/>
    <s v="Gavi 6.0"/>
    <n v="1996013.6459999999"/>
    <n v="1365774.90377658"/>
    <n v="1.996013646"/>
    <n v="1.3657749037765801"/>
    <s v="Guaranteed"/>
  </r>
  <r>
    <s v="Vaccine"/>
    <s v="Routine"/>
    <x v="9"/>
    <n v="2026"/>
    <s v="Benin"/>
    <s v="v23.2"/>
    <s v="Gavi 6.0"/>
    <n v="506491.04930000001"/>
    <n v="300000"/>
    <n v="0.5064910493"/>
    <n v="0.3"/>
    <s v="Guaranteed"/>
  </r>
  <r>
    <s v="Vaccine"/>
    <s v="Routine"/>
    <x v="9"/>
    <n v="2027"/>
    <s v="Benin"/>
    <s v="v23.2"/>
    <s v="Gavi 6.0"/>
    <n v="519698.30959999998"/>
    <n v="314154.30654281197"/>
    <n v="0.51969830959999996"/>
    <n v="0.31415430654281196"/>
    <s v="Guaranteed"/>
  </r>
  <r>
    <s v="Vaccine"/>
    <s v="Routine"/>
    <x v="9"/>
    <n v="2028"/>
    <s v="Benin"/>
    <s v="v23.2"/>
    <s v="Gavi 6.0"/>
    <n v="455420.8382"/>
    <n v="296997.48646874999"/>
    <n v="0.45542083820000001"/>
    <n v="0.29699748646875002"/>
    <s v="Guaranteed"/>
  </r>
  <r>
    <s v="Vaccine"/>
    <s v="Routine"/>
    <x v="9"/>
    <n v="2029"/>
    <s v="Benin"/>
    <s v="v23.2"/>
    <s v="Gavi 6.0"/>
    <n v="419373.95159999997"/>
    <n v="280586.26246875001"/>
    <n v="0.41937395159999996"/>
    <n v="0.28058626246875001"/>
    <s v="Guaranteed"/>
  </r>
  <r>
    <s v="Vaccine"/>
    <s v="Routine"/>
    <x v="9"/>
    <n v="2030"/>
    <s v="Benin"/>
    <s v="v23.2"/>
    <s v="Gavi 6.0"/>
    <n v="385836.88"/>
    <n v="259074.35034375"/>
    <n v="0.38583687999999999"/>
    <n v="0.25907435034374998"/>
    <s v="Guaranteed"/>
  </r>
  <r>
    <s v="Vaccine"/>
    <s v="Routine"/>
    <x v="9"/>
    <n v="2029"/>
    <s v="Congo, the Democratic Republic of the"/>
    <s v="v23.2"/>
    <s v="Gavi 6.0"/>
    <n v="3942401.2949999999"/>
    <n v="2624526.0268326998"/>
    <n v="3.9424012949999998"/>
    <n v="2.6245260268327"/>
    <s v="Guaranteed"/>
  </r>
  <r>
    <s v="Vaccine"/>
    <s v="Routine"/>
    <x v="9"/>
    <n v="2030"/>
    <s v="Congo, the Democratic Republic of the"/>
    <s v="v23.2"/>
    <s v="Gavi 6.0"/>
    <n v="3992426.7107000002"/>
    <n v="2667261.43430294"/>
    <n v="3.9924267107000002"/>
    <n v="2.6672614343029402"/>
    <s v="Guaranteed"/>
  </r>
  <r>
    <s v="Vaccine"/>
    <s v="Routine"/>
    <x v="9"/>
    <n v="2026"/>
    <s v="Ghana"/>
    <s v="v23.2"/>
    <s v="Gavi 6.0"/>
    <n v="1407495.9147999999"/>
    <n v="833700"/>
    <n v="1.4074959147999999"/>
    <n v="0.8337"/>
    <s v="Guaranteed"/>
  </r>
  <r>
    <s v="Vaccine"/>
    <s v="Routine"/>
    <x v="9"/>
    <n v="2027"/>
    <s v="Ghana"/>
    <s v="v23.2"/>
    <s v="Gavi 6.0"/>
    <n v="660101.88670000003"/>
    <n v="399027.37151249999"/>
    <n v="0.66010188670000003"/>
    <n v="0.39902737151250001"/>
    <s v="Guaranteed"/>
  </r>
  <r>
    <s v="Vaccine"/>
    <s v="Routine"/>
    <x v="9"/>
    <n v="2028"/>
    <s v="Ghana"/>
    <s v="v23.2"/>
    <s v="Gavi 6.0"/>
    <n v="410030.59149999998"/>
    <n v="267396.75666000001"/>
    <n v="0.41003059149999999"/>
    <n v="0.26739675666000001"/>
    <s v="Guaranteed"/>
  </r>
  <r>
    <s v="Vaccine"/>
    <s v="Routine"/>
    <x v="9"/>
    <n v="2029"/>
    <s v="Ghana"/>
    <s v="v23.2"/>
    <s v="Gavi 6.0"/>
    <n v="201252.5778"/>
    <n v="134650.01439"/>
    <n v="0.2012525778"/>
    <n v="0.13465001438999999"/>
    <s v="Guaranteed"/>
  </r>
  <r>
    <s v="Vaccine"/>
    <s v="Routine"/>
    <x v="9"/>
    <n v="2029"/>
    <s v="Guinea"/>
    <s v="v23.2"/>
    <s v="Gavi 6.0"/>
    <n v="201815.33480000001"/>
    <n v="135026.53250624999"/>
    <n v="0.20181533480000002"/>
    <n v="0.13502653250624999"/>
    <s v="Guaranteed"/>
  </r>
  <r>
    <s v="Vaccine"/>
    <s v="Routine"/>
    <x v="9"/>
    <n v="2030"/>
    <s v="Guinea"/>
    <s v="v23.2"/>
    <s v="Gavi 6.0"/>
    <n v="160777.4155"/>
    <n v="107955.73633124999"/>
    <n v="0.16077741549999999"/>
    <n v="0.10795573633125"/>
    <s v="Guaranteed"/>
  </r>
  <r>
    <s v="Vaccine"/>
    <s v="Routine"/>
    <x v="9"/>
    <n v="2026"/>
    <s v="Guinea-Bissau"/>
    <s v="v23.2"/>
    <s v="Gavi 6.0"/>
    <n v="95178.055200000003"/>
    <n v="56100"/>
    <n v="9.51780552E-2"/>
    <n v="5.6099999999999997E-2"/>
    <s v="Guaranteed"/>
  </r>
  <r>
    <s v="Vaccine"/>
    <s v="Routine"/>
    <x v="9"/>
    <n v="2027"/>
    <s v="Guinea-Bissau"/>
    <s v="v23.2"/>
    <s v="Gavi 6.0"/>
    <n v="102495.6238"/>
    <n v="61707.163423682403"/>
    <n v="0.1024956238"/>
    <n v="6.1707163423682404E-2"/>
    <s v="Guaranteed"/>
  </r>
  <r>
    <s v="Vaccine"/>
    <s v="Routine"/>
    <x v="9"/>
    <n v="2028"/>
    <s v="Guinea-Bissau"/>
    <s v="v23.2"/>
    <s v="Gavi 6.0"/>
    <n v="94604.802899999995"/>
    <n v="61404.017607712201"/>
    <n v="9.4604802899999993E-2"/>
    <n v="6.1404017607712198E-2"/>
    <s v="Guaranteed"/>
  </r>
  <r>
    <s v="Vaccine"/>
    <s v="Routine"/>
    <x v="9"/>
    <n v="2029"/>
    <s v="Guinea-Bissau"/>
    <s v="v23.2"/>
    <s v="Gavi 6.0"/>
    <n v="106805.6489"/>
    <n v="71459.368749999994"/>
    <n v="0.10680564889999999"/>
    <n v="7.1459368749999988E-2"/>
    <s v="Guaranteed"/>
  </r>
  <r>
    <s v="Vaccine"/>
    <s v="Routine"/>
    <x v="9"/>
    <n v="2030"/>
    <s v="Guinea-Bissau"/>
    <s v="v23.2"/>
    <s v="Gavi 6.0"/>
    <n v="93266.675399999993"/>
    <n v="62624.918979438698"/>
    <n v="9.3266675399999999E-2"/>
    <n v="6.2624918979438698E-2"/>
    <s v="Guaranteed"/>
  </r>
  <r>
    <s v="Vaccine"/>
    <s v="Routine"/>
    <x v="9"/>
    <n v="2029"/>
    <s v="Niger"/>
    <s v="v23.2"/>
    <s v="Gavi 6.0"/>
    <n v="1787696.2509999999"/>
    <n v="1190100.90238093"/>
    <n v="1.7876962509999998"/>
    <n v="1.1901009023809301"/>
    <s v="Guaranteed"/>
  </r>
  <r>
    <s v="Vaccine"/>
    <s v="Routine"/>
    <x v="9"/>
    <n v="2030"/>
    <s v="Niger"/>
    <s v="v23.2"/>
    <s v="Gavi 6.0"/>
    <n v="1801948.9262999999"/>
    <n v="1203846.4888860499"/>
    <n v="1.8019489262999999"/>
    <n v="1.2038464888860501"/>
    <s v="Guaranteed"/>
  </r>
  <r>
    <s v="Vaccine"/>
    <s v="Routine"/>
    <x v="9"/>
    <n v="2029"/>
    <s v="Mali"/>
    <s v="v23.2"/>
    <s v="Gavi 6.0"/>
    <n v="1260189.1351999999"/>
    <n v="843141.92179498496"/>
    <n v="1.2601891351999999"/>
    <n v="0.84314192179498493"/>
    <s v="Guaranteed"/>
  </r>
  <r>
    <s v="Vaccine"/>
    <s v="Routine"/>
    <x v="9"/>
    <n v="2030"/>
    <s v="Mali"/>
    <s v="v23.2"/>
    <s v="Gavi 6.0"/>
    <n v="1248069.7967000001"/>
    <n v="838029.97730703605"/>
    <n v="1.2480697967000001"/>
    <n v="0.8380299773070361"/>
    <s v="Guaranteed"/>
  </r>
  <r>
    <s v="Vaccine"/>
    <s v="Routine"/>
    <x v="9"/>
    <n v="2026"/>
    <s v="Nigeria"/>
    <s v="v23.2"/>
    <s v="Gavi 6.0"/>
    <n v="1933730.6551999999"/>
    <n v="1145369.097175"/>
    <n v="1.9337306552"/>
    <n v="1.1453690971749999"/>
    <s v="Guaranteed"/>
  </r>
  <r>
    <s v="Vaccine"/>
    <s v="Routine"/>
    <x v="9"/>
    <n v="2027"/>
    <s v="Nigeria"/>
    <s v="v23.2"/>
    <s v="Gavi 6.0"/>
    <n v="1927407.4816000001"/>
    <n v="1165105.5037499999"/>
    <n v="1.9274074816"/>
    <n v="1.16510550375"/>
    <s v="Guaranteed"/>
  </r>
  <r>
    <s v="Vaccine"/>
    <s v="Routine"/>
    <x v="9"/>
    <n v="2028"/>
    <s v="Nigeria"/>
    <s v="v23.2"/>
    <s v="Gavi 6.0"/>
    <n v="1820690.0407"/>
    <n v="1187342.1688000001"/>
    <n v="1.8206900407"/>
    <n v="1.1873421688000001"/>
    <s v="Guaranteed"/>
  </r>
  <r>
    <s v="Vaccine"/>
    <s v="Routine"/>
    <x v="9"/>
    <n v="2029"/>
    <s v="Nigeria"/>
    <s v="v23.2"/>
    <s v="Gavi 6.0"/>
    <n v="1811714.3796999999"/>
    <n v="1212145.305125"/>
    <n v="1.8117143796999999"/>
    <n v="1.212145305125"/>
    <s v="Guaranteed"/>
  </r>
  <r>
    <s v="Vaccine"/>
    <s v="Routine"/>
    <x v="9"/>
    <n v="2030"/>
    <s v="Nigeria"/>
    <s v="v23.2"/>
    <s v="Gavi 6.0"/>
    <n v="1832804.9541"/>
    <n v="1230656.7294375"/>
    <n v="1.8328049541"/>
    <n v="1.2306567294374999"/>
    <s v="Guaranteed"/>
  </r>
  <r>
    <s v="Vaccine"/>
    <s v="Routine"/>
    <x v="9"/>
    <n v="2026"/>
    <s v="Togo"/>
    <s v="v23.2"/>
    <s v="Gavi 6.0"/>
    <n v="386995.08199999999"/>
    <n v="228100"/>
    <n v="0.38699508199999999"/>
    <n v="0.2281"/>
    <s v="Guaranteed"/>
  </r>
  <r>
    <s v="Vaccine"/>
    <s v="Routine"/>
    <x v="9"/>
    <n v="2027"/>
    <s v="Togo"/>
    <s v="v23.2"/>
    <s v="Gavi 6.0"/>
    <n v="412287.94219999999"/>
    <n v="248216.640706932"/>
    <n v="0.41228794219999998"/>
    <n v="0.248216640706932"/>
    <s v="Guaranteed"/>
  </r>
  <r>
    <s v="Vaccine"/>
    <s v="Routine"/>
    <x v="9"/>
    <n v="2028"/>
    <s v="Togo"/>
    <s v="v23.2"/>
    <s v="Gavi 6.0"/>
    <n v="377799.19890000002"/>
    <n v="246377.42292269299"/>
    <n v="0.37779919890000002"/>
    <n v="0.24637742292269299"/>
    <s v="Guaranteed"/>
  </r>
  <r>
    <s v="Vaccine"/>
    <s v="Routine"/>
    <x v="9"/>
    <n v="2029"/>
    <s v="Togo"/>
    <s v="v23.2"/>
    <s v="Gavi 6.0"/>
    <n v="386926.11339999997"/>
    <n v="258876.71755222499"/>
    <n v="0.38692611339999999"/>
    <n v="0.25887671755222497"/>
    <s v="Guaranteed"/>
  </r>
  <r>
    <s v="Vaccine"/>
    <s v="Routine"/>
    <x v="9"/>
    <n v="2030"/>
    <s v="Togo"/>
    <s v="v23.2"/>
    <s v="Gavi 6.0"/>
    <n v="383781.22840000002"/>
    <n v="257694.06082341299"/>
    <n v="0.38378122840000001"/>
    <n v="0.25769406082341301"/>
    <s v="Guaranteed"/>
  </r>
  <r>
    <s v="Vaccine"/>
    <s v="Routine"/>
    <x v="9"/>
    <n v="2028"/>
    <s v="Sierra Leone"/>
    <s v="v23.2"/>
    <s v="Gavi 6.0"/>
    <n v="414078.40149999998"/>
    <n v="268760.95808388299"/>
    <n v="0.41407840149999997"/>
    <n v="0.26876095808388301"/>
    <s v="Guaranteed"/>
  </r>
  <r>
    <s v="Vaccine"/>
    <s v="Routine"/>
    <x v="9"/>
    <n v="2029"/>
    <s v="Sierra Leone"/>
    <s v="v23.2"/>
    <s v="Gavi 6.0"/>
    <n v="402166.58360000001"/>
    <n v="267729.38286646002"/>
    <n v="0.40216658360000002"/>
    <n v="0.26772938286646003"/>
    <s v="Guaranteed"/>
  </r>
  <r>
    <s v="Vaccine"/>
    <s v="Routine"/>
    <x v="9"/>
    <n v="2030"/>
    <s v="Sierra Leone"/>
    <s v="v23.2"/>
    <s v="Gavi 6.0"/>
    <n v="402037.58100000001"/>
    <n v="268593.36753920099"/>
    <n v="0.40203758100000003"/>
    <n v="0.26859336753920099"/>
    <s v="Guaranteed"/>
  </r>
  <r>
    <s v="Vaccine"/>
    <s v="Routine"/>
    <x v="9"/>
    <n v="2029"/>
    <s v="Cameroon"/>
    <s v="v23.2"/>
    <s v="Gavi 6.0"/>
    <n v="267232.79340000002"/>
    <n v="178794.72587625001"/>
    <n v="0.2672327934"/>
    <n v="0.17879472587625"/>
    <s v="Guaranteed"/>
  </r>
  <r>
    <s v="Vaccine"/>
    <s v="Routine"/>
    <x v="9"/>
    <n v="2030"/>
    <s v="Cameroon"/>
    <s v="v23.2"/>
    <s v="Gavi 6.0"/>
    <n v="249592.29509999999"/>
    <n v="167591.44875000001"/>
    <n v="0.2495922951"/>
    <n v="0.16759144875000001"/>
    <s v="Guaranteed"/>
  </r>
  <r>
    <s v="Vaccine"/>
    <s v="Routine"/>
    <x v="9"/>
    <n v="2029"/>
    <s v="Liberia"/>
    <s v="v23.2"/>
    <s v="Gavi 6.0"/>
    <n v="254700.74179999999"/>
    <n v="169558.772898091"/>
    <n v="0.25470074179999996"/>
    <n v="0.16955877289809101"/>
    <s v="Guaranteed"/>
  </r>
  <r>
    <s v="Vaccine"/>
    <s v="Routine"/>
    <x v="9"/>
    <n v="2030"/>
    <s v="Liberia"/>
    <s v="v23.2"/>
    <s v="Gavi 6.0"/>
    <n v="253982.0546"/>
    <n v="169680.394460813"/>
    <n v="0.25398205460000001"/>
    <n v="0.16968039446081298"/>
    <s v="Guaranteed"/>
  </r>
  <r>
    <s v="Vaccine"/>
    <s v="Routine"/>
    <x v="9"/>
    <n v="2026"/>
    <s v="Kenya"/>
    <s v="v23.2"/>
    <s v="Gavi 6.0"/>
    <n v="109570.57150000001"/>
    <n v="64900"/>
    <n v="0.10957057150000001"/>
    <n v="6.4899999999999999E-2"/>
    <s v="Guaranteed"/>
  </r>
  <r>
    <s v="Vaccine"/>
    <s v="Routine"/>
    <x v="9"/>
    <n v="2027"/>
    <s v="Kenya"/>
    <s v="v23.2"/>
    <s v="Gavi 6.0"/>
    <n v="93464.321800000005"/>
    <n v="56498.585161752002"/>
    <n v="9.34643218E-2"/>
    <n v="5.6498585161752005E-2"/>
    <s v="Guaranteed"/>
  </r>
  <r>
    <s v="Vaccine"/>
    <s v="Routine"/>
    <x v="9"/>
    <n v="2028"/>
    <s v="Kenya"/>
    <s v="v23.2"/>
    <s v="Gavi 6.0"/>
    <n v="70049.533800000005"/>
    <n v="45682.001587331702"/>
    <n v="7.0049533800000008E-2"/>
    <n v="4.5682001587331704E-2"/>
    <s v="Guaranteed"/>
  </r>
  <r>
    <s v="Vaccine"/>
    <s v="Routine"/>
    <x v="9"/>
    <n v="2029"/>
    <s v="Kenya"/>
    <s v="v23.2"/>
    <s v="Gavi 6.0"/>
    <n v="49353.691899999998"/>
    <n v="33020.572428746498"/>
    <n v="4.9353691899999996E-2"/>
    <n v="3.3020572428746502E-2"/>
    <s v="Guaranteed"/>
  </r>
  <r>
    <s v="Vaccine"/>
    <s v="Routine"/>
    <x v="9"/>
    <n v="2030"/>
    <s v="Kenya"/>
    <s v="v23.2"/>
    <s v="Gavi 6.0"/>
    <n v="40185.059699999998"/>
    <n v="26982.6933872929"/>
    <n v="4.0185059699999998E-2"/>
    <n v="2.6982693387292901E-2"/>
    <s v="Guaranteed"/>
  </r>
  <r>
    <s v="Vaccine"/>
    <s v="Routine"/>
    <x v="9"/>
    <n v="2026"/>
    <s v="Uganda"/>
    <s v="v23.2"/>
    <s v="Gavi 6.0"/>
    <n v="1432782.9155999999"/>
    <n v="844500"/>
    <n v="1.4327829156"/>
    <n v="0.84450000000000003"/>
    <s v="Guaranteed"/>
  </r>
  <r>
    <s v="Vaccine"/>
    <s v="Routine"/>
    <x v="9"/>
    <n v="2027"/>
    <s v="Uganda"/>
    <s v="v23.2"/>
    <s v="Gavi 6.0"/>
    <n v="2557549.7195000001"/>
    <n v="1539764.6517064399"/>
    <n v="2.5575497195000003"/>
    <n v="1.5397646517064398"/>
    <s v="Guaranteed"/>
  </r>
  <r>
    <s v="Vaccine"/>
    <s v="Routine"/>
    <x v="9"/>
    <n v="2028"/>
    <s v="Uganda"/>
    <s v="v23.2"/>
    <s v="Gavi 6.0"/>
    <n v="2336403.6782"/>
    <n v="1523658.9141476401"/>
    <n v="2.3364036781999999"/>
    <n v="1.5236589141476402"/>
    <s v="Guaranteed"/>
  </r>
  <r>
    <s v="Vaccine"/>
    <s v="Routine"/>
    <x v="9"/>
    <n v="2029"/>
    <s v="Uganda"/>
    <s v="v23.2"/>
    <s v="Gavi 6.0"/>
    <n v="2352854.8947999999"/>
    <n v="1574200.6832427201"/>
    <n v="2.3528548948000001"/>
    <n v="1.57420068324272"/>
    <s v="Guaranteed"/>
  </r>
  <r>
    <s v="Vaccine"/>
    <s v="Routine"/>
    <x v="9"/>
    <n v="2030"/>
    <s v="Uganda"/>
    <s v="v23.2"/>
    <s v="Gavi 6.0"/>
    <n v="2312311.003"/>
    <n v="1552626.2573851601"/>
    <n v="2.312311003"/>
    <n v="1.5526262573851601"/>
    <s v="Guaranteed"/>
  </r>
  <r>
    <s v="Vaccine"/>
    <s v="Routine"/>
    <x v="9"/>
    <n v="2026"/>
    <s v="Central African Republic"/>
    <s v="v23.2"/>
    <s v="Gavi 6.0"/>
    <n v="208175.0287"/>
    <n v="122700"/>
    <n v="0.20817502869999999"/>
    <n v="0.1227"/>
    <s v="Guaranteed"/>
  </r>
  <r>
    <s v="Vaccine"/>
    <s v="Routine"/>
    <x v="9"/>
    <n v="2027"/>
    <s v="Central African Republic"/>
    <s v="v23.2"/>
    <s v="Gavi 6.0"/>
    <n v="292388.43579999998"/>
    <n v="176031.52523596"/>
    <n v="0.29238843579999996"/>
    <n v="0.17603152523596"/>
    <s v="Guaranteed"/>
  </r>
  <r>
    <s v="Vaccine"/>
    <s v="Routine"/>
    <x v="9"/>
    <n v="2028"/>
    <s v="Central African Republic"/>
    <s v="v23.2"/>
    <s v="Gavi 6.0"/>
    <n v="269339.16440000001"/>
    <n v="174816.77770457801"/>
    <n v="0.2693391644"/>
    <n v="0.17481677770457801"/>
    <s v="Guaranteed"/>
  </r>
  <r>
    <s v="Vaccine"/>
    <s v="Routine"/>
    <x v="9"/>
    <n v="2029"/>
    <s v="Central African Republic"/>
    <s v="v23.2"/>
    <s v="Gavi 6.0"/>
    <n v="266011.1961"/>
    <n v="177088.34166535901"/>
    <n v="0.26601119610000001"/>
    <n v="0.177088341665359"/>
    <s v="Guaranteed"/>
  </r>
  <r>
    <s v="Vaccine"/>
    <s v="Routine"/>
    <x v="9"/>
    <n v="2030"/>
    <s v="Central African Republic"/>
    <s v="v23.2"/>
    <s v="Gavi 6.0"/>
    <n v="268814.17340000003"/>
    <n v="179589.44013995101"/>
    <n v="0.26881417340000002"/>
    <n v="0.17958944013995101"/>
    <s v="Guaranteed"/>
  </r>
  <r>
    <s v="Vaccine"/>
    <s v="Routine"/>
    <x v="9"/>
    <n v="2029"/>
    <s v="South Sudan"/>
    <s v="v23.2"/>
    <s v="Gavi 6.0"/>
    <n v="542107.88699999999"/>
    <n v="360890.77502756502"/>
    <n v="0.54210788700000001"/>
    <n v="0.360890775027565"/>
    <s v="Guaranteed"/>
  </r>
  <r>
    <s v="Vaccine"/>
    <s v="Routine"/>
    <x v="9"/>
    <n v="2030"/>
    <s v="South Sudan"/>
    <s v="v23.2"/>
    <s v="Gavi 6.0"/>
    <n v="552555.44429999997"/>
    <n v="369151.37927678798"/>
    <n v="0.55255544429999992"/>
    <n v="0.36915137927678798"/>
    <s v="Guaranteed"/>
  </r>
  <r>
    <s v="Vaccine"/>
    <s v="Routine"/>
    <x v="9"/>
    <n v="2026"/>
    <s v="Chad"/>
    <s v="v23.2"/>
    <s v="Gavi 6.0"/>
    <n v="765676.39749999996"/>
    <n v="451300"/>
    <n v="0.76567639749999994"/>
    <n v="0.45129999999999998"/>
    <s v="Guaranteed"/>
  </r>
  <r>
    <s v="Vaccine"/>
    <s v="Routine"/>
    <x v="9"/>
    <n v="2027"/>
    <s v="Chad"/>
    <s v="v23.2"/>
    <s v="Gavi 6.0"/>
    <n v="1051788.9106999999"/>
    <n v="633226.15913834504"/>
    <n v="1.0517889106999998"/>
    <n v="0.63322615913834501"/>
    <s v="Guaranteed"/>
  </r>
  <r>
    <s v="Vaccine"/>
    <s v="Routine"/>
    <x v="9"/>
    <n v="2028"/>
    <s v="Chad"/>
    <s v="v23.2"/>
    <s v="Gavi 6.0"/>
    <n v="966155.3406"/>
    <n v="627090.99068007502"/>
    <n v="0.96615534059999997"/>
    <n v="0.62709099068007501"/>
    <s v="Guaranteed"/>
  </r>
  <r>
    <s v="Vaccine"/>
    <s v="Routine"/>
    <x v="9"/>
    <n v="2029"/>
    <s v="Chad"/>
    <s v="v23.2"/>
    <s v="Gavi 6.0"/>
    <n v="952244.8933"/>
    <n v="633926.20874670299"/>
    <n v="0.95224489329999995"/>
    <n v="0.63392620874670302"/>
    <s v="Guaranteed"/>
  </r>
  <r>
    <s v="Vaccine"/>
    <s v="Routine"/>
    <x v="9"/>
    <n v="2030"/>
    <s v="Chad"/>
    <s v="v23.2"/>
    <s v="Gavi 6.0"/>
    <n v="957716.54200000002"/>
    <n v="639831.506648849"/>
    <n v="0.957716542"/>
    <n v="0.63983150664884902"/>
    <s v="Guaranteed"/>
  </r>
  <r>
    <s v="Vaccine"/>
    <s v="Routine"/>
    <x v="9"/>
    <n v="2027"/>
    <s v="Sierra Leone"/>
    <s v="v23.2"/>
    <s v="Gavi 6.0"/>
    <n v="453309.01299999998"/>
    <n v="272913.24549188197"/>
    <n v="0.45330901299999998"/>
    <n v="0.27291324549188195"/>
    <s v="Guaranteed"/>
  </r>
  <r>
    <s v="Vaccine"/>
    <s v="Routine"/>
    <x v="9"/>
    <n v="2026"/>
    <s v="Liberia"/>
    <s v="v23.2"/>
    <s v="Gavi 6.0"/>
    <n v="278515.88290000003"/>
    <n v="164329.11177565699"/>
    <n v="0.27851588290000001"/>
    <n v="0.16432911177565698"/>
    <s v="Guaranteed"/>
  </r>
  <r>
    <s v="Vaccine"/>
    <s v="Routine"/>
    <x v="9"/>
    <n v="2027"/>
    <s v="Liberia"/>
    <s v="v23.2"/>
    <s v="Gavi 6.0"/>
    <n v="280644.27710000001"/>
    <n v="168960.99194823901"/>
    <n v="0.28064427710000001"/>
    <n v="0.16896099194823902"/>
    <s v="Guaranteed"/>
  </r>
  <r>
    <s v="Vaccine"/>
    <s v="Routine"/>
    <x v="9"/>
    <n v="2028"/>
    <s v="Liberia"/>
    <s v="v23.2"/>
    <s v="Gavi 6.0"/>
    <n v="259923.27729999999"/>
    <n v="168705.319521475"/>
    <n v="0.25992327729999998"/>
    <n v="0.16870531952147499"/>
    <s v="Guaranteed"/>
  </r>
  <r>
    <s v="Vaccine"/>
    <s v="Routine"/>
    <x v="9"/>
    <n v="2026"/>
    <s v="Cameroon"/>
    <s v="v23.2"/>
    <s v="Gavi 6.0"/>
    <n v="640742.34019999998"/>
    <n v="379518.45766249998"/>
    <n v="0.64074234019999998"/>
    <n v="0.37951845766249998"/>
    <s v="Guaranteed"/>
  </r>
  <r>
    <s v="Vaccine"/>
    <s v="Routine"/>
    <x v="9"/>
    <n v="2027"/>
    <s v="Cameroon"/>
    <s v="v23.2"/>
    <s v="Gavi 6.0"/>
    <n v="545754.30240000004"/>
    <n v="329904.98764531198"/>
    <n v="0.5457543024"/>
    <n v="0.32990498764531195"/>
    <s v="Guaranteed"/>
  </r>
  <r>
    <s v="Vaccine"/>
    <s v="Routine"/>
    <x v="9"/>
    <n v="2028"/>
    <s v="Cameroon"/>
    <s v="v23.2"/>
    <s v="Gavi 6.0"/>
    <n v="400249.94140000001"/>
    <n v="261018.41766000001"/>
    <n v="0.40024994140000003"/>
    <n v="0.26101841766"/>
    <s v="Guaranteed"/>
  </r>
  <r>
    <s v="Vaccine"/>
    <s v="Routine"/>
    <x v="9"/>
    <n v="2026"/>
    <s v="Sierra Leone"/>
    <s v="v23.2"/>
    <s v="Gavi 6.0"/>
    <n v="456778.9388"/>
    <n v="269507.349111113"/>
    <n v="0.45677893879999998"/>
    <n v="0.26950734911111301"/>
    <s v="Guaranteed"/>
  </r>
  <r>
    <s v="Vaccine"/>
    <s v="Routine"/>
    <x v="9"/>
    <n v="2026"/>
    <s v="Mali"/>
    <s v="v23.2"/>
    <s v="Gavi 6.0"/>
    <n v="1319128.4634"/>
    <n v="778308.24747169099"/>
    <n v="1.3191284634"/>
    <n v="0.77830824747169103"/>
    <s v="Guaranteed"/>
  </r>
  <r>
    <s v="Vaccine"/>
    <s v="Routine"/>
    <x v="9"/>
    <n v="2027"/>
    <s v="Mali"/>
    <s v="v23.2"/>
    <s v="Gavi 6.0"/>
    <n v="1342926.2394999999"/>
    <n v="808504.459450169"/>
    <n v="1.3429262394999999"/>
    <n v="0.80850445945016902"/>
    <s v="Guaranteed"/>
  </r>
  <r>
    <s v="Vaccine"/>
    <s v="Routine"/>
    <x v="9"/>
    <n v="2028"/>
    <s v="Mali"/>
    <s v="v23.2"/>
    <s v="Gavi 6.0"/>
    <n v="1269335.4787999999"/>
    <n v="827782.60253472696"/>
    <n v="1.2693354788"/>
    <n v="0.82778260253472691"/>
    <s v="Guaranteed"/>
  </r>
  <r>
    <s v="Vaccine"/>
    <s v="Routine"/>
    <x v="9"/>
    <n v="2026"/>
    <s v="Guinea"/>
    <s v="v23.2"/>
    <s v="Gavi 6.0"/>
    <n v="494095.38559999998"/>
    <n v="292657.91703750001"/>
    <n v="0.49409538559999999"/>
    <n v="0.29265791703749999"/>
    <s v="Guaranteed"/>
  </r>
  <r>
    <s v="Vaccine"/>
    <s v="Routine"/>
    <x v="9"/>
    <n v="2026"/>
    <s v="Niger"/>
    <s v="v23.2"/>
    <s v="Gavi 6.0"/>
    <n v="1908056.3696000001"/>
    <n v="1125785.73672984"/>
    <n v="1.9080563696000001"/>
    <n v="1.1257857367298401"/>
    <s v="Guaranteed"/>
  </r>
  <r>
    <s v="Vaccine"/>
    <s v="Routine"/>
    <x v="9"/>
    <n v="2027"/>
    <s v="Niger"/>
    <s v="v23.2"/>
    <s v="Gavi 6.0"/>
    <n v="1959288.5247"/>
    <n v="1179583.40745829"/>
    <n v="1.9592885247"/>
    <n v="1.17958340745829"/>
    <s v="Guaranteed"/>
  </r>
  <r>
    <s v="Vaccine"/>
    <s v="Routine"/>
    <x v="9"/>
    <n v="2028"/>
    <s v="Niger"/>
    <s v="v23.2"/>
    <s v="Gavi 6.0"/>
    <n v="1812197.0045"/>
    <n v="1176221.22148653"/>
    <n v="1.8121970045"/>
    <n v="1.17622122148653"/>
    <s v="Guaranteed"/>
  </r>
  <r>
    <s v="Vaccine"/>
    <s v="Routine"/>
    <x v="9"/>
    <n v="2026"/>
    <s v="Congo, the Democratic Republic of the"/>
    <s v="v23.2"/>
    <s v="Gavi 6.0"/>
    <n v="4208737.0662000002"/>
    <n v="2483226.5096171401"/>
    <n v="4.2087370662000003"/>
    <n v="2.4832265096171402"/>
    <s v="Guaranteed"/>
  </r>
  <r>
    <s v="Vaccine"/>
    <s v="Routine"/>
    <x v="9"/>
    <n v="2027"/>
    <s v="Congo, the Democratic Republic of the"/>
    <s v="v23.2"/>
    <s v="Gavi 6.0"/>
    <n v="4293469.8370000003"/>
    <n v="2584869.8220723001"/>
    <n v="4.293469837"/>
    <n v="2.5848698220723003"/>
    <s v="Guaranteed"/>
  </r>
  <r>
    <s v="Vaccine"/>
    <s v="Routine"/>
    <x v="9"/>
    <n v="2028"/>
    <s v="Congo, the Democratic Republic of the"/>
    <s v="v23.2"/>
    <s v="Gavi 6.0"/>
    <n v="4001533.8240999999"/>
    <n v="2597228.1107283402"/>
    <n v="4.0015338241"/>
    <n v="2.5972281107283401"/>
    <s v="Guaranteed"/>
  </r>
  <r>
    <s v="Vaccine"/>
    <s v="Routine"/>
    <x v="9"/>
    <n v="2027"/>
    <s v="Guinea"/>
    <s v="v23.2"/>
    <s v="Gavi 6.0"/>
    <n v="493567.71840000001"/>
    <n v="298358.53115843702"/>
    <n v="0.49356771840000002"/>
    <n v="0.29835853115843702"/>
    <s v="Guaranteed"/>
  </r>
  <r>
    <s v="Vaccine"/>
    <s v="Routine"/>
    <x v="9"/>
    <n v="2028"/>
    <s v="Guinea"/>
    <s v="v23.2"/>
    <s v="Gavi 6.0"/>
    <n v="427886.55469999998"/>
    <n v="279041.31867058098"/>
    <n v="0.42788655469999998"/>
    <n v="0.27904131867058096"/>
    <s v="Guaranteed"/>
  </r>
  <r>
    <s v="Vaccine"/>
    <s v="Routine"/>
    <x v="8"/>
    <n v="2026"/>
    <s v="Korea DPR"/>
    <s v="v23.2"/>
    <s v="Gavi 6.0"/>
    <n v="1085785.6669999999"/>
    <n v="767850"/>
    <n v="1.0857856669999999"/>
    <n v="0.76785000000000003"/>
    <s v="Guaranteed"/>
  </r>
  <r>
    <s v="Vaccine"/>
    <s v="Routine"/>
    <x v="8"/>
    <n v="2027"/>
    <s v="Korea DPR"/>
    <s v="v23.2"/>
    <s v="Gavi 6.0"/>
    <n v="1053495.7992"/>
    <n v="750745.53667464305"/>
    <n v="1.0534957992"/>
    <n v="0.75074553667464305"/>
    <s v="Guaranteed"/>
  </r>
  <r>
    <s v="Vaccine"/>
    <s v="Routine"/>
    <x v="8"/>
    <n v="2028"/>
    <s v="Korea DPR"/>
    <s v="v23.2"/>
    <s v="Gavi 6.0"/>
    <n v="1034382.3453"/>
    <n v="737628.38365478104"/>
    <n v="1.0343823453000001"/>
    <n v="0.73762838365478101"/>
    <s v="Guaranteed"/>
  </r>
  <r>
    <s v="Vaccine"/>
    <s v="Routine"/>
    <x v="8"/>
    <n v="2029"/>
    <s v="Korea DPR"/>
    <s v="v23.2"/>
    <s v="Gavi 6.0"/>
    <n v="1010965.3162999999"/>
    <n v="720929.53346389905"/>
    <n v="1.0109653162999999"/>
    <n v="0.7209295334638991"/>
    <s v="Guaranteed"/>
  </r>
  <r>
    <s v="Vaccine"/>
    <s v="Routine"/>
    <x v="8"/>
    <n v="2030"/>
    <s v="Korea DPR"/>
    <s v="v23.2"/>
    <s v="Gavi 6.0"/>
    <n v="988890.9841"/>
    <n v="705188.156079259"/>
    <n v="0.98889098409999998"/>
    <n v="0.705188156079259"/>
    <s v="Guaranteed"/>
  </r>
  <r>
    <s v="Vaccine"/>
    <s v="Routine"/>
    <x v="8"/>
    <n v="2026"/>
    <s v="Haiti"/>
    <s v="v23.2"/>
    <s v="Gavi 6.0"/>
    <n v="417132.16210000002"/>
    <n v="296756.20845839998"/>
    <n v="0.41713216210000004"/>
    <n v="0.29675620845840001"/>
    <s v="Guaranteed"/>
  </r>
  <r>
    <s v="Vaccine"/>
    <s v="Routine"/>
    <x v="8"/>
    <n v="2027"/>
    <s v="Zambia"/>
    <s v="v23.2"/>
    <s v="Gavi 6.0"/>
    <n v="1956474.2305999999"/>
    <n v="1403252.2284154401"/>
    <n v="1.9564742305999998"/>
    <n v="1.4032522284154401"/>
    <s v="Guaranteed"/>
  </r>
  <r>
    <s v="Vaccine"/>
    <s v="Routine"/>
    <x v="8"/>
    <n v="2026"/>
    <s v="Bangladesh"/>
    <s v="v23.2"/>
    <s v="Gavi 6.0"/>
    <n v="10854511.552100001"/>
    <n v="7722117.7970955996"/>
    <n v="10.854511552100002"/>
    <n v="7.7221177970955992"/>
    <s v="Guaranteed"/>
  </r>
  <r>
    <s v="Vaccine"/>
    <s v="Routine"/>
    <x v="8"/>
    <n v="2027"/>
    <s v="Haiti"/>
    <s v="v23.2"/>
    <s v="Gavi 6.0"/>
    <n v="605496.37199999997"/>
    <n v="434284.72260992002"/>
    <n v="0.60549637199999995"/>
    <n v="0.43428472260992002"/>
    <s v="Guaranteed"/>
  </r>
  <r>
    <s v="Vaccine"/>
    <s v="Routine"/>
    <x v="8"/>
    <n v="2028"/>
    <s v="Haiti"/>
    <s v="v23.2"/>
    <s v="Gavi 6.0"/>
    <n v="587435.97290000005"/>
    <n v="421552.20026906999"/>
    <n v="0.58743597290000005"/>
    <n v="0.42155220026906998"/>
    <s v="Guaranteed"/>
  </r>
  <r>
    <s v="Vaccine"/>
    <s v="Routine"/>
    <x v="8"/>
    <n v="2027"/>
    <s v="Bangladesh"/>
    <s v="v23.2"/>
    <s v="Gavi 6.0"/>
    <n v="5408922.0412999997"/>
    <n v="3879479.32292184"/>
    <n v="5.4089220412999994"/>
    <n v="3.8794793229218398"/>
    <s v="Guaranteed"/>
  </r>
  <r>
    <s v="Vaccine"/>
    <s v="Routine"/>
    <x v="8"/>
    <n v="2029"/>
    <s v="Haiti"/>
    <s v="v23.2"/>
    <s v="Gavi 6.0"/>
    <n v="571419.15249999997"/>
    <n v="410058.34655361099"/>
    <n v="0.57141915249999997"/>
    <n v="0.41005834655361101"/>
    <s v="Guaranteed"/>
  </r>
  <r>
    <s v="Vaccine"/>
    <s v="Routine"/>
    <x v="8"/>
    <n v="2030"/>
    <s v="Haiti"/>
    <s v="v23.2"/>
    <s v="Gavi 6.0"/>
    <n v="274286.20270000002"/>
    <n v="196831.615609628"/>
    <n v="0.27428620270000004"/>
    <n v="0.196831615609628"/>
    <s v="Guaranteed"/>
  </r>
  <r>
    <s v="Vaccine"/>
    <s v="Routine"/>
    <x v="8"/>
    <n v="2029"/>
    <s v="Sudan"/>
    <s v="v23.2"/>
    <s v="Gavi 6.0"/>
    <n v="4723912.6553999996"/>
    <n v="3364085.5398086002"/>
    <n v="4.7239126553999995"/>
    <n v="3.3640855398086003"/>
    <s v="Guaranteed"/>
  </r>
  <r>
    <s v="Vaccine"/>
    <s v="Routine"/>
    <x v="8"/>
    <n v="2030"/>
    <s v="Sudan"/>
    <s v="v23.2"/>
    <s v="Gavi 6.0"/>
    <n v="4779359.0132999998"/>
    <n v="3403571.3348755999"/>
    <n v="4.7793590132999997"/>
    <n v="3.4035713348756"/>
    <s v="Guaranteed"/>
  </r>
  <r>
    <s v="Vaccine"/>
    <s v="Routine"/>
    <x v="8"/>
    <n v="2028"/>
    <s v="Tajikistan"/>
    <s v="v23.2"/>
    <s v="Gavi 6.0"/>
    <n v="784652.87069999997"/>
    <n v="563077.781028367"/>
    <n v="0.7846528707"/>
    <n v="0.56307778102836703"/>
    <s v="Guaranteed"/>
  </r>
  <r>
    <s v="Vaccine"/>
    <s v="Routine"/>
    <x v="8"/>
    <n v="2029"/>
    <s v="Tajikistan"/>
    <s v="v23.2"/>
    <s v="Gavi 6.0"/>
    <n v="738864.83140000002"/>
    <n v="530219.69912535895"/>
    <n v="0.73886483140000003"/>
    <n v="0.53021969912535893"/>
    <s v="Guaranteed"/>
  </r>
  <r>
    <s v="Vaccine"/>
    <s v="Routine"/>
    <x v="8"/>
    <n v="2030"/>
    <s v="Tajikistan"/>
    <s v="v23.2"/>
    <s v="Gavi 6.0"/>
    <n v="689287.85309999995"/>
    <n v="494642.60483259801"/>
    <n v="0.68928785309999996"/>
    <n v="0.49464260483259803"/>
    <s v="Guaranteed"/>
  </r>
  <r>
    <s v="Vaccine"/>
    <s v="Routine"/>
    <x v="8"/>
    <n v="2028"/>
    <s v="Bangladesh"/>
    <s v="v23.2"/>
    <s v="Gavi 6.0"/>
    <n v="3564199.5244"/>
    <n v="2557719.0044406001"/>
    <n v="3.5641995244000002"/>
    <n v="2.5577190044406"/>
    <s v="Guaranteed"/>
  </r>
  <r>
    <s v="Vaccine"/>
    <s v="Routine"/>
    <x v="8"/>
    <n v="2026"/>
    <s v="Papua New Guinea"/>
    <s v="v23.2"/>
    <s v="Gavi 6.0"/>
    <n v="216594.8052"/>
    <n v="154300"/>
    <n v="0.21659480519999999"/>
    <n v="0.15429999999999999"/>
    <s v="Guaranteed"/>
  </r>
  <r>
    <s v="Vaccine"/>
    <s v="Routine"/>
    <x v="8"/>
    <n v="2027"/>
    <s v="Papua New Guinea"/>
    <s v="v23.2"/>
    <s v="Gavi 6.0"/>
    <n v="192881.90549999999"/>
    <n v="138342.050110685"/>
    <n v="0.19288190550000001"/>
    <n v="0.13834205011068501"/>
    <s v="Guaranteed"/>
  </r>
  <r>
    <s v="Vaccine"/>
    <s v="Routine"/>
    <x v="8"/>
    <n v="2028"/>
    <s v="Papua New Guinea"/>
    <s v="v23.2"/>
    <s v="Gavi 6.0"/>
    <n v="156520.57070000001"/>
    <n v="112321.332015543"/>
    <n v="0.1565205707"/>
    <n v="0.11232133201554299"/>
    <s v="Guaranteed"/>
  </r>
  <r>
    <s v="Vaccine"/>
    <s v="Routine"/>
    <x v="8"/>
    <n v="2029"/>
    <s v="Papua New Guinea"/>
    <s v="v23.2"/>
    <s v="Gavi 6.0"/>
    <n v="118554.9811"/>
    <n v="85076.706494666505"/>
    <n v="0.1185549811"/>
    <n v="8.5076706494666504E-2"/>
    <s v="Guaranteed"/>
  </r>
  <r>
    <s v="Vaccine"/>
    <s v="Routine"/>
    <x v="8"/>
    <n v="2030"/>
    <s v="Papua New Guinea"/>
    <s v="v23.2"/>
    <s v="Gavi 6.0"/>
    <n v="79973.8986"/>
    <n v="57390.388269304"/>
    <n v="7.9973898599999996E-2"/>
    <n v="5.7390388269303996E-2"/>
    <s v="Guaranteed"/>
  </r>
  <r>
    <s v="Vaccine"/>
    <s v="Routine"/>
    <x v="8"/>
    <n v="2029"/>
    <s v="Bangladesh"/>
    <s v="v23.2"/>
    <s v="Gavi 6.0"/>
    <n v="1507560.1285000001"/>
    <n v="1081846.1560828299"/>
    <n v="1.5075601285000002"/>
    <n v="1.0818461560828299"/>
    <s v="Guaranteed"/>
  </r>
  <r>
    <s v="Vaccine"/>
    <s v="Routine"/>
    <x v="8"/>
    <n v="2026"/>
    <s v="Cambodia"/>
    <s v="v23.2"/>
    <s v="Gavi 6.0"/>
    <n v="1103637.6666000001"/>
    <n v="785150"/>
    <n v="1.1036376666000001"/>
    <n v="0.78515000000000001"/>
    <s v="Guaranteed"/>
  </r>
  <r>
    <s v="Vaccine"/>
    <s v="Routine"/>
    <x v="8"/>
    <n v="2027"/>
    <s v="Cambodia"/>
    <s v="v23.2"/>
    <s v="Gavi 6.0"/>
    <n v="1047711.1108"/>
    <n v="751457.23300875002"/>
    <n v="1.0477111108000001"/>
    <n v="0.75145723300875"/>
    <s v="Guaranteed"/>
  </r>
  <r>
    <s v="Vaccine"/>
    <s v="Routine"/>
    <x v="8"/>
    <n v="2028"/>
    <s v="Cambodia"/>
    <s v="v23.2"/>
    <s v="Gavi 6.0"/>
    <n v="497071.32559999998"/>
    <n v="356705.27629332599"/>
    <n v="0.4970713256"/>
    <n v="0.35670527629332599"/>
    <s v="Guaranteed"/>
  </r>
  <r>
    <s v="Vaccine"/>
    <s v="Routine"/>
    <x v="8"/>
    <n v="2028"/>
    <s v="Zambia"/>
    <s v="v23.2"/>
    <s v="Gavi 6.0"/>
    <n v="1825418.7002000001"/>
    <n v="1309945.7728764799"/>
    <n v="1.8254187002000002"/>
    <n v="1.3099457728764798"/>
    <s v="Guaranteed"/>
  </r>
  <r>
    <s v="Vaccine"/>
    <s v="Routine"/>
    <x v="8"/>
    <n v="2029"/>
    <s v="Zambia"/>
    <s v="v23.2"/>
    <s v="Gavi 6.0"/>
    <n v="1681707.6477000001"/>
    <n v="1206816.8425979801"/>
    <n v="1.6817076477000001"/>
    <n v="1.2068168425979799"/>
    <s v="Guaranteed"/>
  </r>
  <r>
    <s v="Vaccine"/>
    <s v="Routine"/>
    <x v="8"/>
    <n v="2030"/>
    <s v="Zambia"/>
    <s v="v23.2"/>
    <s v="Gavi 6.0"/>
    <n v="1488702.8507000001"/>
    <n v="1068313.9888927301"/>
    <n v="1.4887028507"/>
    <n v="1.06831398889273"/>
    <s v="Guaranteed"/>
  </r>
  <r>
    <s v="Vaccine"/>
    <s v="Routine"/>
    <x v="8"/>
    <n v="2026"/>
    <s v="Kyrgyzstan"/>
    <s v="v23.2"/>
    <s v="Gavi 6.0"/>
    <n v="345646.74329999997"/>
    <n v="245900"/>
    <n v="0.34564674329999995"/>
    <n v="0.24590000000000001"/>
    <s v="Guaranteed"/>
  </r>
  <r>
    <s v="Vaccine"/>
    <s v="Routine"/>
    <x v="8"/>
    <n v="2027"/>
    <s v="Kyrgyzstan"/>
    <s v="v23.2"/>
    <s v="Gavi 6.0"/>
    <n v="152087.3069"/>
    <n v="109082.65225917401"/>
    <n v="0.1520873069"/>
    <n v="0.109082652259174"/>
    <s v="Guaranteed"/>
  </r>
  <r>
    <s v="Vaccine"/>
    <s v="Routine"/>
    <x v="8"/>
    <n v="2026"/>
    <s v="Sao Tome and Principe"/>
    <s v="v23.2"/>
    <s v="Gavi 6.0"/>
    <n v="3366.1395000000002"/>
    <n v="2393.8847999999998"/>
    <n v="3.3661395000000004E-3"/>
    <n v="2.3938847999999996E-3"/>
    <s v="Guaranteed"/>
  </r>
  <r>
    <s v="Vaccine"/>
    <s v="Routine"/>
    <x v="8"/>
    <n v="2026"/>
    <s v="Solomon Islands"/>
    <s v="v23.2"/>
    <s v="Gavi 6.0"/>
    <n v="16024.273300000001"/>
    <n v="11400"/>
    <n v="1.6024273299999999E-2"/>
    <n v="1.14E-2"/>
    <s v="Guaranteed"/>
  </r>
  <r>
    <s v="Vaccine"/>
    <s v="Routine"/>
    <x v="8"/>
    <n v="2027"/>
    <s v="Solomon Islands"/>
    <s v="v23.2"/>
    <s v="Gavi 6.0"/>
    <n v="16260.617899999999"/>
    <n v="11662.717656114501"/>
    <n v="1.62606179E-2"/>
    <n v="1.1662717656114501E-2"/>
    <s v="Guaranteed"/>
  </r>
  <r>
    <s v="Vaccine"/>
    <s v="Routine"/>
    <x v="8"/>
    <n v="2028"/>
    <s v="Solomon Islands"/>
    <s v="v23.2"/>
    <s v="Gavi 6.0"/>
    <n v="16590.032599999999"/>
    <n v="11905.2374403954"/>
    <n v="1.6590032599999999E-2"/>
    <n v="1.19052374403954E-2"/>
    <s v="Guaranteed"/>
  </r>
  <r>
    <s v="Vaccine"/>
    <s v="Routine"/>
    <x v="8"/>
    <n v="2029"/>
    <s v="Solomon Islands"/>
    <s v="v23.2"/>
    <s v="Gavi 6.0"/>
    <n v="16930.236000000001"/>
    <n v="12149.3732815533"/>
    <n v="1.6930236000000001E-2"/>
    <n v="1.21493732815533E-2"/>
    <s v="Guaranteed"/>
  </r>
  <r>
    <s v="Vaccine"/>
    <s v="Routine"/>
    <x v="8"/>
    <n v="2030"/>
    <s v="Solomon Islands"/>
    <s v="v23.2"/>
    <s v="Gavi 6.0"/>
    <n v="17315.496800000001"/>
    <n v="12425.8426715326"/>
    <n v="1.73154968E-2"/>
    <n v="1.24258426715326E-2"/>
    <s v="Guaranteed"/>
  </r>
  <r>
    <s v="Vaccine"/>
    <s v="Routine"/>
    <x v="8"/>
    <n v="2026"/>
    <s v="Eritrea"/>
    <s v="v23.2"/>
    <s v="Gavi 6.0"/>
    <n v="280057.31849999999"/>
    <n v="198050"/>
    <n v="0.28005731849999999"/>
    <n v="0.19805"/>
    <s v="Guaranteed"/>
  </r>
  <r>
    <s v="Vaccine"/>
    <s v="Routine"/>
    <x v="8"/>
    <n v="2027"/>
    <s v="Eritrea"/>
    <s v="v23.2"/>
    <s v="Gavi 6.0"/>
    <n v="141350.8124"/>
    <n v="100729.866808021"/>
    <n v="0.1413508124"/>
    <n v="0.100729866808021"/>
    <s v="Guaranteed"/>
  </r>
  <r>
    <s v="Vaccine"/>
    <s v="Routine"/>
    <x v="8"/>
    <n v="2027"/>
    <s v="Sao Tome and Principe"/>
    <s v="v23.2"/>
    <s v="Gavi 6.0"/>
    <n v="72.390299999999996"/>
    <n v="51.654888960000001"/>
    <n v="7.2390299999999997E-5"/>
    <n v="5.1654888960000003E-5"/>
    <s v="Guaranteed"/>
  </r>
  <r>
    <s v="Vaccine"/>
    <s v="Routine"/>
    <x v="8"/>
    <n v="2026"/>
    <s v="Ethiopia"/>
    <s v="v23.2"/>
    <s v="Gavi 6.0"/>
    <n v="7877792.9209000003"/>
    <n v="5569018.3029714404"/>
    <n v="7.8777929209000002"/>
    <n v="5.5690183029714406"/>
    <s v="Guaranteed"/>
  </r>
  <r>
    <s v="Vaccine"/>
    <s v="Routine"/>
    <x v="8"/>
    <n v="2026"/>
    <s v="Sudan"/>
    <s v="v23.2"/>
    <s v="Gavi 6.0"/>
    <n v="6220474.2537000002"/>
    <n v="3906273.4136242201"/>
    <n v="6.2204742537"/>
    <n v="3.9062734136242199"/>
    <s v="Guaranteed"/>
  </r>
  <r>
    <s v="Vaccine"/>
    <s v="Routine"/>
    <x v="8"/>
    <n v="2027"/>
    <s v="Ethiopia"/>
    <s v="v23.2"/>
    <s v="Gavi 6.0"/>
    <n v="12329440.3771"/>
    <n v="8785940.7369987294"/>
    <n v="12.329440377100001"/>
    <n v="8.7859407369987288"/>
    <s v="Guaranteed"/>
  </r>
  <r>
    <s v="Vaccine"/>
    <s v="Routine"/>
    <x v="8"/>
    <n v="2026"/>
    <s v="Yemen"/>
    <s v="v23.2"/>
    <s v="Gavi 6.0"/>
    <n v="5225489.0574000003"/>
    <n v="3266130.9784688801"/>
    <n v="5.2254890573999999"/>
    <n v="3.2661309784688801"/>
    <s v="Guaranteed"/>
  </r>
  <r>
    <s v="Vaccine"/>
    <s v="Routine"/>
    <x v="8"/>
    <n v="2027"/>
    <s v="Yemen"/>
    <s v="v23.2"/>
    <s v="Gavi 6.0"/>
    <n v="1146350.9217000001"/>
    <n v="812623.78903061699"/>
    <n v="1.1463509217000001"/>
    <n v="0.81262378903061694"/>
    <s v="Guaranteed"/>
  </r>
  <r>
    <s v="Vaccine"/>
    <s v="Routine"/>
    <x v="8"/>
    <n v="2026"/>
    <s v="Lao People’s Democratic Republic"/>
    <s v="v23.2"/>
    <s v="Gavi 6.0"/>
    <n v="110041.02619999999"/>
    <n v="78285.398879999993"/>
    <n v="0.11004102619999999"/>
    <n v="7.8285398879999996E-2"/>
    <s v="Guaranteed"/>
  </r>
  <r>
    <s v="Vaccine"/>
    <s v="Routine"/>
    <x v="8"/>
    <n v="2027"/>
    <s v="Lao People’s Democratic Republic"/>
    <s v="v23.2"/>
    <s v="Gavi 6.0"/>
    <n v="109680.88860000001"/>
    <n v="78667.122560000003"/>
    <n v="0.10968088860000001"/>
    <n v="7.8667122559999997E-2"/>
    <s v="Guaranteed"/>
  </r>
  <r>
    <s v="Vaccine"/>
    <s v="Routine"/>
    <x v="8"/>
    <n v="2028"/>
    <s v="Lao People’s Democratic Republic"/>
    <s v="v23.2"/>
    <s v="Gavi 6.0"/>
    <n v="55104.6351"/>
    <n v="39543.850319999998"/>
    <n v="5.51046351E-2"/>
    <n v="3.9543850319999997E-2"/>
    <s v="Guaranteed"/>
  </r>
  <r>
    <s v="Vaccine"/>
    <s v="Routine"/>
    <x v="8"/>
    <n v="2028"/>
    <s v="Ethiopia"/>
    <s v="v23.2"/>
    <s v="Gavi 6.0"/>
    <n v="6289427.2074999996"/>
    <n v="4485053.3715215595"/>
    <n v="6.2894272074999993"/>
    <n v="4.4850533715215599"/>
    <s v="Guaranteed"/>
  </r>
  <r>
    <s v="Vaccine"/>
    <s v="Routine"/>
    <x v="8"/>
    <n v="2026"/>
    <s v="Zambia"/>
    <s v="v23.2"/>
    <s v="Gavi 6.0"/>
    <n v="1278309.5495"/>
    <n v="909415.1196944"/>
    <n v="1.2783095494999999"/>
    <n v="0.90941511969440003"/>
    <s v="Guaranteed"/>
  </r>
  <r>
    <s v="Vaccine"/>
    <s v="Routine"/>
    <x v="8"/>
    <n v="2027"/>
    <s v="Sudan"/>
    <s v="v23.2"/>
    <s v="Gavi 6.0"/>
    <n v="5546186.5776000004"/>
    <n v="3946707.6378682898"/>
    <n v="5.5461865776000003"/>
    <n v="3.9467076378682897"/>
    <s v="Guaranteed"/>
  </r>
  <r>
    <s v="Vaccine"/>
    <s v="Routine"/>
    <x v="8"/>
    <n v="2028"/>
    <s v="Sudan"/>
    <s v="v23.2"/>
    <s v="Gavi 6.0"/>
    <n v="5620476.5843000002"/>
    <n v="4002563.8976755999"/>
    <n v="5.6204765843000004"/>
    <n v="4.0025638976755999"/>
    <s v="Guaranteed"/>
  </r>
  <r>
    <s v="Vaccine"/>
    <s v="Routine"/>
    <x v="8"/>
    <n v="2026"/>
    <s v="Tajikistan"/>
    <s v="v23.2"/>
    <s v="Gavi 6.0"/>
    <n v="791097.48120000004"/>
    <n v="562802.65676704003"/>
    <n v="0.79109748120000001"/>
    <n v="0.56280265676704"/>
    <s v="Guaranteed"/>
  </r>
  <r>
    <s v="Vaccine"/>
    <s v="Routine"/>
    <x v="8"/>
    <n v="2027"/>
    <s v="Tajikistan"/>
    <s v="v23.2"/>
    <s v="Gavi 6.0"/>
    <n v="839392.03150000004"/>
    <n v="602042.84660519997"/>
    <n v="0.83939203150000008"/>
    <n v="0.60204284660520002"/>
    <s v="Guaranteed"/>
  </r>
  <r>
    <s v="Vaccine"/>
    <s v="Routine"/>
    <x v="8"/>
    <n v="2026"/>
    <s v="Rwanda"/>
    <s v="v23.2"/>
    <s v="Gavi 6.0"/>
    <n v="733264.58299999998"/>
    <n v="767700"/>
    <n v="0.73326458299999997"/>
    <n v="0.76770000000000005"/>
    <s v="Guaranteed"/>
  </r>
  <r>
    <s v="Vaccine"/>
    <s v="Routine"/>
    <x v="8"/>
    <n v="2027"/>
    <s v="Rwanda"/>
    <s v="v23.2"/>
    <s v="Gavi 6.0"/>
    <n v="747660.32070000004"/>
    <n v="785069.20154604304"/>
    <n v="0.74766032069999999"/>
    <n v="0.78506920154604309"/>
    <s v="Guaranteed"/>
  </r>
  <r>
    <s v="Vaccine"/>
    <s v="Routine"/>
    <x v="8"/>
    <n v="2028"/>
    <s v="Rwanda"/>
    <s v="v23.2"/>
    <s v="Gavi 6.0"/>
    <n v="622982.06629999995"/>
    <n v="611923.97312971996"/>
    <n v="0.62298206629999997"/>
    <n v="0.61192397312971991"/>
    <s v="Guaranteed"/>
  </r>
  <r>
    <s v="Vaccine"/>
    <s v="Routine"/>
    <x v="8"/>
    <n v="2026"/>
    <s v="Somalia"/>
    <s v="v23.2"/>
    <s v="Gavi 6.0"/>
    <n v="1337178.4765999999"/>
    <n v="1417800"/>
    <n v="1.3371784765999999"/>
    <n v="1.4177999999999999"/>
    <s v="Guaranteed"/>
  </r>
  <r>
    <s v="Vaccine"/>
    <s v="Routine"/>
    <x v="8"/>
    <n v="2027"/>
    <s v="Somalia"/>
    <s v="v23.2"/>
    <s v="Gavi 6.0"/>
    <n v="677726.1727"/>
    <n v="720749.24494835897"/>
    <n v="0.67772617270000002"/>
    <n v="0.72074924494835901"/>
    <s v="Guaranteed"/>
  </r>
  <r>
    <s v="Vaccine"/>
    <s v="Routine"/>
    <x v="8"/>
    <n v="2030"/>
    <s v="South Sudan"/>
    <s v="v23.2"/>
    <s v="Gavi 6.0"/>
    <n v="1633023.3577000001"/>
    <n v="1617268.6405571499"/>
    <n v="1.6330233577"/>
    <n v="1.6172686405571499"/>
    <s v="Guaranteed"/>
  </r>
  <r>
    <s v="Vaccine"/>
    <s v="Routine"/>
    <x v="8"/>
    <n v="2026"/>
    <s v="Benin"/>
    <s v="v23.2"/>
    <s v="Gavi 6.0"/>
    <n v="899663.83519999997"/>
    <n v="956100"/>
    <n v="0.89966383519999993"/>
    <n v="0.95609999999999995"/>
    <s v="Guaranteed"/>
  </r>
  <r>
    <s v="Vaccine"/>
    <s v="Routine"/>
    <x v="8"/>
    <n v="2026"/>
    <s v="South Sudan"/>
    <s v="v23.2"/>
    <s v="Gavi 6.0"/>
    <n v="1331099.1109"/>
    <n v="1406400"/>
    <n v="1.3310991108999999"/>
    <n v="1.4064000000000001"/>
    <s v="Guaranteed"/>
  </r>
  <r>
    <s v="Vaccine"/>
    <s v="Routine"/>
    <x v="8"/>
    <n v="2027"/>
    <s v="Benin"/>
    <s v="v23.2"/>
    <s v="Gavi 6.0"/>
    <n v="848197.52919999999"/>
    <n v="904210.76157313201"/>
    <n v="0.84819752920000002"/>
    <n v="0.90421076157313196"/>
    <s v="Guaranteed"/>
  </r>
  <r>
    <s v="Vaccine"/>
    <s v="Routine"/>
    <x v="8"/>
    <n v="2028"/>
    <s v="Benin"/>
    <s v="v23.2"/>
    <s v="Gavi 6.0"/>
    <n v="433340.33809999999"/>
    <n v="431068.99502014398"/>
    <n v="0.4333403381"/>
    <n v="0.43106899502014395"/>
    <s v="Guaranteed"/>
  </r>
  <r>
    <s v="Vaccine"/>
    <s v="Routine"/>
    <x v="8"/>
    <n v="2027"/>
    <s v="South Sudan"/>
    <s v="v23.2"/>
    <s v="Gavi 6.0"/>
    <n v="1377985.8711000001"/>
    <n v="1460292.1015773299"/>
    <n v="1.3779858711000001"/>
    <n v="1.4602921015773298"/>
    <s v="Guaranteed"/>
  </r>
  <r>
    <s v="Vaccine"/>
    <s v="Routine"/>
    <x v="8"/>
    <n v="2026"/>
    <s v="Burundi"/>
    <s v="v23.2"/>
    <s v="Gavi 6.0"/>
    <n v="851613.55209999997"/>
    <n v="891600"/>
    <n v="0.8516135521"/>
    <n v="0.89159999999999995"/>
    <s v="Guaranteed"/>
  </r>
  <r>
    <s v="Vaccine"/>
    <s v="Routine"/>
    <x v="8"/>
    <n v="2028"/>
    <s v="South Sudan"/>
    <s v="v23.2"/>
    <s v="Gavi 6.0"/>
    <n v="1552568.6814999999"/>
    <n v="1537590.1489496001"/>
    <n v="1.5525686814999999"/>
    <n v="1.5375901489496"/>
    <s v="Guaranteed"/>
  </r>
  <r>
    <s v="Vaccine"/>
    <s v="Routine"/>
    <x v="8"/>
    <n v="2029"/>
    <s v="South Sudan"/>
    <s v="v23.2"/>
    <s v="Gavi 6.0"/>
    <n v="1594811.6843000001"/>
    <n v="1579425.6169380499"/>
    <n v="1.5948116843"/>
    <n v="1.5794256169380498"/>
    <s v="Guaranteed"/>
  </r>
  <r>
    <s v="Vaccine"/>
    <s v="Routine"/>
    <x v="8"/>
    <n v="2026"/>
    <s v="Djibouti"/>
    <s v="v23.2"/>
    <s v="Gavi 6.0"/>
    <n v="23991.933499999999"/>
    <n v="25500"/>
    <n v="2.39919335E-2"/>
    <n v="2.5499999999999998E-2"/>
    <s v="Guaranteed"/>
  </r>
  <r>
    <s v="Vaccine"/>
    <s v="Routine"/>
    <x v="8"/>
    <n v="2026"/>
    <s v="Mali"/>
    <s v="v23.2"/>
    <s v="Gavi 6.0"/>
    <n v="2525066.1496000001"/>
    <n v="2643384.1298176702"/>
    <n v="2.5250661496000002"/>
    <n v="2.6433841298176701"/>
    <s v="Guaranteed"/>
  </r>
  <r>
    <s v="Vaccine"/>
    <s v="Routine"/>
    <x v="8"/>
    <n v="2026"/>
    <s v="Cameroon"/>
    <s v="v23.2"/>
    <s v="Gavi 6.0"/>
    <n v="682820.12789999996"/>
    <n v="725628.35495650396"/>
    <n v="0.68282012790000002"/>
    <n v="0.72562835495650391"/>
    <s v="Guaranteed"/>
  </r>
  <r>
    <s v="Vaccine"/>
    <s v="Routine"/>
    <x v="8"/>
    <n v="2027"/>
    <s v="Djibouti"/>
    <s v="v23.2"/>
    <s v="Gavi 6.0"/>
    <n v="16144.911400000001"/>
    <n v="17211.088343135201"/>
    <n v="1.61449114E-2"/>
    <n v="1.72110883431352E-2"/>
    <s v="Guaranteed"/>
  </r>
  <r>
    <s v="Vaccine"/>
    <s v="Routine"/>
    <x v="8"/>
    <n v="2028"/>
    <s v="Djibouti"/>
    <s v="v23.2"/>
    <s v="Gavi 6.0"/>
    <n v="11654.3631"/>
    <n v="11593.277074342601"/>
    <n v="1.1654363100000001E-2"/>
    <n v="1.1593277074342601E-2"/>
    <s v="Guaranteed"/>
  </r>
  <r>
    <s v="Vaccine"/>
    <s v="Routine"/>
    <x v="8"/>
    <n v="2029"/>
    <s v="Djibouti"/>
    <s v="v23.2"/>
    <s v="Gavi 6.0"/>
    <n v="5894.9519"/>
    <n v="5864.0536974460001"/>
    <n v="5.8949518999999997E-3"/>
    <n v="5.8640536974460004E-3"/>
    <s v="Guaranteed"/>
  </r>
  <r>
    <s v="Vaccine"/>
    <s v="Routine"/>
    <x v="8"/>
    <n v="2026"/>
    <s v="Republic of Syria"/>
    <s v="v23.2"/>
    <s v="Gavi 6.0"/>
    <n v="2204665.5436"/>
    <n v="2308200"/>
    <n v="2.2046655436"/>
    <n v="2.3081999999999998"/>
    <s v="Guaranteed"/>
  </r>
  <r>
    <s v="Vaccine"/>
    <s v="Routine"/>
    <x v="8"/>
    <n v="2027"/>
    <s v="Republic of Syria"/>
    <s v="v23.2"/>
    <s v="Gavi 6.0"/>
    <n v="917064.81880000001"/>
    <n v="962949.78503397002"/>
    <n v="0.91706481880000001"/>
    <n v="0.96294978503397"/>
    <s v="Guaranteed"/>
  </r>
  <r>
    <s v="Vaccine"/>
    <s v="Routine"/>
    <x v="8"/>
    <n v="2026"/>
    <s v="Ghana"/>
    <s v="v23.2"/>
    <s v="Gavi 6.0"/>
    <n v="1856941.3059"/>
    <n v="1973400"/>
    <n v="1.8569413058999999"/>
    <n v="1.9734"/>
    <s v="Guaranteed"/>
  </r>
  <r>
    <s v="Vaccine"/>
    <s v="Routine"/>
    <x v="8"/>
    <n v="2027"/>
    <s v="Ghana"/>
    <s v="v23.2"/>
    <s v="Gavi 6.0"/>
    <n v="953023.40489999996"/>
    <n v="1015959.12399222"/>
    <n v="0.95302340489999993"/>
    <n v="1.0159591239922201"/>
    <s v="Guaranteed"/>
  </r>
  <r>
    <s v="Vaccine"/>
    <s v="Routine"/>
    <x v="8"/>
    <n v="2028"/>
    <s v="Ghana"/>
    <s v="v23.2"/>
    <s v="Gavi 6.0"/>
    <n v="686708.34840000002"/>
    <n v="683108.982899289"/>
    <n v="0.68670834840000006"/>
    <n v="0.68310898289928901"/>
    <s v="Guaranteed"/>
  </r>
  <r>
    <s v="Vaccine"/>
    <s v="Routine"/>
    <x v="8"/>
    <n v="2029"/>
    <s v="Ghana"/>
    <s v="v23.2"/>
    <s v="Gavi 6.0"/>
    <n v="345798.36099999998"/>
    <n v="343985.868906227"/>
    <n v="0.345798361"/>
    <n v="0.34398586890622701"/>
    <s v="Guaranteed"/>
  </r>
  <r>
    <s v="Vaccine"/>
    <s v="Routine"/>
    <x v="8"/>
    <n v="2026"/>
    <s v="Chad"/>
    <s v="v23.2"/>
    <s v="Gavi 6.0"/>
    <n v="1606030.6980000001"/>
    <n v="1684500"/>
    <n v="1.6060306980000001"/>
    <n v="1.6845000000000001"/>
    <s v="Guaranteed"/>
  </r>
  <r>
    <s v="Vaccine"/>
    <s v="Routine"/>
    <x v="8"/>
    <n v="2026"/>
    <s v="Guinea-Bissau"/>
    <s v="v23.2"/>
    <s v="Gavi 6.0"/>
    <n v="102025.4761"/>
    <n v="106800"/>
    <n v="0.1020254761"/>
    <n v="0.10680000000000001"/>
    <s v="Guaranteed"/>
  </r>
  <r>
    <s v="Vaccine"/>
    <s v="Routine"/>
    <x v="8"/>
    <n v="2027"/>
    <s v="Guinea-Bissau"/>
    <s v="v23.2"/>
    <s v="Gavi 6.0"/>
    <n v="104177.25229999999"/>
    <n v="109389.718938829"/>
    <n v="0.1041772523"/>
    <n v="0.109389718938829"/>
    <s v="Guaranteed"/>
  </r>
  <r>
    <s v="Vaccine"/>
    <s v="Routine"/>
    <x v="8"/>
    <n v="2028"/>
    <s v="Guinea-Bissau"/>
    <s v="v23.2"/>
    <s v="Gavi 6.0"/>
    <n v="116226.7789"/>
    <n v="114163.723444209"/>
    <n v="0.11622677890000001"/>
    <n v="0.114163723444209"/>
    <s v="Guaranteed"/>
  </r>
  <r>
    <s v="Vaccine"/>
    <s v="Routine"/>
    <x v="8"/>
    <n v="2029"/>
    <s v="Guinea-Bissau"/>
    <s v="v23.2"/>
    <s v="Gavi 6.0"/>
    <n v="73488.6005"/>
    <n v="73103.412118382796"/>
    <n v="7.3488600500000001E-2"/>
    <n v="7.3103412118382796E-2"/>
    <s v="Guaranteed"/>
  </r>
  <r>
    <s v="Vaccine"/>
    <s v="Routine"/>
    <x v="8"/>
    <n v="2026"/>
    <s v="Nepal"/>
    <s v="v23.2"/>
    <s v="Gavi 6.0"/>
    <n v="1326243.3038999999"/>
    <n v="1419600"/>
    <n v="1.3262433038999999"/>
    <n v="1.4196"/>
    <s v="Guaranteed"/>
  </r>
  <r>
    <s v="Vaccine"/>
    <s v="Routine"/>
    <x v="8"/>
    <n v="2027"/>
    <s v="Nepal"/>
    <s v="v23.2"/>
    <s v="Gavi 6.0"/>
    <n v="1243573.298"/>
    <n v="1335330.7930632599"/>
    <n v="1.243573298"/>
    <n v="1.3353307930632599"/>
    <s v="Guaranteed"/>
  </r>
  <r>
    <s v="Vaccine"/>
    <s v="Routine"/>
    <x v="8"/>
    <n v="2028"/>
    <s v="Nepal"/>
    <s v="v23.2"/>
    <s v="Gavi 6.0"/>
    <n v="1241047.7326"/>
    <n v="1242687.21498161"/>
    <n v="1.2410477326"/>
    <n v="1.2426872149816099"/>
    <s v="Guaranteed"/>
  </r>
  <r>
    <s v="Vaccine"/>
    <s v="Routine"/>
    <x v="8"/>
    <n v="2029"/>
    <s v="Nepal"/>
    <s v="v23.2"/>
    <s v="Gavi 6.0"/>
    <n v="1137836.0655"/>
    <n v="1139339.20633621"/>
    <n v="1.1378360654999999"/>
    <n v="1.13933920633621"/>
    <s v="Guaranteed"/>
  </r>
  <r>
    <s v="Vaccine"/>
    <s v="Routine"/>
    <x v="8"/>
    <n v="2030"/>
    <s v="Nepal"/>
    <s v="v23.2"/>
    <s v="Gavi 6.0"/>
    <n v="1020297.3323"/>
    <n v="1021645.19839478"/>
    <n v="1.0202973323"/>
    <n v="1.0216451983947801"/>
    <s v="Guaranteed"/>
  </r>
  <r>
    <s v="Vaccine"/>
    <s v="Routine"/>
    <x v="8"/>
    <n v="2026"/>
    <s v="SYRIA-TAR"/>
    <s v="v23.2"/>
    <s v="Gavi 6.0"/>
    <n v="21789.389899999998"/>
    <n v="22800"/>
    <n v="2.1789389899999997E-2"/>
    <n v="2.2800000000000001E-2"/>
    <s v="Guaranteed"/>
  </r>
  <r>
    <s v="Vaccine"/>
    <s v="Routine"/>
    <x v="8"/>
    <n v="2027"/>
    <s v="SYRIA-TAR"/>
    <s v="v23.2"/>
    <s v="Gavi 6.0"/>
    <n v="7107.6500999999998"/>
    <n v="7463.2785615749999"/>
    <n v="7.1076500999999997E-3"/>
    <n v="7.4632785615750003E-3"/>
    <s v="Guaranteed"/>
  </r>
  <r>
    <s v="Vaccine"/>
    <s v="Routine"/>
    <x v="8"/>
    <n v="2026"/>
    <s v="Pakistan"/>
    <s v="v23.2"/>
    <s v="Gavi 6.0"/>
    <n v="5049748.7757000001"/>
    <n v="5356500"/>
    <n v="5.0497487757000004"/>
    <n v="5.3564999999999996"/>
    <s v="Guaranteed"/>
  </r>
  <r>
    <s v="Vaccine"/>
    <s v="Routine"/>
    <x v="8"/>
    <n v="2027"/>
    <s v="Pakistan"/>
    <s v="v23.2"/>
    <s v="Gavi 6.0"/>
    <n v="6327659.9501999998"/>
    <n v="6738780.3341061296"/>
    <n v="6.3276599502000002"/>
    <n v="6.7387803341061296"/>
    <s v="Guaranteed"/>
  </r>
  <r>
    <s v="Vaccine"/>
    <s v="Routine"/>
    <x v="8"/>
    <n v="2028"/>
    <s v="Pakistan"/>
    <s v="v23.2"/>
    <s v="Gavi 6.0"/>
    <n v="3519418.4547000001"/>
    <n v="3497791.1439726502"/>
    <n v="3.5194184547000003"/>
    <n v="3.4977911439726501"/>
    <s v="Guaranteed"/>
  </r>
  <r>
    <s v="Vaccine"/>
    <s v="Routine"/>
    <x v="8"/>
    <n v="2027"/>
    <s v="Cameroon"/>
    <s v="v23.2"/>
    <s v="Gavi 6.0"/>
    <n v="989875.32819999999"/>
    <n v="1055239.42225311"/>
    <n v="0.98987532820000002"/>
    <n v="1.0552394222531101"/>
    <s v="Guaranteed"/>
  </r>
  <r>
    <s v="Vaccine"/>
    <s v="Routine"/>
    <x v="8"/>
    <n v="2027"/>
    <s v="Mali"/>
    <s v="v23.2"/>
    <s v="Gavi 6.0"/>
    <n v="2108240.3103999998"/>
    <n v="2213725.26098294"/>
    <n v="2.1082403103999998"/>
    <n v="2.2137252609829399"/>
    <s v="Guaranteed"/>
  </r>
  <r>
    <s v="Vaccine"/>
    <s v="Routine"/>
    <x v="8"/>
    <n v="2026"/>
    <s v="Nigeria"/>
    <s v="v23.2"/>
    <s v="Gavi 6.0"/>
    <n v="2364732.9051999999"/>
    <n v="2520000"/>
    <n v="2.3647329051999999"/>
    <n v="2.52"/>
    <s v="Guaranteed"/>
  </r>
  <r>
    <s v="Vaccine"/>
    <s v="Routine"/>
    <x v="8"/>
    <n v="2027"/>
    <s v="Nigeria"/>
    <s v="v23.2"/>
    <s v="Gavi 6.0"/>
    <n v="3784299.9657999999"/>
    <n v="4045503.2401278601"/>
    <n v="3.7842999657999998"/>
    <n v="4.0455032401278599"/>
    <s v="Guaranteed"/>
  </r>
  <r>
    <s v="Vaccine"/>
    <s v="Routine"/>
    <x v="8"/>
    <n v="2028"/>
    <s v="Nigeria"/>
    <s v="v23.2"/>
    <s v="Gavi 6.0"/>
    <n v="4127579.2382"/>
    <n v="4116385.1224407898"/>
    <n v="4.1275792382000001"/>
    <n v="4.1163851224407901"/>
    <s v="Guaranteed"/>
  </r>
  <r>
    <s v="Vaccine"/>
    <s v="Routine"/>
    <x v="8"/>
    <n v="2029"/>
    <s v="Nigeria"/>
    <s v="v23.2"/>
    <s v="Gavi 6.0"/>
    <n v="4207458.2566"/>
    <n v="4196047.5283948099"/>
    <n v="4.2074582565999998"/>
    <n v="4.1960475283948098"/>
    <s v="Guaranteed"/>
  </r>
  <r>
    <s v="Vaccine"/>
    <s v="Routine"/>
    <x v="8"/>
    <n v="2030"/>
    <s v="Nigeria"/>
    <s v="v23.2"/>
    <s v="Gavi 6.0"/>
    <n v="4265391.0058000004"/>
    <n v="4253823.1630066196"/>
    <n v="4.2653910058000006"/>
    <n v="4.2538231630066194"/>
    <s v="Guaranteed"/>
  </r>
  <r>
    <s v="Vaccine"/>
    <s v="Routine"/>
    <x v="8"/>
    <n v="2026"/>
    <s v="Timor-Leste"/>
    <s v="v23.2"/>
    <s v="Gavi 6.0"/>
    <n v="29035.734400000001"/>
    <n v="30900"/>
    <n v="2.9035734400000002E-2"/>
    <n v="3.09E-2"/>
    <s v="Guaranteed"/>
  </r>
  <r>
    <s v="Vaccine"/>
    <s v="Routine"/>
    <x v="8"/>
    <n v="2027"/>
    <s v="Timor-Leste"/>
    <s v="v23.2"/>
    <s v="Gavi 6.0"/>
    <n v="11493.2327"/>
    <n v="12252.2222716863"/>
    <n v="1.14932327E-2"/>
    <n v="1.22522222716863E-2"/>
    <s v="Guaranteed"/>
  </r>
  <r>
    <s v="Vaccine"/>
    <s v="Routine"/>
    <x v="8"/>
    <n v="2026"/>
    <s v="Togo"/>
    <s v="v23.2"/>
    <s v="Gavi 6.0"/>
    <n v="613207.50490000006"/>
    <n v="642000"/>
    <n v="0.61320750490000009"/>
    <n v="0.64200000000000002"/>
    <s v="Guaranteed"/>
  </r>
  <r>
    <s v="Vaccine"/>
    <s v="Routine"/>
    <x v="8"/>
    <n v="2027"/>
    <s v="Togo"/>
    <s v="v23.2"/>
    <s v="Gavi 6.0"/>
    <n v="622183.32279999997"/>
    <n v="653314.01301058603"/>
    <n v="0.62218332279999999"/>
    <n v="0.653314013010586"/>
    <s v="Guaranteed"/>
  </r>
  <r>
    <s v="Vaccine"/>
    <s v="Routine"/>
    <x v="8"/>
    <n v="2028"/>
    <s v="Togo"/>
    <s v="v23.2"/>
    <s v="Gavi 6.0"/>
    <n v="337840.57990000001"/>
    <n v="336069.79655148101"/>
    <n v="0.33784057989999999"/>
    <n v="0.336069796551481"/>
    <s v="Guaranteed"/>
  </r>
  <r>
    <s v="Vaccine"/>
    <s v="Routine"/>
    <x v="8"/>
    <n v="2026"/>
    <s v="Burkina Faso"/>
    <s v="v23.2"/>
    <s v="Gavi 6.0"/>
    <n v="2082885.5168999999"/>
    <n v="2180700"/>
    <n v="2.0828855168999998"/>
    <n v="2.1806999999999999"/>
    <s v="Guaranteed"/>
  </r>
  <r>
    <s v="Vaccine"/>
    <s v="Routine"/>
    <x v="8"/>
    <n v="2027"/>
    <s v="Burkina Faso"/>
    <s v="v23.2"/>
    <s v="Gavi 6.0"/>
    <n v="2094026.3162"/>
    <n v="2198800.0735329599"/>
    <n v="2.0940263161999999"/>
    <n v="2.19880007353296"/>
    <s v="Guaranteed"/>
  </r>
  <r>
    <s v="Vaccine"/>
    <s v="Routine"/>
    <x v="8"/>
    <n v="2028"/>
    <s v="United Republic of Tanzania"/>
    <s v="v23.2"/>
    <s v="Gavi 6.0"/>
    <n v="5840182.5334999999"/>
    <n v="5809571.3553395299"/>
    <n v="5.8401825335000002"/>
    <n v="5.8095713553395303"/>
    <s v="Guaranteed"/>
  </r>
  <r>
    <s v="Vaccine"/>
    <s v="Routine"/>
    <x v="8"/>
    <n v="2029"/>
    <s v="United Republic of Tanzania"/>
    <s v="v23.2"/>
    <s v="Gavi 6.0"/>
    <n v="5734047.2504000003"/>
    <n v="5703992.4073977498"/>
    <n v="5.7340472504000006"/>
    <n v="5.7039924073977497"/>
    <s v="Guaranteed"/>
  </r>
  <r>
    <s v="Vaccine"/>
    <s v="Routine"/>
    <x v="8"/>
    <n v="2030"/>
    <s v="United Republic of Tanzania"/>
    <s v="v23.2"/>
    <s v="Gavi 6.0"/>
    <n v="5576773.5203"/>
    <n v="5547543.0235723499"/>
    <n v="5.5767735202999997"/>
    <n v="5.5475430235723495"/>
    <s v="Guaranteed"/>
  </r>
  <r>
    <s v="Vaccine"/>
    <s v="Routine"/>
    <x v="8"/>
    <n v="2026"/>
    <s v="Malawi"/>
    <s v="v23.2"/>
    <s v="Gavi 6.0"/>
    <n v="1913249.0179999999"/>
    <n v="2003100"/>
    <n v="1.9132490179999999"/>
    <n v="2.0030999999999999"/>
    <s v="Guaranteed"/>
  </r>
  <r>
    <s v="Vaccine"/>
    <s v="Routine"/>
    <x v="8"/>
    <n v="2027"/>
    <s v="Malawi"/>
    <s v="v23.2"/>
    <s v="Gavi 6.0"/>
    <n v="1928301.7261000001"/>
    <n v="2024783.52076516"/>
    <n v="1.9283017261000002"/>
    <n v="2.0247835207651601"/>
    <s v="Guaranteed"/>
  </r>
  <r>
    <s v="Vaccine"/>
    <s v="Routine"/>
    <x v="8"/>
    <n v="2028"/>
    <s v="Malawi"/>
    <s v="v23.2"/>
    <s v="Gavi 6.0"/>
    <n v="2137232.2525999998"/>
    <n v="2099295.8261567201"/>
    <n v="2.1372322525999996"/>
    <n v="2.0992958261567201"/>
    <s v="Guaranteed"/>
  </r>
  <r>
    <s v="Vaccine"/>
    <s v="Routine"/>
    <x v="8"/>
    <n v="2029"/>
    <s v="Malawi"/>
    <s v="v23.2"/>
    <s v="Gavi 6.0"/>
    <n v="2171382.1516"/>
    <n v="2132839.5663118698"/>
    <n v="2.1713821516"/>
    <n v="2.1328395663118696"/>
    <s v="Guaranteed"/>
  </r>
  <r>
    <s v="Vaccine"/>
    <s v="Routine"/>
    <x v="8"/>
    <n v="2030"/>
    <s v="Malawi"/>
    <s v="v23.2"/>
    <s v="Gavi 6.0"/>
    <n v="2184062.2877000002"/>
    <n v="2145294.6270038499"/>
    <n v="2.1840622877000002"/>
    <n v="2.14529462700385"/>
    <s v="Guaranteed"/>
  </r>
  <r>
    <s v="Vaccine"/>
    <s v="Routine"/>
    <x v="8"/>
    <n v="2026"/>
    <s v="Myanmar"/>
    <s v="v23.2"/>
    <s v="Gavi 6.0"/>
    <n v="1814917.2683000001"/>
    <n v="1928700"/>
    <n v="1.8149172683000001"/>
    <n v="1.9287000000000001"/>
    <s v="Guaranteed"/>
  </r>
  <r>
    <s v="Vaccine"/>
    <s v="Routine"/>
    <x v="8"/>
    <n v="2027"/>
    <s v="Myanmar"/>
    <s v="v23.2"/>
    <s v="Gavi 6.0"/>
    <n v="1193201.2559"/>
    <n v="1271997.8295775501"/>
    <n v="1.1932012559"/>
    <n v="1.27199782957755"/>
    <s v="Guaranteed"/>
  </r>
  <r>
    <s v="Vaccine"/>
    <s v="Routine"/>
    <x v="8"/>
    <n v="2028"/>
    <s v="Myanmar"/>
    <s v="v23.2"/>
    <s v="Gavi 6.0"/>
    <n v="1210864.1117"/>
    <n v="1204517.3962189101"/>
    <n v="1.2108641117000001"/>
    <n v="1.2045173962189102"/>
    <s v="Guaranteed"/>
  </r>
  <r>
    <s v="Vaccine"/>
    <s v="Routine"/>
    <x v="8"/>
    <n v="2029"/>
    <s v="Myanmar"/>
    <s v="v23.2"/>
    <s v="Gavi 6.0"/>
    <n v="1132935.7631000001"/>
    <n v="1126997.5130537101"/>
    <n v="1.1329357631000001"/>
    <n v="1.1269975130537102"/>
    <s v="Guaranteed"/>
  </r>
  <r>
    <s v="Vaccine"/>
    <s v="Routine"/>
    <x v="8"/>
    <n v="2030"/>
    <s v="Myanmar"/>
    <s v="v23.2"/>
    <s v="Gavi 6.0"/>
    <n v="1043184.3898"/>
    <n v="1037716.56910984"/>
    <n v="1.0431843897999999"/>
    <n v="1.03771656910984"/>
    <s v="Guaranteed"/>
  </r>
  <r>
    <s v="Vaccine"/>
    <s v="Routine"/>
    <x v="8"/>
    <n v="2026"/>
    <s v="Senegal"/>
    <s v="v23.2"/>
    <s v="Gavi 6.0"/>
    <n v="1119863.3474999999"/>
    <n v="1190400"/>
    <n v="1.1198633474999999"/>
    <n v="1.1903999999999999"/>
    <s v="Guaranteed"/>
  </r>
  <r>
    <s v="Vaccine"/>
    <s v="Routine"/>
    <x v="8"/>
    <n v="2026"/>
    <s v="Gambia"/>
    <s v="v23.2"/>
    <s v="Gavi 6.0"/>
    <n v="130676.98119999999"/>
    <n v="136800"/>
    <n v="0.13067698119999999"/>
    <n v="0.1368"/>
    <s v="Guaranteed"/>
  </r>
  <r>
    <s v="Vaccine"/>
    <s v="Routine"/>
    <x v="8"/>
    <n v="2027"/>
    <s v="Gambia"/>
    <s v="v23.2"/>
    <s v="Gavi 6.0"/>
    <n v="65789.6973"/>
    <n v="69081.458049466804"/>
    <n v="6.5789697300000005E-2"/>
    <n v="6.9081458049466804E-2"/>
    <s v="Guaranteed"/>
  </r>
  <r>
    <s v="Vaccine"/>
    <s v="Routine"/>
    <x v="8"/>
    <n v="2026"/>
    <s v="Kenya"/>
    <s v="v23.2"/>
    <s v="Gavi 6.0"/>
    <n v="2005611.5832"/>
    <n v="2131500"/>
    <n v="2.0056115831999999"/>
    <n v="2.1315"/>
    <s v="Guaranteed"/>
  </r>
  <r>
    <s v="Vaccine"/>
    <s v="Routine"/>
    <x v="8"/>
    <n v="2027"/>
    <s v="Kenya"/>
    <s v="v23.2"/>
    <s v="Gavi 6.0"/>
    <n v="1652104.8255"/>
    <n v="1761206.4536858101"/>
    <n v="1.6521048254999999"/>
    <n v="1.7612064536858101"/>
    <s v="Guaranteed"/>
  </r>
  <r>
    <s v="Vaccine"/>
    <s v="Routine"/>
    <x v="8"/>
    <n v="2028"/>
    <s v="Kenya"/>
    <s v="v23.2"/>
    <s v="Gavi 6.0"/>
    <n v="1434202.6787"/>
    <n v="1426685.33934205"/>
    <n v="1.4342026787"/>
    <n v="1.42668533934205"/>
    <s v="Guaranteed"/>
  </r>
  <r>
    <s v="Vaccine"/>
    <s v="Routine"/>
    <x v="8"/>
    <n v="2029"/>
    <s v="Kenya"/>
    <s v="v23.2"/>
    <s v="Gavi 6.0"/>
    <n v="1026301.1461"/>
    <n v="1020921.81827122"/>
    <n v="1.0263011461"/>
    <n v="1.0209218182712199"/>
    <s v="Guaranteed"/>
  </r>
  <r>
    <s v="Vaccine"/>
    <s v="Routine"/>
    <x v="8"/>
    <n v="2030"/>
    <s v="Kenya"/>
    <s v="v23.2"/>
    <s v="Gavi 6.0"/>
    <n v="886295.11430000002"/>
    <n v="881649.62415055698"/>
    <n v="0.88629511429999996"/>
    <n v="0.88164962415055703"/>
    <s v="Guaranteed"/>
  </r>
  <r>
    <s v="Vaccine"/>
    <s v="Routine"/>
    <x v="8"/>
    <n v="2026"/>
    <s v="Congo, the Democratic Republic of the"/>
    <s v="v23.2"/>
    <s v="Gavi 6.0"/>
    <n v="8439341.2783000004"/>
    <n v="8850813.5574031305"/>
    <n v="8.4393412783000006"/>
    <n v="8.8508135574031304"/>
    <s v="Guaranteed"/>
  </r>
  <r>
    <s v="Vaccine"/>
    <s v="Routine"/>
    <x v="8"/>
    <n v="2026"/>
    <s v="Lesotho"/>
    <s v="v23.2"/>
    <s v="Gavi 6.0"/>
    <n v="64927.591800000002"/>
    <n v="69000"/>
    <n v="6.4927591800000004E-2"/>
    <n v="6.9000000000000006E-2"/>
    <s v="Guaranteed"/>
  </r>
  <r>
    <s v="Vaccine"/>
    <s v="Routine"/>
    <x v="8"/>
    <n v="2027"/>
    <s v="Lesotho"/>
    <s v="v23.2"/>
    <s v="Gavi 6.0"/>
    <n v="61467.546799999996"/>
    <n v="65526.737966123503"/>
    <n v="6.1467546799999995E-2"/>
    <n v="6.5526737966123502E-2"/>
    <s v="Guaranteed"/>
  </r>
  <r>
    <s v="Vaccine"/>
    <s v="Routine"/>
    <x v="8"/>
    <n v="2028"/>
    <s v="Lesotho"/>
    <s v="v23.2"/>
    <s v="Gavi 6.0"/>
    <n v="63066.457000000002"/>
    <n v="62735.895621764997"/>
    <n v="6.3066457000000006E-2"/>
    <n v="6.2735895621765E-2"/>
    <s v="Guaranteed"/>
  </r>
  <r>
    <s v="Vaccine"/>
    <s v="Routine"/>
    <x v="8"/>
    <n v="2029"/>
    <s v="Lesotho"/>
    <s v="v23.2"/>
    <s v="Gavi 6.0"/>
    <n v="59814.354700000004"/>
    <n v="59500.839487136102"/>
    <n v="5.9814354700000003E-2"/>
    <n v="5.9500839487136102E-2"/>
    <s v="Guaranteed"/>
  </r>
  <r>
    <s v="Vaccine"/>
    <s v="Routine"/>
    <x v="8"/>
    <n v="2030"/>
    <s v="Lesotho"/>
    <s v="v23.2"/>
    <s v="Gavi 6.0"/>
    <n v="55925.453200000004"/>
    <n v="55632.321535148098"/>
    <n v="5.5925453200000003E-2"/>
    <n v="5.5632321535148098E-2"/>
    <s v="Guaranteed"/>
  </r>
  <r>
    <s v="Vaccine"/>
    <s v="Routine"/>
    <x v="8"/>
    <n v="2027"/>
    <s v="Congo, the Democratic Republic of the"/>
    <s v="v23.2"/>
    <s v="Gavi 6.0"/>
    <n v="8714190.2540000007"/>
    <n v="9165658.2119728103"/>
    <n v="8.714190254"/>
    <n v="9.1656582119728096"/>
    <s v="Guaranteed"/>
  </r>
  <r>
    <s v="Vaccine"/>
    <s v="Routine"/>
    <x v="8"/>
    <n v="2026"/>
    <s v="Mauritania"/>
    <s v="v23.2"/>
    <s v="Gavi 6.0"/>
    <n v="295158.11"/>
    <n v="313800"/>
    <n v="0.29515810999999997"/>
    <n v="0.31380000000000002"/>
    <s v="Guaranteed"/>
  </r>
  <r>
    <s v="Vaccine"/>
    <s v="Routine"/>
    <x v="8"/>
    <n v="2026"/>
    <s v="Zimbabwe"/>
    <s v="v23.2"/>
    <s v="Gavi 6.0"/>
    <n v="1208251.0273"/>
    <n v="1284000"/>
    <n v="1.2082510273"/>
    <n v="1.284"/>
    <s v="Guaranteed"/>
  </r>
  <r>
    <s v="Vaccine"/>
    <s v="Routine"/>
    <x v="8"/>
    <n v="2027"/>
    <s v="Zimbabwe"/>
    <s v="v23.2"/>
    <s v="Gavi 6.0"/>
    <n v="1193354.5560000001"/>
    <n v="1272161.2533871301"/>
    <n v="1.1933545560000001"/>
    <n v="1.27216125338713"/>
    <s v="Guaranteed"/>
  </r>
  <r>
    <s v="Vaccine"/>
    <s v="Routine"/>
    <x v="8"/>
    <n v="2028"/>
    <s v="Zimbabwe"/>
    <s v="v23.2"/>
    <s v="Gavi 6.0"/>
    <n v="1266134.4446"/>
    <n v="1259498.0309576199"/>
    <n v="1.2661344446"/>
    <n v="1.2594980309576198"/>
    <s v="Guaranteed"/>
  </r>
  <r>
    <s v="Vaccine"/>
    <s v="Routine"/>
    <x v="8"/>
    <n v="2029"/>
    <s v="Zimbabwe"/>
    <s v="v23.2"/>
    <s v="Gavi 6.0"/>
    <n v="1244166.6773000001"/>
    <n v="1237645.4136349501"/>
    <n v="1.2441666773000002"/>
    <n v="1.23764541363495"/>
    <s v="Guaranteed"/>
  </r>
  <r>
    <s v="Vaccine"/>
    <s v="Routine"/>
    <x v="8"/>
    <n v="2030"/>
    <s v="Zimbabwe"/>
    <s v="v23.2"/>
    <s v="Gavi 6.0"/>
    <n v="1210005.2335000001"/>
    <n v="1203663.0261833901"/>
    <n v="1.2100052335"/>
    <n v="1.2036630261833901"/>
    <s v="Guaranteed"/>
  </r>
  <r>
    <s v="Vaccine"/>
    <s v="Routine"/>
    <x v="8"/>
    <n v="2026"/>
    <s v="Uganda"/>
    <s v="v23.2"/>
    <s v="Gavi 6.0"/>
    <n v="2202384.2129000002"/>
    <n v="2310000"/>
    <n v="2.2023842129000002"/>
    <n v="2.31"/>
    <s v="Guaranteed"/>
  </r>
  <r>
    <s v="Vaccine"/>
    <s v="Routine"/>
    <x v="8"/>
    <n v="2027"/>
    <s v="Uganda"/>
    <s v="v23.2"/>
    <s v="Gavi 6.0"/>
    <n v="4699302.5380999995"/>
    <n v="4934430.2342747496"/>
    <n v="4.6993025380999995"/>
    <n v="4.9344302342747497"/>
    <s v="Guaranteed"/>
  </r>
  <r>
    <s v="Vaccine"/>
    <s v="Routine"/>
    <x v="8"/>
    <n v="2028"/>
    <s v="Uganda"/>
    <s v="v23.2"/>
    <s v="Gavi 6.0"/>
    <n v="5161145.5144999996"/>
    <n v="5134093.4927360304"/>
    <n v="5.1611455144999994"/>
    <n v="5.1340934927360307"/>
    <s v="Guaranteed"/>
  </r>
  <r>
    <s v="Vaccine"/>
    <s v="Routine"/>
    <x v="8"/>
    <n v="2028"/>
    <s v="Congo, the Democratic Republic of the"/>
    <s v="v23.2"/>
    <s v="Gavi 6.0"/>
    <n v="9770862.0002999995"/>
    <n v="9613056.6924712192"/>
    <n v="9.7708620002999993"/>
    <n v="9.6130566924712184"/>
    <s v="Guaranteed"/>
  </r>
  <r>
    <s v="Vaccine"/>
    <s v="Routine"/>
    <x v="8"/>
    <n v="2029"/>
    <s v="Uganda"/>
    <s v="v23.2"/>
    <s v="Gavi 6.0"/>
    <n v="5875253.0603"/>
    <n v="5844458.0910865599"/>
    <n v="5.8752530603000004"/>
    <n v="5.84445809108656"/>
    <s v="Guaranteed"/>
  </r>
  <r>
    <s v="Vaccine"/>
    <s v="Routine"/>
    <x v="8"/>
    <n v="2030"/>
    <s v="Uganda"/>
    <s v="v23.2"/>
    <s v="Gavi 6.0"/>
    <n v="5834863.602"/>
    <n v="5804280.3336708201"/>
    <n v="5.8348636019999995"/>
    <n v="5.8042803336708202"/>
    <s v="Guaranteed"/>
  </r>
  <r>
    <s v="Vaccine"/>
    <s v="Routine"/>
    <x v="8"/>
    <n v="2026"/>
    <s v="Madagascar"/>
    <s v="v23.2"/>
    <s v="Gavi 6.0"/>
    <n v="2293983.8084"/>
    <n v="2401473.8758825702"/>
    <n v="2.2939838084000002"/>
    <n v="2.4014738758825702"/>
    <s v="Guaranteed"/>
  </r>
  <r>
    <s v="Vaccine"/>
    <s v="Routine"/>
    <x v="8"/>
    <n v="2026"/>
    <s v="Côte d’Ivoire"/>
    <s v="v23.2"/>
    <s v="Gavi 6.0"/>
    <n v="1183551.1576"/>
    <n v="1257751.8504792"/>
    <n v="1.1835511576"/>
    <n v="1.2577518504792"/>
    <s v="Guaranteed"/>
  </r>
  <r>
    <s v="Vaccine"/>
    <s v="Routine"/>
    <x v="8"/>
    <n v="2026"/>
    <s v="Afghanistan"/>
    <s v="v23.2"/>
    <s v="Gavi 6.0"/>
    <n v="3592822.9087999999"/>
    <n v="3774482.9595610299"/>
    <n v="3.5928229087999997"/>
    <n v="3.7744829595610301"/>
    <s v="Guaranteed"/>
  </r>
  <r>
    <s v="Vaccine"/>
    <s v="Routine"/>
    <x v="8"/>
    <n v="2027"/>
    <s v="Afghanistan"/>
    <s v="v23.2"/>
    <s v="Gavi 6.0"/>
    <n v="4264661.7823999999"/>
    <n v="4491327.4913962903"/>
    <n v="4.2646617824000002"/>
    <n v="4.49132749139629"/>
    <s v="Guaranteed"/>
  </r>
  <r>
    <s v="Vaccine"/>
    <s v="Routine"/>
    <x v="8"/>
    <n v="2028"/>
    <s v="Afghanistan"/>
    <s v="v23.2"/>
    <s v="Gavi 6.0"/>
    <n v="1966351.0952999999"/>
    <n v="1937582.7405115799"/>
    <n v="1.9663510952999999"/>
    <n v="1.93758274051158"/>
    <s v="Guaranteed"/>
  </r>
  <r>
    <s v="Vaccine"/>
    <s v="Routine"/>
    <x v="8"/>
    <n v="2026"/>
    <s v="Liberia"/>
    <s v="v23.2"/>
    <s v="Gavi 6.0"/>
    <n v="404592.46730000002"/>
    <n v="423550.609661397"/>
    <n v="0.40459246730000004"/>
    <n v="0.42355060966139702"/>
    <s v="Guaranteed"/>
  </r>
  <r>
    <s v="Vaccine"/>
    <s v="Routine"/>
    <x v="8"/>
    <n v="2027"/>
    <s v="Liberia"/>
    <s v="v23.2"/>
    <s v="Gavi 6.0"/>
    <n v="168736.17540000001"/>
    <n v="176000"/>
    <n v="0.16873617539999999"/>
    <n v="0.17599999999999999"/>
    <s v="Guaranteed"/>
  </r>
  <r>
    <s v="Vaccine"/>
    <s v="Routine"/>
    <x v="8"/>
    <n v="2026"/>
    <s v="Mozambique"/>
    <s v="v23.2"/>
    <s v="Gavi 6.0"/>
    <n v="1623071.2423"/>
    <n v="1699124.1057511701"/>
    <n v="1.6230712423"/>
    <n v="1.6991241057511701"/>
    <s v="Guaranteed"/>
  </r>
  <r>
    <s v="Vaccine"/>
    <s v="Routine"/>
    <x v="8"/>
    <n v="2027"/>
    <s v="Côte d’Ivoire"/>
    <s v="v23.2"/>
    <s v="Gavi 6.0"/>
    <n v="902697.54539999994"/>
    <n v="962305.3169955"/>
    <n v="0.90269754539999991"/>
    <n v="0.96230531699550004"/>
    <s v="Guaranteed"/>
  </r>
  <r>
    <s v="Vaccine"/>
    <s v="Routine"/>
    <x v="8"/>
    <n v="2028"/>
    <s v="Côte d’Ivoire"/>
    <s v="v23.2"/>
    <s v="Gavi 6.0"/>
    <n v="435630.79119999998"/>
    <n v="433347.44275799999"/>
    <n v="0.43563079119999998"/>
    <n v="0.43334744275799997"/>
    <s v="Guaranteed"/>
  </r>
  <r>
    <s v="Vaccine"/>
    <s v="Routine"/>
    <x v="8"/>
    <n v="2026"/>
    <s v="Sierra Leone"/>
    <s v="v23.2"/>
    <s v="Gavi 6.0"/>
    <n v="643144.36939999997"/>
    <n v="673280.42858800804"/>
    <n v="0.64314436939999997"/>
    <n v="0.67328042858800807"/>
    <s v="Guaranteed"/>
  </r>
  <r>
    <s v="Vaccine"/>
    <s v="Routine"/>
    <x v="8"/>
    <n v="2026"/>
    <s v="United Republic of Tanzania"/>
    <s v="v23.2"/>
    <s v="Gavi 6.0"/>
    <n v="2392652.2921000002"/>
    <n v="2542655.4894885798"/>
    <n v="2.3926522921000002"/>
    <n v="2.5426554894885798"/>
    <s v="Guaranteed"/>
  </r>
  <r>
    <s v="Vaccine"/>
    <s v="Routine"/>
    <x v="8"/>
    <n v="2027"/>
    <s v="United Republic of Tanzania"/>
    <s v="v23.2"/>
    <s v="Gavi 6.0"/>
    <n v="5553835.5773"/>
    <n v="5920587.2633351004"/>
    <n v="5.5538355773000001"/>
    <n v="5.9205872633351007"/>
    <s v="Guaranteed"/>
  </r>
  <r>
    <s v="Vaccine"/>
    <s v="Routine"/>
    <x v="8"/>
    <n v="2026"/>
    <s v="Angola"/>
    <s v="v23.2"/>
    <s v="Gavi 6.0"/>
    <n v="321667.4951"/>
    <n v="341833.88237280003"/>
    <n v="0.32166749509999998"/>
    <n v="0.34183388237280005"/>
    <s v="Guaranteed"/>
  </r>
  <r>
    <s v="Vaccine"/>
    <s v="Routine"/>
    <x v="8"/>
    <n v="2027"/>
    <s v="Angola"/>
    <s v="v23.2"/>
    <s v="Gavi 6.0"/>
    <n v="611392.54040000006"/>
    <n v="651761.65438560001"/>
    <n v="0.61139254040000002"/>
    <n v="0.65176165438559996"/>
    <s v="Guaranteed"/>
  </r>
  <r>
    <s v="Vaccine"/>
    <s v="Routine"/>
    <x v="8"/>
    <n v="2028"/>
    <s v="Angola"/>
    <s v="v23.2"/>
    <s v="Gavi 6.0"/>
    <n v="282902.7095"/>
    <n v="281419.88166000001"/>
    <n v="0.28290270950000002"/>
    <n v="0.28141988166000004"/>
    <s v="Guaranteed"/>
  </r>
  <r>
    <s v="Vaccine"/>
    <s v="Routine"/>
    <x v="8"/>
    <n v="2026"/>
    <s v="Niger"/>
    <s v="v23.2"/>
    <s v="Gavi 6.0"/>
    <n v="2481186.6291"/>
    <n v="2597448.5300285998"/>
    <n v="2.4811866291000002"/>
    <n v="2.5974485300285997"/>
    <s v="Guaranteed"/>
  </r>
  <r>
    <s v="Vaccine"/>
    <s v="Routine"/>
    <x v="8"/>
    <n v="2027"/>
    <s v="Niger"/>
    <s v="v23.2"/>
    <s v="Gavi 6.0"/>
    <n v="569043.99639999995"/>
    <n v="596612.247296085"/>
    <n v="0.56904399639999992"/>
    <n v="0.59661224729608497"/>
    <s v="Guaranteed"/>
  </r>
  <r>
    <s v="Vaccine"/>
    <s v="Routine"/>
    <x v="8"/>
    <n v="2026"/>
    <s v="Guinea"/>
    <s v="v23.2"/>
    <s v="Gavi 6.0"/>
    <n v="797763.00730000006"/>
    <n v="847777.37939999998"/>
    <n v="0.79776300730000005"/>
    <n v="0.84777737939999998"/>
    <s v="Guaranteed"/>
  </r>
  <r>
    <s v="Vaccine"/>
    <s v="Routine"/>
    <x v="8"/>
    <n v="2027"/>
    <s v="Guinea"/>
    <s v="v23.2"/>
    <s v="Gavi 6.0"/>
    <n v="769602.34169999999"/>
    <n v="820417.77567288"/>
    <n v="0.76960234169999997"/>
    <n v="0.82041777567287999"/>
    <s v="Guaranteed"/>
  </r>
  <r>
    <s v="Vaccine"/>
    <s v="Routine"/>
    <x v="8"/>
    <n v="2028"/>
    <s v="Guinea"/>
    <s v="v23.2"/>
    <s v="Gavi 6.0"/>
    <n v="387495.26169999997"/>
    <n v="385464.21449568"/>
    <n v="0.38749526169999998"/>
    <n v="0.38546421449568002"/>
    <s v="Guaranteed"/>
  </r>
  <r>
    <s v="Vaccine"/>
    <s v="Routine"/>
    <x v="8"/>
    <n v="2026"/>
    <s v="Central African Republic"/>
    <s v="v23.2"/>
    <s v="Gavi 6.0"/>
    <n v="569769.73679999996"/>
    <n v="597600"/>
    <n v="0.56976973679999998"/>
    <n v="0.59760000000000002"/>
    <s v="Guaranteed"/>
  </r>
  <r>
    <s v="Vaccine"/>
    <s v="Routine"/>
    <x v="8"/>
    <n v="2026"/>
    <s v="Comoros"/>
    <s v="v23.2"/>
    <s v="Gavi 6.0"/>
    <n v="30770.858"/>
    <n v="32700"/>
    <n v="3.0770858000000002E-2"/>
    <n v="3.27E-2"/>
    <s v="Guaranteed"/>
  </r>
  <r>
    <s v="Vaccine"/>
    <s v="Routine"/>
    <x v="8"/>
    <n v="2027"/>
    <s v="Comoros"/>
    <s v="v23.2"/>
    <s v="Gavi 6.0"/>
    <n v="24346.787100000001"/>
    <n v="25954.599211453398"/>
    <n v="2.4346787100000003E-2"/>
    <n v="2.5954599211453398E-2"/>
    <s v="Guaranteed"/>
  </r>
  <r>
    <s v="Vaccine"/>
    <s v="Routine"/>
    <x v="8"/>
    <n v="2028"/>
    <s v="Comoros"/>
    <s v="v23.2"/>
    <s v="Gavi 6.0"/>
    <n v="9216.7122999999992"/>
    <n v="9168.4031582790994"/>
    <n v="9.216712299999999E-3"/>
    <n v="9.1684031582791002E-3"/>
    <s v="Guaranteed"/>
  </r>
  <r>
    <s v="Vaccine"/>
    <s v="Routine"/>
    <x v="8"/>
    <n v="2027"/>
    <s v="Central African Republic"/>
    <s v="v23.2"/>
    <s v="Gavi 6.0"/>
    <n v="577621.97979999997"/>
    <n v="607627.74973399902"/>
    <n v="0.57762197979999996"/>
    <n v="0.60762774973399902"/>
    <s v="Guaranteed"/>
  </r>
  <r>
    <s v="Vaccine"/>
    <s v="Routine"/>
    <x v="8"/>
    <n v="2028"/>
    <s v="Central African Republic"/>
    <s v="v23.2"/>
    <s v="Gavi 6.0"/>
    <n v="650150.15659999999"/>
    <n v="639649.83993014798"/>
    <n v="0.65015015659999997"/>
    <n v="0.63964983993014801"/>
    <s v="Guaranteed"/>
  </r>
  <r>
    <s v="Vaccine"/>
    <s v="Routine"/>
    <x v="8"/>
    <n v="2029"/>
    <s v="Central African Republic"/>
    <s v="v23.2"/>
    <s v="Gavi 6.0"/>
    <n v="666098.76020000002"/>
    <n v="655340.86719834595"/>
    <n v="0.66609876020000003"/>
    <n v="0.65534086719834594"/>
    <s v="Guaranteed"/>
  </r>
  <r>
    <s v="Vaccine"/>
    <s v="Routine"/>
    <x v="8"/>
    <n v="2030"/>
    <s v="Central African Republic"/>
    <s v="v23.2"/>
    <s v="Gavi 6.0"/>
    <n v="680725.27159999998"/>
    <n v="669731.15180469595"/>
    <n v="0.68072527159999996"/>
    <n v="0.669731151804696"/>
    <s v="Guaranteed"/>
  </r>
  <r>
    <s v="Vaccine"/>
    <s v="Routine"/>
    <x v="6"/>
    <n v="2026"/>
    <s v="Lesotho"/>
    <s v="v23.2"/>
    <s v="Gavi 6.0"/>
    <n v="118258.3561"/>
    <n v="58000"/>
    <n v="0.1182583561"/>
    <n v="5.8000000000000003E-2"/>
    <s v="Guaranteed"/>
  </r>
  <r>
    <s v="Vaccine"/>
    <s v="Routine"/>
    <x v="6"/>
    <n v="2027"/>
    <s v="Lesotho"/>
    <s v="v23.2"/>
    <s v="Gavi 6.0"/>
    <n v="77130.068400000004"/>
    <n v="56712.647298011303"/>
    <n v="7.7130068400000001E-2"/>
    <n v="5.6712647298011301E-2"/>
    <s v="Guaranteed"/>
  </r>
  <r>
    <s v="Vaccine"/>
    <s v="Routine"/>
    <x v="6"/>
    <n v="2028"/>
    <s v="Lesotho"/>
    <s v="v23.2"/>
    <s v="Gavi 6.0"/>
    <n v="81703.797099999996"/>
    <n v="56713.469954776599"/>
    <n v="8.1703797100000003E-2"/>
    <n v="5.6713469954776601E-2"/>
    <s v="Guaranteed"/>
  </r>
  <r>
    <s v="Vaccine"/>
    <s v="Routine"/>
    <x v="6"/>
    <n v="2029"/>
    <s v="Lesotho"/>
    <s v="v23.2"/>
    <s v="Gavi 6.0"/>
    <n v="90221.112399999998"/>
    <n v="57191.225968291001"/>
    <n v="9.0221112399999998E-2"/>
    <n v="5.7191225968291001E-2"/>
    <s v="Guaranteed"/>
  </r>
  <r>
    <s v="Vaccine"/>
    <s v="Routine"/>
    <x v="6"/>
    <n v="2030"/>
    <s v="Lesotho"/>
    <s v="v23.2"/>
    <s v="Gavi 6.0"/>
    <n v="72449.715800000005"/>
    <n v="46265.837713045097"/>
    <n v="7.2449715800000009E-2"/>
    <n v="4.6265837713045099E-2"/>
    <s v="Guaranteed"/>
  </r>
  <r>
    <s v="Vaccine"/>
    <s v="Routine"/>
    <x v="6"/>
    <n v="2027"/>
    <s v="Solomon Islands"/>
    <s v="v23.2"/>
    <s v="Gavi 6.0"/>
    <n v="127240.4126"/>
    <n v="46647.862844490497"/>
    <n v="0.12724041259999999"/>
    <n v="4.6647862844490497E-2"/>
    <s v="Guaranteed"/>
  </r>
  <r>
    <s v="Vaccine"/>
    <s v="Routine"/>
    <x v="6"/>
    <n v="2028"/>
    <s v="Solomon Islands"/>
    <s v="v23.2"/>
    <s v="Gavi 6.0"/>
    <n v="100893.05929999999"/>
    <n v="44835.235406116102"/>
    <n v="0.10089305929999999"/>
    <n v="4.48352354061161E-2"/>
    <s v="Guaranteed"/>
  </r>
  <r>
    <s v="Vaccine"/>
    <s v="Routine"/>
    <x v="6"/>
    <n v="2029"/>
    <s v="Solomon Islands"/>
    <s v="v23.2"/>
    <s v="Gavi 6.0"/>
    <n v="102867.92290000001"/>
    <n v="45712.832702936801"/>
    <n v="0.10286792290000001"/>
    <n v="4.5712832702936801E-2"/>
    <s v="Guaranteed"/>
  </r>
  <r>
    <s v="Vaccine"/>
    <s v="Routine"/>
    <x v="6"/>
    <n v="2030"/>
    <s v="Solomon Islands"/>
    <s v="v23.2"/>
    <s v="Gavi 6.0"/>
    <n v="90780.351500000004"/>
    <n v="40341.312443667201"/>
    <n v="9.0780351500000009E-2"/>
    <n v="4.0341312443667197E-2"/>
    <s v="Guaranteed"/>
  </r>
  <r>
    <s v="Vaccine"/>
    <s v="Routine"/>
    <x v="6"/>
    <n v="2026"/>
    <s v="Nigeria"/>
    <s v="v23.2"/>
    <s v="Gavi 6.0"/>
    <n v="26958303.275699999"/>
    <n v="13248000"/>
    <n v="26.958303275700001"/>
    <n v="13.247999999999999"/>
    <s v="Guaranteed"/>
  </r>
  <r>
    <s v="Vaccine"/>
    <s v="Routine"/>
    <x v="6"/>
    <n v="2027"/>
    <s v="Nigeria"/>
    <s v="v23.2"/>
    <s v="Gavi 6.0"/>
    <n v="18230417.034400001"/>
    <n v="13430432.940735901"/>
    <n v="18.230417034400002"/>
    <n v="13.430432940735901"/>
    <s v="Guaranteed"/>
  </r>
  <r>
    <s v="Vaccine"/>
    <s v="Routine"/>
    <x v="6"/>
    <n v="2028"/>
    <s v="Nigeria"/>
    <s v="v23.2"/>
    <s v="Gavi 6.0"/>
    <n v="19653311.7009"/>
    <n v="13666239.5723796"/>
    <n v="19.653311700899998"/>
    <n v="13.666239572379601"/>
    <s v="Guaranteed"/>
  </r>
  <r>
    <s v="Vaccine"/>
    <s v="Routine"/>
    <x v="6"/>
    <n v="2029"/>
    <s v="Nigeria"/>
    <s v="v23.2"/>
    <s v="Gavi 6.0"/>
    <n v="21941433.492199998"/>
    <n v="13931206.2868242"/>
    <n v="21.941433492199998"/>
    <n v="13.931206286824199"/>
    <s v="Guaranteed"/>
  </r>
  <r>
    <s v="Vaccine"/>
    <s v="Routine"/>
    <x v="6"/>
    <n v="2030"/>
    <s v="Nigeria"/>
    <s v="v23.2"/>
    <s v="Gavi 6.0"/>
    <n v="17715427.520199999"/>
    <n v="11331387.238768401"/>
    <n v="17.715427520199999"/>
    <n v="11.3313872387684"/>
    <s v="Guaranteed"/>
  </r>
  <r>
    <s v="Vaccine"/>
    <s v="Routine"/>
    <x v="6"/>
    <n v="2026"/>
    <s v="Afghanistan"/>
    <s v="v23.2"/>
    <s v="Gavi 6.0"/>
    <n v="7270731.7567999996"/>
    <n v="3575832.0150000001"/>
    <n v="7.2707317568000001"/>
    <n v="3.575832015"/>
    <s v="Guaranteed"/>
  </r>
  <r>
    <s v="Vaccine"/>
    <s v="Routine"/>
    <x v="6"/>
    <n v="2027"/>
    <s v="Afghanistan"/>
    <s v="v23.2"/>
    <s v="Gavi 6.0"/>
    <n v="4964458.6721000001"/>
    <n v="3661650.93"/>
    <n v="4.9644586721000001"/>
    <n v="3.66165093"/>
    <s v="Guaranteed"/>
  </r>
  <r>
    <s v="Vaccine"/>
    <s v="Routine"/>
    <x v="6"/>
    <n v="2028"/>
    <s v="Afghanistan"/>
    <s v="v23.2"/>
    <s v="Gavi 6.0"/>
    <n v="2292895.9411999998"/>
    <n v="1596127.9833333299"/>
    <n v="2.2928959411999998"/>
    <n v="1.5961279833333299"/>
    <s v="Guaranteed"/>
  </r>
  <r>
    <s v="Vaccine"/>
    <s v="Routine"/>
    <x v="6"/>
    <n v="2026"/>
    <s v="Republic of Syria"/>
    <s v="v23.2"/>
    <s v="Gavi 6.0"/>
    <n v="3105173.3283000002"/>
    <n v="1524000"/>
    <n v="3.1051733283000003"/>
    <n v="1.524"/>
    <s v="Guaranteed"/>
  </r>
  <r>
    <s v="Vaccine"/>
    <s v="Routine"/>
    <x v="6"/>
    <n v="2027"/>
    <s v="Republic of Syria"/>
    <s v="v23.2"/>
    <s v="Gavi 6.0"/>
    <n v="863998.54500000004"/>
    <n v="635285.89741343702"/>
    <n v="0.86399854500000006"/>
    <n v="0.635285897413437"/>
    <s v="Guaranteed"/>
  </r>
  <r>
    <s v="Vaccine"/>
    <s v="Routine"/>
    <x v="6"/>
    <n v="2026"/>
    <s v="Bhutan"/>
    <s v="v23.2"/>
    <s v="Gavi 6.0"/>
    <n v="74551.261599999998"/>
    <n v="23760"/>
    <n v="7.4551261600000002E-2"/>
    <n v="2.376E-2"/>
    <s v="Guaranteed"/>
  </r>
  <r>
    <s v="Vaccine"/>
    <s v="Routine"/>
    <x v="6"/>
    <n v="2027"/>
    <s v="Bhutan"/>
    <s v="v23.2"/>
    <s v="Gavi 6.0"/>
    <n v="26813.827600000001"/>
    <n v="9830.2710999999999"/>
    <n v="2.6813827599999999E-2"/>
    <n v="9.8302710999999994E-3"/>
    <s v="Guaranteed"/>
  </r>
  <r>
    <s v="Vaccine"/>
    <s v="Routine"/>
    <x v="6"/>
    <n v="2026"/>
    <s v="Ghana"/>
    <s v="v23.2"/>
    <s v="Gavi 6.0"/>
    <n v="4657759.9923999999"/>
    <n v="2286000"/>
    <n v="4.6577599923999999"/>
    <n v="2.286"/>
    <s v="Guaranteed"/>
  </r>
  <r>
    <s v="Vaccine"/>
    <s v="Routine"/>
    <x v="6"/>
    <n v="2027"/>
    <s v="Ghana"/>
    <s v="v23.2"/>
    <s v="Gavi 6.0"/>
    <n v="3829372.5386000001"/>
    <n v="2815683.4103578399"/>
    <n v="3.8293725385999999"/>
    <n v="2.8156834103578401"/>
    <s v="Guaranteed"/>
  </r>
  <r>
    <s v="Vaccine"/>
    <s v="Routine"/>
    <x v="6"/>
    <n v="2028"/>
    <s v="Ghana"/>
    <s v="v23.2"/>
    <s v="Gavi 6.0"/>
    <n v="4110996.4201000002"/>
    <n v="2853586.7401293302"/>
    <n v="4.1109964201000002"/>
    <n v="2.8535867401293302"/>
    <s v="Guaranteed"/>
  </r>
  <r>
    <s v="Vaccine"/>
    <s v="Routine"/>
    <x v="6"/>
    <n v="2029"/>
    <s v="Ghana"/>
    <s v="v23.2"/>
    <s v="Gavi 6.0"/>
    <n v="4547379.92"/>
    <n v="2882587.2986600902"/>
    <n v="4.54737992"/>
    <n v="2.88258729866009"/>
    <s v="Guaranteed"/>
  </r>
  <r>
    <s v="Vaccine"/>
    <s v="Routine"/>
    <x v="6"/>
    <n v="2030"/>
    <s v="Ghana"/>
    <s v="v23.2"/>
    <s v="Gavi 6.0"/>
    <n v="3661919.9937"/>
    <n v="2338474.2682064399"/>
    <n v="3.6619199937000002"/>
    <n v="2.3384742682064399"/>
    <s v="Guaranteed"/>
  </r>
  <r>
    <s v="Vaccine"/>
    <s v="Routine"/>
    <x v="6"/>
    <n v="2026"/>
    <s v="Kiribati"/>
    <s v="v23.2"/>
    <s v="Gavi 6.0"/>
    <n v="19199.585500000001"/>
    <n v="6120"/>
    <n v="1.9199585500000001E-2"/>
    <n v="6.1199999999999996E-3"/>
    <s v="Guaranteed"/>
  </r>
  <r>
    <s v="Vaccine"/>
    <s v="Routine"/>
    <x v="6"/>
    <n v="2026"/>
    <s v="Nepal"/>
    <s v="v23.2"/>
    <s v="Gavi 6.0"/>
    <n v="1417358.1562999999"/>
    <n v="278280"/>
    <n v="1.4173581562999999"/>
    <n v="0.27828000000000003"/>
    <s v="Guaranteed"/>
  </r>
  <r>
    <s v="Vaccine"/>
    <s v="Routine"/>
    <x v="6"/>
    <n v="2027"/>
    <s v="Nepal"/>
    <s v="v23.2"/>
    <s v="Gavi 6.0"/>
    <n v="790779.59660000005"/>
    <n v="275326.20434996998"/>
    <n v="0.79077959660000008"/>
    <n v="0.27532620434996996"/>
    <s v="Guaranteed"/>
  </r>
  <r>
    <s v="Vaccine"/>
    <s v="Routine"/>
    <x v="6"/>
    <n v="2028"/>
    <s v="Nepal"/>
    <s v="v23.2"/>
    <s v="Gavi 6.0"/>
    <n v="653340.37"/>
    <n v="273255.83361882903"/>
    <n v="0.65334037"/>
    <n v="0.27325583361882905"/>
    <s v="Guaranteed"/>
  </r>
  <r>
    <s v="Vaccine"/>
    <s v="Routine"/>
    <x v="6"/>
    <n v="2029"/>
    <s v="Nepal"/>
    <s v="v23.2"/>
    <s v="Gavi 6.0"/>
    <n v="650434.07739999995"/>
    <n v="272040.29353063402"/>
    <n v="0.65043407739999992"/>
    <n v="0.27204029353063403"/>
    <s v="Guaranteed"/>
  </r>
  <r>
    <s v="Vaccine"/>
    <s v="Routine"/>
    <x v="6"/>
    <n v="2030"/>
    <s v="Nepal"/>
    <s v="v23.2"/>
    <s v="Gavi 6.0"/>
    <n v="558315.55079999997"/>
    <n v="233512.25219951"/>
    <n v="0.55831555079999995"/>
    <n v="0.23351225219951"/>
    <s v="Guaranteed"/>
  </r>
  <r>
    <s v="Vaccine"/>
    <s v="Routine"/>
    <x v="6"/>
    <n v="2026"/>
    <s v="Pakistan"/>
    <s v="v23.2"/>
    <s v="Gavi 6.0"/>
    <n v="32207650.996399999"/>
    <n v="15860000"/>
    <n v="32.207650996399998"/>
    <n v="15.86"/>
    <s v="Guaranteed"/>
  </r>
  <r>
    <s v="Vaccine"/>
    <s v="Routine"/>
    <x v="6"/>
    <n v="2027"/>
    <s v="Pakistan"/>
    <s v="v23.2"/>
    <s v="Gavi 6.0"/>
    <n v="21686213.3539"/>
    <n v="16025315.216082601"/>
    <n v="21.686213353900001"/>
    <n v="16.0253152160826"/>
    <s v="Guaranteed"/>
  </r>
  <r>
    <s v="Vaccine"/>
    <s v="Routine"/>
    <x v="6"/>
    <n v="2026"/>
    <s v="Senegal"/>
    <s v="v23.2"/>
    <s v="Gavi 6.0"/>
    <n v="2571344.3177999998"/>
    <n v="1262000"/>
    <n v="2.5713443177999999"/>
    <n v="1.262"/>
    <s v="Guaranteed"/>
  </r>
  <r>
    <s v="Vaccine"/>
    <s v="Routine"/>
    <x v="6"/>
    <n v="2028"/>
    <s v="Pakistan"/>
    <s v="v23.2"/>
    <s v="Gavi 6.0"/>
    <n v="17455906.079"/>
    <n v="12172423.7784821"/>
    <n v="17.455906078999998"/>
    <n v="12.1724237784821"/>
    <s v="Guaranteed"/>
  </r>
  <r>
    <s v="Vaccine"/>
    <s v="Routine"/>
    <x v="6"/>
    <n v="2026"/>
    <s v="Sao Tome and Principe"/>
    <s v="v23.2"/>
    <s v="Gavi 6.0"/>
    <n v="25476.371899999998"/>
    <n v="8119.4949999999999"/>
    <n v="2.5476371899999999E-2"/>
    <n v="8.1194949999999991E-3"/>
    <s v="Guaranteed"/>
  </r>
  <r>
    <s v="Vaccine"/>
    <s v="Routine"/>
    <x v="6"/>
    <n v="2027"/>
    <s v="Sao Tome and Principe"/>
    <s v="v23.2"/>
    <s v="Gavi 6.0"/>
    <n v="592.8913"/>
    <n v="217.36107200000001"/>
    <n v="5.9289130000000001E-4"/>
    <n v="2.1736107200000002E-4"/>
    <s v="Guaranteed"/>
  </r>
  <r>
    <s v="Vaccine"/>
    <s v="Routine"/>
    <x v="6"/>
    <n v="2026"/>
    <s v="Cameroon"/>
    <s v="v23.2"/>
    <s v="Gavi 6.0"/>
    <n v="2216685.7448"/>
    <n v="1087935.7504"/>
    <n v="2.2166857447999999"/>
    <n v="1.0879357504"/>
    <s v="Guaranteed"/>
  </r>
  <r>
    <s v="Vaccine"/>
    <s v="Routine"/>
    <x v="6"/>
    <n v="2027"/>
    <s v="Cameroon"/>
    <s v="v23.2"/>
    <s v="Gavi 6.0"/>
    <n v="2188451.8816999998"/>
    <n v="1609137.6839999999"/>
    <n v="2.1884518816999998"/>
    <n v="1.6091376839999998"/>
    <s v="Guaranteed"/>
  </r>
  <r>
    <s v="Vaccine"/>
    <s v="Routine"/>
    <x v="6"/>
    <n v="2026"/>
    <s v="SYRIA-TAR"/>
    <s v="v23.2"/>
    <s v="Gavi 6.0"/>
    <n v="32600.244900000002"/>
    <n v="16000"/>
    <n v="3.2600244899999999E-2"/>
    <n v="1.6E-2"/>
    <s v="Guaranteed"/>
  </r>
  <r>
    <s v="Vaccine"/>
    <s v="Routine"/>
    <x v="6"/>
    <n v="2027"/>
    <s v="SYRIA-TAR"/>
    <s v="v23.2"/>
    <s v="Gavi 6.0"/>
    <n v="8966.5244000000002"/>
    <n v="6592.958388"/>
    <n v="8.9665244000000002E-3"/>
    <n v="6.5929583879999996E-3"/>
    <s v="Guaranteed"/>
  </r>
  <r>
    <s v="Vaccine"/>
    <s v="Routine"/>
    <x v="6"/>
    <n v="2026"/>
    <s v="Kyrgyzstan"/>
    <s v="v23.2"/>
    <s v="Gavi 6.0"/>
    <n v="870894.28249999997"/>
    <n v="277560"/>
    <n v="0.87089428250000001"/>
    <n v="0.27755999999999997"/>
    <s v="Guaranteed"/>
  </r>
  <r>
    <s v="Vaccine"/>
    <s v="Routine"/>
    <x v="6"/>
    <n v="2027"/>
    <s v="Kyrgyzstan"/>
    <s v="v23.2"/>
    <s v="Gavi 6.0"/>
    <n v="379495.44329999998"/>
    <n v="139127.585632715"/>
    <n v="0.37949544329999996"/>
    <n v="0.13912758563271499"/>
    <s v="Guaranteed"/>
  </r>
  <r>
    <s v="Vaccine"/>
    <s v="Routine"/>
    <x v="6"/>
    <n v="2026"/>
    <s v="Vietnam"/>
    <s v="v23.2"/>
    <s v="Gavi 6.0"/>
    <n v="5639842.3706"/>
    <n v="2768000"/>
    <n v="5.6398423706000003"/>
    <n v="2.7679999999999998"/>
    <s v="Guaranteed"/>
  </r>
  <r>
    <s v="Vaccine"/>
    <s v="Routine"/>
    <x v="6"/>
    <n v="2027"/>
    <s v="Vietnam"/>
    <s v="v23.2"/>
    <s v="Gavi 6.0"/>
    <n v="1699151.8992999999"/>
    <n v="1249362.334512"/>
    <n v="1.6991518992999999"/>
    <n v="1.249362334512"/>
    <s v="Guaranteed"/>
  </r>
  <r>
    <s v="Vaccine"/>
    <s v="Routine"/>
    <x v="6"/>
    <n v="2027"/>
    <s v="Nicaragua"/>
    <s v="v23.2"/>
    <s v="Gavi 6.0"/>
    <n v="193427.3749"/>
    <n v="138463.53839999999"/>
    <n v="0.1934273749"/>
    <n v="0.1384635384"/>
    <s v="Guaranteed"/>
  </r>
  <r>
    <s v="Vaccine"/>
    <s v="Routine"/>
    <x v="6"/>
    <n v="2026"/>
    <s v="Papua New Guinea"/>
    <s v="v23.2"/>
    <s v="Gavi 6.0"/>
    <n v="854407.83940000006"/>
    <n v="497000"/>
    <n v="0.85440783940000009"/>
    <n v="0.497"/>
    <s v="Guaranteed"/>
  </r>
  <r>
    <s v="Vaccine"/>
    <s v="Routine"/>
    <x v="6"/>
    <n v="2027"/>
    <s v="Papua New Guinea"/>
    <s v="v23.2"/>
    <s v="Gavi 6.0"/>
    <n v="590441.86259999999"/>
    <n v="422663.387669241"/>
    <n v="0.59044186259999998"/>
    <n v="0.422663387669241"/>
    <s v="Guaranteed"/>
  </r>
  <r>
    <s v="Vaccine"/>
    <s v="Routine"/>
    <x v="6"/>
    <n v="2028"/>
    <s v="Papua New Guinea"/>
    <s v="v23.2"/>
    <s v="Gavi 6.0"/>
    <n v="608180.96909999999"/>
    <n v="430488.17763559998"/>
    <n v="0.60818096909999997"/>
    <n v="0.43048817763559999"/>
    <s v="Guaranteed"/>
  </r>
  <r>
    <s v="Vaccine"/>
    <s v="Routine"/>
    <x v="6"/>
    <n v="2026"/>
    <s v="Korea DPR"/>
    <s v="v23.2"/>
    <s v="Gavi 6.0"/>
    <n v="620949.9227"/>
    <n v="361200"/>
    <n v="0.62094992270000005"/>
    <n v="0.36120000000000002"/>
    <s v="Guaranteed"/>
  </r>
  <r>
    <s v="Vaccine"/>
    <s v="Routine"/>
    <x v="6"/>
    <n v="2029"/>
    <s v="Papua New Guinea"/>
    <s v="v23.2"/>
    <s v="Gavi 6.0"/>
    <n v="693053.04130000004"/>
    <n v="435858.69515850901"/>
    <n v="0.69305304130000001"/>
    <n v="0.435858695158509"/>
    <s v="Guaranteed"/>
  </r>
  <r>
    <s v="Vaccine"/>
    <s v="Routine"/>
    <x v="6"/>
    <n v="2030"/>
    <s v="Papua New Guinea"/>
    <s v="v23.2"/>
    <s v="Gavi 6.0"/>
    <n v="566539.88970000006"/>
    <n v="355981.24869436002"/>
    <n v="0.56653988970000002"/>
    <n v="0.35598124869436004"/>
    <s v="Guaranteed"/>
  </r>
  <r>
    <s v="Vaccine"/>
    <s v="Routine"/>
    <x v="6"/>
    <n v="2026"/>
    <s v="Mauritania"/>
    <s v="v23.2"/>
    <s v="Gavi 6.0"/>
    <n v="212630.70050000001"/>
    <n v="123200"/>
    <n v="0.21263070050000002"/>
    <n v="0.1232"/>
    <s v="Guaranteed"/>
  </r>
  <r>
    <s v="Vaccine"/>
    <s v="Routine"/>
    <x v="6"/>
    <n v="2027"/>
    <s v="Korea DPR"/>
    <s v="v23.2"/>
    <s v="Gavi 6.0"/>
    <n v="429619.28779999999"/>
    <n v="307539.75130330498"/>
    <n v="0.42961928779999997"/>
    <n v="0.30753975130330496"/>
    <s v="Guaranteed"/>
  </r>
  <r>
    <s v="Vaccine"/>
    <s v="Routine"/>
    <x v="6"/>
    <n v="2029"/>
    <s v="Korea DPR"/>
    <s v="v23.2"/>
    <s v="Gavi 6.0"/>
    <n v="975522.67290000001"/>
    <n v="613502.88358717202"/>
    <n v="0.97552267290000005"/>
    <n v="0.61350288358717198"/>
    <s v="Guaranteed"/>
  </r>
  <r>
    <s v="Vaccine"/>
    <s v="Routine"/>
    <x v="6"/>
    <n v="2029"/>
    <s v="Bangladesh"/>
    <s v="v23.2"/>
    <s v="Gavi 6.0"/>
    <n v="2606995.6817000001"/>
    <n v="1478445.3989504301"/>
    <n v="2.6069956817"/>
    <n v="1.47844539895043"/>
    <s v="Guaranteed"/>
  </r>
  <r>
    <s v="Vaccine"/>
    <s v="Routine"/>
    <x v="6"/>
    <n v="2030"/>
    <s v="Bangladesh"/>
    <s v="v23.2"/>
    <s v="Gavi 6.0"/>
    <n v="2075479.0736"/>
    <n v="1176083.89239979"/>
    <n v="2.0754790735999999"/>
    <n v="1.1760838923997901"/>
    <s v="Guaranteed"/>
  </r>
  <r>
    <s v="Vaccine"/>
    <s v="Routine"/>
    <x v="6"/>
    <n v="2030"/>
    <s v="Korea DPR"/>
    <s v="v23.2"/>
    <s v="Gavi 6.0"/>
    <n v="905072.22199999995"/>
    <n v="568695.59512985195"/>
    <n v="0.90507222199999993"/>
    <n v="0.56869559512985191"/>
    <s v="Guaranteed"/>
  </r>
  <r>
    <s v="Vaccine"/>
    <s v="Routine"/>
    <x v="6"/>
    <n v="2026"/>
    <s v="Cambodia"/>
    <s v="v23.2"/>
    <s v="Gavi 6.0"/>
    <n v="599231.97420000006"/>
    <n v="347200"/>
    <n v="0.59923197420000007"/>
    <n v="0.34720000000000001"/>
    <s v="Guaranteed"/>
  </r>
  <r>
    <s v="Vaccine"/>
    <s v="Routine"/>
    <x v="6"/>
    <n v="2027"/>
    <s v="Cambodia"/>
    <s v="v23.2"/>
    <s v="Gavi 6.0"/>
    <n v="484040.63939999999"/>
    <n v="346496.86852912698"/>
    <n v="0.48404063939999997"/>
    <n v="0.34649686852912698"/>
    <s v="Guaranteed"/>
  </r>
  <r>
    <s v="Vaccine"/>
    <s v="Routine"/>
    <x v="6"/>
    <n v="2026"/>
    <s v="Zimbabwe"/>
    <s v="v23.2"/>
    <s v="Gavi 6.0"/>
    <n v="1623725.3495"/>
    <n v="940800"/>
    <n v="1.6237253494999999"/>
    <n v="0.94079999999999997"/>
    <s v="Guaranteed"/>
  </r>
  <r>
    <s v="Vaccine"/>
    <s v="Routine"/>
    <x v="6"/>
    <n v="2027"/>
    <s v="Zimbabwe"/>
    <s v="v23.2"/>
    <s v="Gavi 6.0"/>
    <n v="1337966.6470999999"/>
    <n v="957773.409090159"/>
    <n v="1.3379666471"/>
    <n v="0.95777340909015896"/>
    <s v="Guaranteed"/>
  </r>
  <r>
    <s v="Vaccine"/>
    <s v="Routine"/>
    <x v="6"/>
    <n v="2028"/>
    <s v="Zimbabwe"/>
    <s v="v23.2"/>
    <s v="Gavi 6.0"/>
    <n v="1384490.67"/>
    <n v="979982.76130080305"/>
    <n v="1.3844906699999999"/>
    <n v="0.97998276130080308"/>
    <s v="Guaranteed"/>
  </r>
  <r>
    <s v="Vaccine"/>
    <s v="Routine"/>
    <x v="6"/>
    <n v="2026"/>
    <s v="Rwanda"/>
    <s v="v23.2"/>
    <s v="Gavi 6.0"/>
    <n v="1488414.9036999999"/>
    <n v="862400"/>
    <n v="1.4884149036999998"/>
    <n v="0.86240000000000006"/>
    <s v="Guaranteed"/>
  </r>
  <r>
    <s v="Vaccine"/>
    <s v="Routine"/>
    <x v="6"/>
    <n v="2027"/>
    <s v="Rwanda"/>
    <s v="v23.2"/>
    <s v="Gavi 6.0"/>
    <n v="1217379.0388"/>
    <n v="871451.67240250902"/>
    <n v="1.2173790388000001"/>
    <n v="0.87145167240250898"/>
    <s v="Guaranteed"/>
  </r>
  <r>
    <s v="Vaccine"/>
    <s v="Routine"/>
    <x v="6"/>
    <n v="2029"/>
    <s v="Zimbabwe"/>
    <s v="v23.2"/>
    <s v="Gavi 6.0"/>
    <n v="1592443.1154"/>
    <n v="1001482.0469193599"/>
    <n v="1.5924431154000001"/>
    <n v="1.0014820469193599"/>
    <s v="Guaranteed"/>
  </r>
  <r>
    <s v="Vaccine"/>
    <s v="Routine"/>
    <x v="6"/>
    <n v="2030"/>
    <s v="Zimbabwe"/>
    <s v="v23.2"/>
    <s v="Gavi 6.0"/>
    <n v="1312203.9164"/>
    <n v="824513.85536235699"/>
    <n v="1.3122039163999999"/>
    <n v="0.824513855362357"/>
    <s v="Guaranteed"/>
  </r>
  <r>
    <s v="Vaccine"/>
    <s v="Routine"/>
    <x v="6"/>
    <n v="2028"/>
    <s v="Rwanda"/>
    <s v="v23.2"/>
    <s v="Gavi 6.0"/>
    <n v="930757.63430000003"/>
    <n v="658817.32269738102"/>
    <n v="0.93075763430000003"/>
    <n v="0.65881732269738102"/>
    <s v="Guaranteed"/>
  </r>
  <r>
    <s v="Vaccine"/>
    <s v="Routine"/>
    <x v="6"/>
    <n v="2026"/>
    <s v="Eritrea"/>
    <s v="v23.2"/>
    <s v="Gavi 6.0"/>
    <n v="386601.27370000002"/>
    <n v="224000"/>
    <n v="0.38660127370000003"/>
    <n v="0.224"/>
    <s v="Guaranteed"/>
  </r>
  <r>
    <s v="Vaccine"/>
    <s v="Routine"/>
    <x v="6"/>
    <n v="2027"/>
    <s v="Eritrea"/>
    <s v="v23.2"/>
    <s v="Gavi 6.0"/>
    <n v="158998.9509"/>
    <n v="113818.20885387099"/>
    <n v="0.15899895089999999"/>
    <n v="0.11381820885387099"/>
    <s v="Guaranteed"/>
  </r>
  <r>
    <s v="Vaccine"/>
    <s v="Routine"/>
    <x v="6"/>
    <n v="2026"/>
    <s v="Somalia"/>
    <s v="v23.2"/>
    <s v="Gavi 6.0"/>
    <n v="1783425.9408"/>
    <n v="1037400"/>
    <n v="1.7834259407999999"/>
    <n v="1.0374000000000001"/>
    <s v="Guaranteed"/>
  </r>
  <r>
    <s v="Vaccine"/>
    <s v="Routine"/>
    <x v="6"/>
    <n v="2026"/>
    <s v="Liberia"/>
    <s v="v23.2"/>
    <s v="Gavi 6.0"/>
    <n v="307508.7144"/>
    <n v="178173.11199999999"/>
    <n v="0.30750871439999999"/>
    <n v="0.17817311199999999"/>
    <s v="Guaranteed"/>
  </r>
  <r>
    <s v="Vaccine"/>
    <s v="Routine"/>
    <x v="6"/>
    <n v="2027"/>
    <s v="Liberia"/>
    <s v="v23.2"/>
    <s v="Gavi 6.0"/>
    <n v="116040.42080000001"/>
    <n v="83066.666666666701"/>
    <n v="0.1160404208"/>
    <n v="8.3066666666666705E-2"/>
    <s v="Guaranteed"/>
  </r>
  <r>
    <s v="Vaccine"/>
    <s v="Routine"/>
    <x v="6"/>
    <n v="2026"/>
    <s v="Madagascar"/>
    <s v="v23.2"/>
    <s v="Gavi 6.0"/>
    <n v="3086905.8755000001"/>
    <n v="1788578.9912"/>
    <n v="3.0869058755000003"/>
    <n v="1.7885789912000001"/>
    <s v="Guaranteed"/>
  </r>
  <r>
    <s v="Vaccine"/>
    <s v="Routine"/>
    <x v="6"/>
    <n v="2026"/>
    <s v="Haiti"/>
    <s v="v23.2"/>
    <s v="Gavi 6.0"/>
    <n v="358598.90539999999"/>
    <n v="207775.19440000001"/>
    <n v="0.3585989054"/>
    <n v="0.2077751944"/>
    <s v="Guaranteed"/>
  </r>
  <r>
    <s v="Vaccine"/>
    <s v="Routine"/>
    <x v="6"/>
    <n v="2027"/>
    <s v="Haiti"/>
    <s v="v23.2"/>
    <s v="Gavi 6.0"/>
    <n v="308314.74729999999"/>
    <n v="220704.804"/>
    <n v="0.30831474729999997"/>
    <n v="0.220704804"/>
    <s v="Guaranteed"/>
  </r>
  <r>
    <s v="Vaccine"/>
    <s v="Routine"/>
    <x v="6"/>
    <n v="2026"/>
    <s v="Sierra Leone"/>
    <s v="v23.2"/>
    <s v="Gavi 6.0"/>
    <n v="1176683.4671"/>
    <n v="681780.20759999997"/>
    <n v="1.1766834670999999"/>
    <n v="0.68178020759999991"/>
    <s v="Guaranteed"/>
  </r>
  <r>
    <s v="Vaccine"/>
    <s v="Routine"/>
    <x v="6"/>
    <n v="2027"/>
    <s v="Somalia"/>
    <s v="v23.2"/>
    <s v="Gavi 6.0"/>
    <n v="934215.00320000004"/>
    <n v="672006.60896176705"/>
    <n v="0.93421500320000006"/>
    <n v="0.672006608961767"/>
    <s v="Guaranteed"/>
  </r>
  <r>
    <s v="Vaccine"/>
    <s v="Routine"/>
    <x v="6"/>
    <n v="2028"/>
    <s v="Uganda"/>
    <s v="v23.2"/>
    <s v="Gavi 6.0"/>
    <n v="5524035.1672"/>
    <n v="3910072.7465091199"/>
    <n v="5.5240351672000001"/>
    <n v="3.9100727465091198"/>
    <s v="Guaranteed"/>
  </r>
  <r>
    <s v="Vaccine"/>
    <s v="Routine"/>
    <x v="6"/>
    <n v="2029"/>
    <s v="Uganda"/>
    <s v="v23.2"/>
    <s v="Gavi 6.0"/>
    <n v="6280084.0813999996"/>
    <n v="3949523.4710323801"/>
    <n v="6.2800840813999992"/>
    <n v="3.9495234710323803"/>
    <s v="Guaranteed"/>
  </r>
  <r>
    <s v="Vaccine"/>
    <s v="Routine"/>
    <x v="6"/>
    <n v="2027"/>
    <s v="Timor-Leste"/>
    <s v="v23.2"/>
    <s v="Gavi 6.0"/>
    <n v="55479.430099999998"/>
    <n v="39714.534725783698"/>
    <n v="5.5479430099999998E-2"/>
    <n v="3.97145347257837E-2"/>
    <s v="Guaranteed"/>
  </r>
  <r>
    <s v="Vaccine"/>
    <s v="Routine"/>
    <x v="6"/>
    <n v="2028"/>
    <s v="South Sudan"/>
    <s v="v23.2"/>
    <s v="Gavi 6.0"/>
    <n v="1636135.6052000001"/>
    <n v="1163530.4425274101"/>
    <n v="1.6361356052"/>
    <n v="1.16353044252741"/>
    <s v="Guaranteed"/>
  </r>
  <r>
    <s v="Vaccine"/>
    <s v="Routine"/>
    <x v="6"/>
    <n v="2029"/>
    <s v="South Sudan"/>
    <s v="v23.2"/>
    <s v="Gavi 6.0"/>
    <n v="1894256.6292000001"/>
    <n v="1196248.0965592901"/>
    <n v="1.8942566292"/>
    <n v="1.1962480965592901"/>
    <s v="Guaranteed"/>
  </r>
  <r>
    <s v="Vaccine"/>
    <s v="Routine"/>
    <x v="6"/>
    <n v="2026"/>
    <s v="Uganda"/>
    <s v="v23.2"/>
    <s v="Gavi 6.0"/>
    <n v="3924002.9281000001"/>
    <n v="2273600"/>
    <n v="3.9240029281000002"/>
    <n v="2.2736000000000001"/>
    <s v="Guaranteed"/>
  </r>
  <r>
    <s v="Vaccine"/>
    <s v="Routine"/>
    <x v="6"/>
    <n v="2026"/>
    <s v="South Sudan"/>
    <s v="v23.2"/>
    <s v="Gavi 6.0"/>
    <n v="1795459.8540000001"/>
    <n v="1044400"/>
    <n v="1.795459854"/>
    <n v="1.0444"/>
    <s v="Guaranteed"/>
  </r>
  <r>
    <s v="Vaccine"/>
    <s v="Routine"/>
    <x v="6"/>
    <n v="2027"/>
    <s v="South Sudan"/>
    <s v="v23.2"/>
    <s v="Gavi 6.0"/>
    <n v="1572282.4818"/>
    <n v="1130986.1383589699"/>
    <n v="1.5722824817999999"/>
    <n v="1.1309861383589699"/>
    <s v="Guaranteed"/>
  </r>
  <r>
    <s v="Vaccine"/>
    <s v="Routine"/>
    <x v="6"/>
    <n v="2027"/>
    <s v="Uganda"/>
    <s v="v23.2"/>
    <s v="Gavi 6.0"/>
    <n v="5390817.7082000002"/>
    <n v="3858976.50419534"/>
    <n v="5.3908177082000002"/>
    <n v="3.8589765041953399"/>
    <s v="Guaranteed"/>
  </r>
  <r>
    <s v="Vaccine"/>
    <s v="Routine"/>
    <x v="6"/>
    <n v="2030"/>
    <s v="Uganda"/>
    <s v="v23.2"/>
    <s v="Gavi 6.0"/>
    <n v="5125421.5329"/>
    <n v="3220521.6093252399"/>
    <n v="5.1254215328999999"/>
    <n v="3.2205216093252398"/>
    <s v="Guaranteed"/>
  </r>
  <r>
    <s v="Vaccine"/>
    <s v="Routine"/>
    <x v="6"/>
    <n v="2030"/>
    <s v="South Sudan"/>
    <s v="v23.2"/>
    <s v="Gavi 6.0"/>
    <n v="1943053.8787"/>
    <n v="1225979.1485178401"/>
    <n v="1.9430538787"/>
    <n v="1.2259791485178402"/>
    <s v="Guaranteed"/>
  </r>
  <r>
    <s v="Vaccine"/>
    <s v="Routine"/>
    <x v="6"/>
    <n v="2026"/>
    <s v="Lao People’s Democratic Republic"/>
    <s v="v23.2"/>
    <s v="Gavi 6.0"/>
    <n v="477174.57510000002"/>
    <n v="276694.55625000002"/>
    <n v="0.4771745751"/>
    <n v="0.27669455625"/>
    <s v="Guaranteed"/>
  </r>
  <r>
    <s v="Vaccine"/>
    <s v="Routine"/>
    <x v="6"/>
    <n v="2027"/>
    <s v="Lao People’s Democratic Republic"/>
    <s v="v23.2"/>
    <s v="Gavi 6.0"/>
    <n v="380651.5368"/>
    <n v="272749.16003999999"/>
    <n v="0.38065153680000002"/>
    <n v="0.27274916003999999"/>
    <s v="Guaranteed"/>
  </r>
  <r>
    <s v="Vaccine"/>
    <s v="Routine"/>
    <x v="6"/>
    <n v="2028"/>
    <s v="Lao People’s Democratic Republic"/>
    <s v="v23.2"/>
    <s v="Gavi 6.0"/>
    <n v="211876.2751"/>
    <n v="150111.30676499999"/>
    <n v="0.21187627510000001"/>
    <n v="0.15011130676499998"/>
    <s v="Guaranteed"/>
  </r>
  <r>
    <s v="Vaccine"/>
    <s v="Routine"/>
    <x v="6"/>
    <n v="2026"/>
    <s v="Sudan"/>
    <s v="v23.2"/>
    <s v="Gavi 6.0"/>
    <n v="5671124.8975"/>
    <n v="3285897.03"/>
    <n v="5.6711248975000004"/>
    <n v="3.2858970299999997"/>
    <s v="Guaranteed"/>
  </r>
  <r>
    <s v="Vaccine"/>
    <s v="Routine"/>
    <x v="6"/>
    <n v="2027"/>
    <s v="Sudan"/>
    <s v="v23.2"/>
    <s v="Gavi 6.0"/>
    <n v="4648084.2441999996"/>
    <n v="3327296.3136"/>
    <n v="4.6480842441999997"/>
    <n v="3.3272963135999998"/>
    <s v="Guaranteed"/>
  </r>
  <r>
    <s v="Vaccine"/>
    <s v="Routine"/>
    <x v="6"/>
    <n v="2027"/>
    <s v="Togo"/>
    <s v="v23.2"/>
    <s v="Gavi 6.0"/>
    <n v="717161.71459999995"/>
    <n v="513374.84515914699"/>
    <n v="0.7171617146"/>
    <n v="0.513374845159147"/>
    <s v="Guaranteed"/>
  </r>
  <r>
    <s v="Vaccine"/>
    <s v="Routine"/>
    <x v="6"/>
    <n v="2028"/>
    <s v="Togo"/>
    <s v="v23.2"/>
    <s v="Gavi 6.0"/>
    <n v="367897.16570000001"/>
    <n v="260408.313404199"/>
    <n v="0.36789716570000003"/>
    <n v="0.26040831340419901"/>
    <s v="Guaranteed"/>
  </r>
  <r>
    <s v="Vaccine"/>
    <s v="Routine"/>
    <x v="6"/>
    <n v="2026"/>
    <s v="Burkina Faso"/>
    <s v="v23.2"/>
    <s v="Gavi 6.0"/>
    <n v="3119389.0271000001"/>
    <n v="1807400"/>
    <n v="3.1193890271"/>
    <n v="1.8073999999999999"/>
    <s v="Guaranteed"/>
  </r>
  <r>
    <s v="Vaccine"/>
    <s v="Routine"/>
    <x v="6"/>
    <n v="2027"/>
    <s v="Burkina Faso"/>
    <s v="v23.2"/>
    <s v="Gavi 6.0"/>
    <n v="2553043.9961999999"/>
    <n v="1827577.4341775"/>
    <n v="2.5530439962"/>
    <n v="1.8275774341775"/>
    <s v="Guaranteed"/>
  </r>
  <r>
    <s v="Vaccine"/>
    <s v="Routine"/>
    <x v="6"/>
    <n v="2026"/>
    <s v="Bolivia"/>
    <s v="v23.2"/>
    <s v="Gavi 6.0"/>
    <n v="756288.74170000001"/>
    <n v="438200"/>
    <n v="0.75628874170000004"/>
    <n v="0.43819999999999998"/>
    <s v="Guaranteed"/>
  </r>
  <r>
    <s v="Vaccine"/>
    <s v="Routine"/>
    <x v="6"/>
    <n v="2027"/>
    <s v="Bolivia"/>
    <s v="v23.2"/>
    <s v="Gavi 6.0"/>
    <n v="322876.50929999998"/>
    <n v="231128.73233999999"/>
    <n v="0.3228765093"/>
    <n v="0.23112873233999998"/>
    <s v="Guaranteed"/>
  </r>
  <r>
    <s v="Vaccine"/>
    <s v="Routine"/>
    <x v="6"/>
    <n v="2028"/>
    <s v="United Republic of Tanzania"/>
    <s v="v23.2"/>
    <s v="Gavi 6.0"/>
    <n v="6871194.3471999997"/>
    <n v="4863631.1934953602"/>
    <n v="6.8711943471999994"/>
    <n v="4.86363119349536"/>
    <s v="Guaranteed"/>
  </r>
  <r>
    <s v="Vaccine"/>
    <s v="Routine"/>
    <x v="6"/>
    <n v="2029"/>
    <s v="United Republic of Tanzania"/>
    <s v="v23.2"/>
    <s v="Gavi 6.0"/>
    <n v="7914278.1245999997"/>
    <n v="4977262.5340887802"/>
    <n v="7.9142781246"/>
    <n v="4.9772625340887799"/>
    <s v="Guaranteed"/>
  </r>
  <r>
    <s v="Vaccine"/>
    <s v="Routine"/>
    <x v="6"/>
    <n v="2030"/>
    <s v="United Republic of Tanzania"/>
    <s v="v23.2"/>
    <s v="Gavi 6.0"/>
    <n v="6522641.4079999998"/>
    <n v="4098454.6284417398"/>
    <n v="6.5226414080000001"/>
    <n v="4.0984546284417398"/>
    <s v="Guaranteed"/>
  </r>
  <r>
    <s v="Vaccine"/>
    <s v="Routine"/>
    <x v="6"/>
    <n v="2026"/>
    <s v="Chad"/>
    <s v="v23.2"/>
    <s v="Gavi 6.0"/>
    <n v="2263010.3986"/>
    <n v="1313200"/>
    <n v="2.2630103986000001"/>
    <n v="1.3131999999999999"/>
    <s v="Guaranteed"/>
  </r>
  <r>
    <s v="Vaccine"/>
    <s v="Routine"/>
    <x v="6"/>
    <n v="2026"/>
    <s v="Benin"/>
    <s v="v23.2"/>
    <s v="Gavi 6.0"/>
    <n v="669303.45510000002"/>
    <n v="387800"/>
    <n v="0.6693034551"/>
    <n v="0.38779999999999998"/>
    <s v="Guaranteed"/>
  </r>
  <r>
    <s v="Vaccine"/>
    <s v="Routine"/>
    <x v="6"/>
    <n v="2027"/>
    <s v="Benin"/>
    <s v="v23.2"/>
    <s v="Gavi 6.0"/>
    <n v="550021.05680000002"/>
    <n v="393728.45635052701"/>
    <n v="0.55002105680000002"/>
    <n v="0.393728456350527"/>
    <s v="Guaranteed"/>
  </r>
  <r>
    <s v="Vaccine"/>
    <s v="Routine"/>
    <x v="6"/>
    <n v="2028"/>
    <s v="Benin"/>
    <s v="v23.2"/>
    <s v="Gavi 6.0"/>
    <n v="281122.14130000002"/>
    <n v="198986.427471067"/>
    <n v="0.28112214130000002"/>
    <n v="0.19898642747106701"/>
    <s v="Guaranteed"/>
  </r>
  <r>
    <s v="Vaccine"/>
    <s v="Routine"/>
    <x v="6"/>
    <n v="2026"/>
    <s v="Burundi"/>
    <s v="v23.2"/>
    <s v="Gavi 6.0"/>
    <n v="874685.38170000003"/>
    <n v="506800"/>
    <n v="0.87468538169999999"/>
    <n v="0.50680000000000003"/>
    <s v="Guaranteed"/>
  </r>
  <r>
    <s v="Vaccine"/>
    <s v="Routine"/>
    <x v="6"/>
    <n v="2026"/>
    <s v="Malawi"/>
    <s v="v23.2"/>
    <s v="Gavi 6.0"/>
    <n v="2636137.4350000001"/>
    <n v="1527400"/>
    <n v="2.6361374350000002"/>
    <n v="1.5274000000000001"/>
    <s v="Guaranteed"/>
  </r>
  <r>
    <s v="Vaccine"/>
    <s v="Routine"/>
    <x v="6"/>
    <n v="2026"/>
    <s v="Central African Republic"/>
    <s v="v23.2"/>
    <s v="Gavi 6.0"/>
    <n v="427677.65909999999"/>
    <n v="247800"/>
    <n v="0.4276776591"/>
    <n v="0.24779999999999999"/>
    <s v="Guaranteed"/>
  </r>
  <r>
    <s v="Vaccine"/>
    <s v="Routine"/>
    <x v="6"/>
    <n v="2026"/>
    <s v="Djibouti"/>
    <s v="v23.2"/>
    <s v="Gavi 6.0"/>
    <n v="65238.964999999997"/>
    <n v="37800"/>
    <n v="6.5238964999999996E-2"/>
    <n v="3.78E-2"/>
    <s v="Guaranteed"/>
  </r>
  <r>
    <s v="Vaccine"/>
    <s v="Routine"/>
    <x v="6"/>
    <n v="2027"/>
    <s v="Malawi"/>
    <s v="v23.2"/>
    <s v="Gavi 6.0"/>
    <n v="2271992.8048999999"/>
    <n v="1626389.04275616"/>
    <n v="2.2719928049"/>
    <n v="1.62638904275616"/>
    <s v="Guaranteed"/>
  </r>
  <r>
    <s v="Vaccine"/>
    <s v="Routine"/>
    <x v="6"/>
    <n v="2028"/>
    <s v="Malawi"/>
    <s v="v23.2"/>
    <s v="Gavi 6.0"/>
    <n v="2343038.5693999999"/>
    <n v="1658470.8419069001"/>
    <n v="2.3430385694"/>
    <n v="1.6584708419069001"/>
    <s v="Guaranteed"/>
  </r>
  <r>
    <s v="Vaccine"/>
    <s v="Routine"/>
    <x v="6"/>
    <n v="2029"/>
    <s v="Malawi"/>
    <s v="v23.2"/>
    <s v="Gavi 6.0"/>
    <n v="2698356.3092999998"/>
    <n v="1696987.0846920901"/>
    <n v="2.6983563092999998"/>
    <n v="1.69698708469209"/>
    <s v="Guaranteed"/>
  </r>
  <r>
    <s v="Vaccine"/>
    <s v="Routine"/>
    <x v="6"/>
    <n v="2027"/>
    <s v="Central African Republic"/>
    <s v="v23.2"/>
    <s v="Gavi 6.0"/>
    <n v="350064.11139999999"/>
    <n v="250590.77381108201"/>
    <n v="0.35006411139999999"/>
    <n v="0.25059077381108202"/>
    <s v="Guaranteed"/>
  </r>
  <r>
    <s v="Vaccine"/>
    <s v="Routine"/>
    <x v="6"/>
    <n v="2028"/>
    <s v="Central African Republic"/>
    <s v="v23.2"/>
    <s v="Gavi 6.0"/>
    <n v="363853.9448"/>
    <n v="257546.40410287699"/>
    <n v="0.3638539448"/>
    <n v="0.25754640410287699"/>
    <s v="Guaranteed"/>
  </r>
  <r>
    <s v="Vaccine"/>
    <s v="Routine"/>
    <x v="6"/>
    <n v="2027"/>
    <s v="Djibouti"/>
    <s v="v23.2"/>
    <s v="Gavi 6.0"/>
    <n v="51888.662300000004"/>
    <n v="37144.110540090798"/>
    <n v="5.1888662300000006E-2"/>
    <n v="3.7144110540090799E-2"/>
    <s v="Guaranteed"/>
  </r>
  <r>
    <s v="Vaccine"/>
    <s v="Routine"/>
    <x v="6"/>
    <n v="2028"/>
    <s v="Djibouti"/>
    <s v="v23.2"/>
    <s v="Gavi 6.0"/>
    <n v="53021.964"/>
    <n v="37530.488183950001"/>
    <n v="5.3021963999999998E-2"/>
    <n v="3.7530488183950002E-2"/>
    <s v="Guaranteed"/>
  </r>
  <r>
    <s v="Vaccine"/>
    <s v="Routine"/>
    <x v="6"/>
    <n v="2029"/>
    <s v="Djibouti"/>
    <s v="v23.2"/>
    <s v="Gavi 6.0"/>
    <n v="60371.466699999997"/>
    <n v="37967.409624213498"/>
    <n v="6.0371466699999994E-2"/>
    <n v="3.7967409624213501E-2"/>
    <s v="Guaranteed"/>
  </r>
  <r>
    <s v="Vaccine"/>
    <s v="Routine"/>
    <x v="6"/>
    <n v="2030"/>
    <s v="Djibouti"/>
    <s v="v23.2"/>
    <s v="Gavi 6.0"/>
    <n v="49247.803999999996"/>
    <n v="30944.502020271499"/>
    <n v="4.9247803999999999E-2"/>
    <n v="3.0944502020271498E-2"/>
    <s v="Guaranteed"/>
  </r>
  <r>
    <s v="Vaccine"/>
    <s v="Routine"/>
    <x v="6"/>
    <n v="2030"/>
    <s v="Malawi"/>
    <s v="v23.2"/>
    <s v="Gavi 6.0"/>
    <n v="2735799.9139"/>
    <n v="1719020.12056758"/>
    <n v="2.7357999139000002"/>
    <n v="1.7190201205675799"/>
    <s v="Guaranteed"/>
  </r>
  <r>
    <s v="Vaccine"/>
    <s v="Routine"/>
    <x v="6"/>
    <n v="2030"/>
    <s v="Central African Republic"/>
    <s v="v23.2"/>
    <s v="Gavi 6.0"/>
    <n v="843581.81510000001"/>
    <n v="530058.54194680403"/>
    <n v="0.84358181509999997"/>
    <n v="0.53005854194680402"/>
    <s v="Guaranteed"/>
  </r>
  <r>
    <s v="Vaccine"/>
    <s v="Routine"/>
    <x v="6"/>
    <n v="2028"/>
    <s v="Sudan"/>
    <s v="v23.2"/>
    <s v="Gavi 6.0"/>
    <n v="4745149.2012999998"/>
    <n v="3358754.6076000002"/>
    <n v="4.7451492012999994"/>
    <n v="3.3587546076000003"/>
    <s v="Guaranteed"/>
  </r>
  <r>
    <s v="Vaccine"/>
    <s v="Routine"/>
    <x v="6"/>
    <n v="2028"/>
    <s v="Zambia"/>
    <s v="v23.2"/>
    <s v="Gavi 6.0"/>
    <n v="1940479.7797000001"/>
    <n v="1373528.0229311101"/>
    <n v="1.9404797797"/>
    <n v="1.3735280229311102"/>
    <s v="Guaranteed"/>
  </r>
  <r>
    <s v="Vaccine"/>
    <s v="Routine"/>
    <x v="6"/>
    <n v="2029"/>
    <s v="Zambia"/>
    <s v="v23.2"/>
    <s v="Gavi 6.0"/>
    <n v="2240651.7272000001"/>
    <n v="1409138.2332308299"/>
    <n v="2.2406517271999999"/>
    <n v="1.40913823323083"/>
    <s v="Guaranteed"/>
  </r>
  <r>
    <s v="Vaccine"/>
    <s v="Routine"/>
    <x v="6"/>
    <n v="2030"/>
    <s v="Zambia"/>
    <s v="v23.2"/>
    <s v="Gavi 6.0"/>
    <n v="1844097.5458"/>
    <n v="1158725.3766070399"/>
    <n v="1.8440975458"/>
    <n v="1.15872537660704"/>
    <s v="Guaranteed"/>
  </r>
  <r>
    <s v="Vaccine"/>
    <s v="Routine"/>
    <x v="6"/>
    <n v="2026"/>
    <s v="Congo"/>
    <s v="v23.2"/>
    <s v="Gavi 6.0"/>
    <n v="509830.42969999998"/>
    <n v="295400"/>
    <n v="0.50983042970000003"/>
    <n v="0.2954"/>
    <s v="Guaranteed"/>
  </r>
  <r>
    <s v="Vaccine"/>
    <s v="Routine"/>
    <x v="6"/>
    <n v="2027"/>
    <s v="Congo"/>
    <s v="v23.2"/>
    <s v="Gavi 6.0"/>
    <n v="435718.10629999998"/>
    <n v="311905.54493999999"/>
    <n v="0.43571810629999996"/>
    <n v="0.31190554494"/>
    <s v="Guaranteed"/>
  </r>
  <r>
    <s v="Vaccine"/>
    <s v="Routine"/>
    <x v="6"/>
    <n v="2026"/>
    <s v="Myanmar"/>
    <s v="v23.2"/>
    <s v="Gavi 6.0"/>
    <n v="2885012.0049999999"/>
    <n v="1671600"/>
    <n v="2.8850120050000001"/>
    <n v="1.6716"/>
    <s v="Guaranteed"/>
  </r>
  <r>
    <s v="Vaccine"/>
    <s v="Routine"/>
    <x v="6"/>
    <n v="2028"/>
    <s v="Congo"/>
    <s v="v23.2"/>
    <s v="Gavi 6.0"/>
    <n v="453318.51740000001"/>
    <n v="320872.03045199998"/>
    <n v="0.45331851740000001"/>
    <n v="0.32087203045199997"/>
    <s v="Guaranteed"/>
  </r>
  <r>
    <s v="Vaccine"/>
    <s v="Routine"/>
    <x v="6"/>
    <n v="2027"/>
    <s v="Myanmar"/>
    <s v="v23.2"/>
    <s v="Gavi 6.0"/>
    <n v="825424.39500000002"/>
    <n v="590873.87452181894"/>
    <n v="0.82542439499999998"/>
    <n v="0.59087387452181894"/>
    <s v="Guaranteed"/>
  </r>
  <r>
    <s v="Vaccine"/>
    <s v="Routine"/>
    <x v="6"/>
    <n v="2029"/>
    <s v="Myanmar"/>
    <s v="v23.2"/>
    <s v="Gavi 6.0"/>
    <n v="1934566.6262000001"/>
    <n v="1216642.3566215499"/>
    <n v="1.9345666262000001"/>
    <n v="1.2166423566215498"/>
    <s v="Guaranteed"/>
  </r>
  <r>
    <s v="Vaccine"/>
    <s v="Routine"/>
    <x v="6"/>
    <n v="2029"/>
    <s v="Congo"/>
    <s v="v23.2"/>
    <s v="Gavi 6.0"/>
    <n v="525384.77679999999"/>
    <n v="330412.69515599997"/>
    <n v="0.52538477679999995"/>
    <n v="0.33041269515599997"/>
    <s v="Guaranteed"/>
  </r>
  <r>
    <s v="Vaccine"/>
    <s v="Routine"/>
    <x v="6"/>
    <n v="2030"/>
    <s v="Congo"/>
    <s v="v23.2"/>
    <s v="Gavi 6.0"/>
    <n v="435784.31420000002"/>
    <n v="273821.926988105"/>
    <n v="0.43578431420000002"/>
    <n v="0.27382192698810498"/>
    <s v="Guaranteed"/>
  </r>
  <r>
    <s v="Vaccine"/>
    <s v="Routine"/>
    <x v="6"/>
    <n v="2026"/>
    <s v="Guinea-Bissau"/>
    <s v="v23.2"/>
    <s v="Gavi 6.0"/>
    <n v="101482.8343"/>
    <n v="58800"/>
    <n v="0.1014828343"/>
    <n v="5.8799999999999998E-2"/>
    <s v="Guaranteed"/>
  </r>
  <r>
    <s v="Vaccine"/>
    <s v="Routine"/>
    <x v="6"/>
    <n v="2027"/>
    <s v="Guinea-Bissau"/>
    <s v="v23.2"/>
    <s v="Gavi 6.0"/>
    <n v="82667.515899999999"/>
    <n v="59176.922477577202"/>
    <n v="8.2667515900000002E-2"/>
    <n v="5.91769224775772E-2"/>
    <s v="Guaranteed"/>
  </r>
  <r>
    <s v="Vaccine"/>
    <s v="Routine"/>
    <x v="6"/>
    <n v="2028"/>
    <s v="Guinea-Bissau"/>
    <s v="v23.2"/>
    <s v="Gavi 6.0"/>
    <n v="84999.044500000004"/>
    <n v="60164.7956886666"/>
    <n v="8.4999044500000009E-2"/>
    <n v="6.0164795688666603E-2"/>
    <s v="Guaranteed"/>
  </r>
  <r>
    <s v="Vaccine"/>
    <s v="Routine"/>
    <x v="6"/>
    <n v="2030"/>
    <s v="Myanmar"/>
    <s v="v23.2"/>
    <s v="Gavi 6.0"/>
    <n v="1467903.8193999999"/>
    <n v="922346.76512157405"/>
    <n v="1.4679038193999998"/>
    <n v="0.9223467651215741"/>
    <s v="Guaranteed"/>
  </r>
  <r>
    <s v="Vaccine"/>
    <s v="Routine"/>
    <x v="6"/>
    <n v="2029"/>
    <s v="Guinea-Bissau"/>
    <s v="v23.2"/>
    <s v="Gavi 6.0"/>
    <n v="48381.223899999997"/>
    <n v="30426.786780577098"/>
    <n v="4.8381223899999999E-2"/>
    <n v="3.0426786780577097E-2"/>
    <s v="Guaranteed"/>
  </r>
  <r>
    <s v="Vaccine"/>
    <s v="Routine"/>
    <x v="6"/>
    <n v="2026"/>
    <s v="Zambia"/>
    <s v="v23.2"/>
    <s v="Gavi 6.0"/>
    <n v="2815334.8366999999"/>
    <n v="1631228.4680000001"/>
    <n v="2.8153348367"/>
    <n v="1.6312284680000002"/>
    <s v="Guaranteed"/>
  </r>
  <r>
    <s v="Vaccine"/>
    <s v="Routine"/>
    <x v="6"/>
    <n v="2027"/>
    <s v="Zambia"/>
    <s v="v23.2"/>
    <s v="Gavi 6.0"/>
    <n v="2305483.5038000001"/>
    <n v="1650363.1088"/>
    <n v="2.3054835038000001"/>
    <n v="1.6503631088000001"/>
    <s v="Guaranteed"/>
  </r>
  <r>
    <s v="Vaccine"/>
    <s v="Routine"/>
    <x v="6"/>
    <n v="2026"/>
    <s v="United Republic of Tanzania"/>
    <s v="v23.2"/>
    <s v="Gavi 6.0"/>
    <n v="7997600.1254000003"/>
    <n v="4633876.1664000005"/>
    <n v="7.9976001254"/>
    <n v="4.6338761664000003"/>
    <s v="Guaranteed"/>
  </r>
  <r>
    <s v="Vaccine"/>
    <s v="Routine"/>
    <x v="6"/>
    <n v="2027"/>
    <s v="United Republic of Tanzania"/>
    <s v="v23.2"/>
    <s v="Gavi 6.0"/>
    <n v="6687119.1634"/>
    <n v="4786924.1975999996"/>
    <n v="6.6871191634000002"/>
    <n v="4.7869241975999994"/>
    <s v="Guaranteed"/>
  </r>
  <r>
    <s v="Vaccine"/>
    <s v="Routine"/>
    <x v="6"/>
    <n v="2026"/>
    <s v="Congo, the Democratic Republic of the"/>
    <s v="v23.2"/>
    <s v="Gavi 6.0"/>
    <n v="12936193.266100001"/>
    <n v="7524846.75"/>
    <n v="12.9361932661"/>
    <n v="7.52484675"/>
    <s v="Guaranteed"/>
  </r>
  <r>
    <s v="Vaccine"/>
    <s v="Routine"/>
    <x v="6"/>
    <n v="2027"/>
    <s v="Congo, the Democratic Republic of the"/>
    <s v="v23.2"/>
    <s v="Gavi 6.0"/>
    <n v="10863142.282099999"/>
    <n v="7814157.75"/>
    <n v="10.8631422821"/>
    <n v="7.8141577499999997"/>
    <s v="Guaranteed"/>
  </r>
  <r>
    <s v="Vaccine"/>
    <s v="Routine"/>
    <x v="6"/>
    <n v="2026"/>
    <s v="Comoros"/>
    <s v="v23.2"/>
    <s v="Gavi 6.0"/>
    <n v="84569.028600000005"/>
    <n v="49000"/>
    <n v="8.4569028599999999E-2"/>
    <n v="4.9000000000000002E-2"/>
    <s v="Guaranteed"/>
  </r>
  <r>
    <s v="Vaccine"/>
    <s v="Routine"/>
    <x v="6"/>
    <n v="2029"/>
    <s v="Haiti"/>
    <s v="v23.2"/>
    <s v="Gavi 6.0"/>
    <n v="730959.39569999999"/>
    <n v="459697.87223719503"/>
    <n v="0.73095939570000001"/>
    <n v="0.45969787223719505"/>
    <s v="Guaranteed"/>
  </r>
  <r>
    <s v="Vaccine"/>
    <s v="Routine"/>
    <x v="6"/>
    <n v="2027"/>
    <s v="Comoros"/>
    <s v="v23.2"/>
    <s v="Gavi 6.0"/>
    <n v="67663.832800000004"/>
    <n v="48436.648234644097"/>
    <n v="6.7663832800000004E-2"/>
    <n v="4.8436648234644095E-2"/>
    <s v="Guaranteed"/>
  </r>
  <r>
    <s v="Vaccine"/>
    <s v="Routine"/>
    <x v="6"/>
    <n v="2028"/>
    <s v="Comoros"/>
    <s v="v23.2"/>
    <s v="Gavi 6.0"/>
    <n v="34567.780599999998"/>
    <n v="24468.0804532068"/>
    <n v="3.45677806E-2"/>
    <n v="2.4468080453206798E-2"/>
    <s v="Guaranteed"/>
  </r>
  <r>
    <s v="Vaccine"/>
    <s v="Routine"/>
    <x v="6"/>
    <n v="2030"/>
    <s v="Haiti"/>
    <s v="v23.2"/>
    <s v="Gavi 6.0"/>
    <n v="278746.2501"/>
    <n v="175148.19342107"/>
    <n v="0.27874625009999998"/>
    <n v="0.17514819342106999"/>
    <s v="Guaranteed"/>
  </r>
  <r>
    <s v="Vaccine"/>
    <s v="Routine"/>
    <x v="6"/>
    <n v="2028"/>
    <s v="Congo, the Democratic Republic of the"/>
    <s v="v23.2"/>
    <s v="Gavi 6.0"/>
    <n v="11249925.503799999"/>
    <n v="8000333.6875"/>
    <n v="11.249925503799998"/>
    <n v="8.0003336874999995"/>
    <s v="Guaranteed"/>
  </r>
  <r>
    <s v="Vaccine"/>
    <s v="Routine"/>
    <x v="6"/>
    <n v="2026"/>
    <s v="Uzbekistan"/>
    <s v="v23.2"/>
    <s v="Gavi 6.0"/>
    <n v="2493578.2154000001"/>
    <n v="1444800"/>
    <n v="2.4935782153999999"/>
    <n v="1.4448000000000001"/>
    <s v="Guaranteed"/>
  </r>
  <r>
    <s v="Vaccine"/>
    <s v="Routine"/>
    <x v="6"/>
    <n v="2027"/>
    <s v="Uzbekistan"/>
    <s v="v23.2"/>
    <s v="Gavi 6.0"/>
    <n v="1286575.3382999999"/>
    <n v="920985.32541599998"/>
    <n v="1.2865753383"/>
    <n v="0.92098532541599998"/>
    <s v="Guaranteed"/>
  </r>
  <r>
    <s v="Vaccine"/>
    <s v="Routine"/>
    <x v="6"/>
    <n v="2026"/>
    <s v="Yemen"/>
    <s v="v23.2"/>
    <s v="Gavi 6.0"/>
    <n v="3754806.2261999999"/>
    <n v="2175566.0208000001"/>
    <n v="3.7548062261999999"/>
    <n v="2.1755660208000003"/>
    <s v="Guaranteed"/>
  </r>
  <r>
    <s v="Vaccine"/>
    <s v="Routine"/>
    <x v="6"/>
    <n v="2027"/>
    <s v="Yemen"/>
    <s v="v23.2"/>
    <s v="Gavi 6.0"/>
    <n v="711334.33290000004"/>
    <n v="509203.35759999999"/>
    <n v="0.71133433290000003"/>
    <n v="0.50920335760000002"/>
    <s v="Guaranteed"/>
  </r>
  <r>
    <s v="Vaccine"/>
    <s v="Routine"/>
    <x v="6"/>
    <n v="2026"/>
    <s v="Mozambique"/>
    <s v="v23.2"/>
    <s v="Gavi 6.0"/>
    <n v="4390609.0882000001"/>
    <n v="2543955.4980000001"/>
    <n v="4.3906090881999997"/>
    <n v="2.5439554980000003"/>
    <s v="Guaranteed"/>
  </r>
  <r>
    <s v="Vaccine"/>
    <s v="Routine"/>
    <x v="6"/>
    <n v="2026"/>
    <s v="Côte d’Ivoire"/>
    <s v="v23.2"/>
    <s v="Gavi 6.0"/>
    <n v="3627141.5066999998"/>
    <n v="2101596.0183999999"/>
    <n v="3.6271415066999997"/>
    <n v="2.1015960184"/>
    <s v="Guaranteed"/>
  </r>
  <r>
    <s v="Vaccine"/>
    <s v="Routine"/>
    <x v="6"/>
    <n v="2027"/>
    <s v="Côte d’Ivoire"/>
    <s v="v23.2"/>
    <s v="Gavi 6.0"/>
    <n v="2429898.4706999999"/>
    <n v="1739424.6316"/>
    <n v="2.4298984707"/>
    <n v="1.7394246315999999"/>
    <s v="Guaranteed"/>
  </r>
  <r>
    <s v="Vaccine"/>
    <s v="Routine"/>
    <x v="6"/>
    <n v="2028"/>
    <s v="Côte d’Ivoire"/>
    <s v="v23.2"/>
    <s v="Gavi 6.0"/>
    <n v="1648840.2505000001"/>
    <n v="1167097.0824"/>
    <n v="1.6488402505000002"/>
    <n v="1.1670970824"/>
    <s v="Guaranteed"/>
  </r>
  <r>
    <s v="Vaccine"/>
    <s v="Routine"/>
    <x v="6"/>
    <n v="2026"/>
    <s v="Togo"/>
    <s v="v23.2"/>
    <s v="Gavi 6.0"/>
    <n v="1124471.8544000001"/>
    <n v="651528.36399999994"/>
    <n v="1.1244718544000001"/>
    <n v="0.65152836399999992"/>
    <s v="Guaranteed"/>
  </r>
  <r>
    <s v="Vaccine"/>
    <s v="Routine"/>
    <x v="6"/>
    <n v="2026"/>
    <s v="Bangladesh"/>
    <s v="v23.2"/>
    <s v="Gavi 6.0"/>
    <n v="3336298.7483000001"/>
    <n v="1752374.83678"/>
    <n v="3.3362987483"/>
    <n v="1.7523748367800001"/>
    <s v="Guaranteed"/>
  </r>
  <r>
    <s v="Vaccine"/>
    <s v="Routine"/>
    <x v="6"/>
    <n v="2027"/>
    <s v="Bangladesh"/>
    <s v="v23.2"/>
    <s v="Gavi 6.0"/>
    <n v="2780709.5140999998"/>
    <n v="1765608.8353200001"/>
    <n v="2.7807095140999998"/>
    <n v="1.7656088353200001"/>
    <s v="Guaranteed"/>
  </r>
  <r>
    <s v="Vaccine"/>
    <s v="Routine"/>
    <x v="6"/>
    <n v="2028"/>
    <s v="Bangladesh"/>
    <s v="v23.2"/>
    <s v="Gavi 6.0"/>
    <n v="2770607.9657999999"/>
    <n v="1746893.8040400001"/>
    <n v="2.7706079658"/>
    <n v="1.7468938040400002"/>
    <s v="Guaranteed"/>
  </r>
  <r>
    <s v="Vaccine"/>
    <s v="Routine"/>
    <x v="6"/>
    <n v="2026"/>
    <s v="Ethiopia"/>
    <s v="v23.2"/>
    <s v="Gavi 6.0"/>
    <n v="6220880.7604999999"/>
    <n v="3604430.1587999999"/>
    <n v="6.2208807605000001"/>
    <n v="3.6044301588000001"/>
    <s v="Guaranteed"/>
  </r>
  <r>
    <s v="Vaccine"/>
    <s v="Routine"/>
    <x v="6"/>
    <n v="2027"/>
    <s v="Ethiopia"/>
    <s v="v23.2"/>
    <s v="Gavi 6.0"/>
    <n v="7783622.5164999999"/>
    <n v="5571847.9151999997"/>
    <n v="7.7836225164999995"/>
    <n v="5.5718479151999993"/>
    <s v="Guaranteed"/>
  </r>
  <r>
    <s v="Vaccine"/>
    <s v="Routine"/>
    <x v="6"/>
    <n v="2028"/>
    <s v="Ethiopia"/>
    <s v="v23.2"/>
    <s v="Gavi 6.0"/>
    <n v="4469901.0674000001"/>
    <n v="3163925.9733496602"/>
    <n v="4.4699010674000004"/>
    <n v="3.1639259733496603"/>
    <s v="Guaranteed"/>
  </r>
  <r>
    <s v="Vaccine"/>
    <s v="Routine"/>
    <x v="6"/>
    <n v="2026"/>
    <s v="Mali"/>
    <s v="v23.2"/>
    <s v="Gavi 6.0"/>
    <n v="2709588.4709999999"/>
    <n v="1569958.1424"/>
    <n v="2.709588471"/>
    <n v="1.5699581424"/>
    <s v="Guaranteed"/>
  </r>
  <r>
    <s v="Vaccine"/>
    <s v="Routine"/>
    <x v="6"/>
    <n v="2027"/>
    <s v="Mali"/>
    <s v="v23.2"/>
    <s v="Gavi 6.0"/>
    <n v="2361597.3366999999"/>
    <n v="1690531.7760000001"/>
    <n v="2.3615973367"/>
    <n v="1.690531776"/>
    <s v="Guaranteed"/>
  </r>
  <r>
    <s v="Vaccine"/>
    <s v="Routine"/>
    <x v="6"/>
    <n v="2026"/>
    <s v="Niger"/>
    <s v="v23.2"/>
    <s v="Gavi 6.0"/>
    <n v="3874836.7094000001"/>
    <n v="2245112.6831999999"/>
    <n v="3.8748367094000002"/>
    <n v="2.2451126831999999"/>
    <s v="Guaranteed"/>
  </r>
  <r>
    <s v="Vaccine"/>
    <s v="Routine"/>
    <x v="6"/>
    <n v="2027"/>
    <s v="Niger"/>
    <s v="v23.2"/>
    <s v="Gavi 6.0"/>
    <n v="203977.8186"/>
    <n v="146015.99460000001"/>
    <n v="0.2039778186"/>
    <n v="0.1460159946"/>
    <s v="Guaranteed"/>
  </r>
  <r>
    <s v="Vaccine"/>
    <s v="Routine"/>
    <x v="6"/>
    <n v="2026"/>
    <s v="Tajikistan"/>
    <s v="v23.2"/>
    <s v="Gavi 6.0"/>
    <n v="932590.23329999996"/>
    <n v="540350.55359999998"/>
    <n v="0.93259023330000002"/>
    <n v="0.54035055359999995"/>
    <s v="Guaranteed"/>
  </r>
  <r>
    <s v="Vaccine"/>
    <s v="Routine"/>
    <x v="6"/>
    <n v="2027"/>
    <s v="Tajikistan"/>
    <s v="v23.2"/>
    <s v="Gavi 6.0"/>
    <n v="759220.89800000004"/>
    <n v="543482.59680000006"/>
    <n v="0.75922089800000003"/>
    <n v="0.54348259680000011"/>
    <s v="Guaranteed"/>
  </r>
  <r>
    <s v="Vaccine"/>
    <s v="Routine"/>
    <x v="6"/>
    <n v="2026"/>
    <s v="Gambia"/>
    <s v="v23.2"/>
    <s v="Gavi 6.0"/>
    <n v="321362.3088"/>
    <n v="186200"/>
    <n v="0.3213623088"/>
    <n v="0.1862"/>
    <s v="Guaranteed"/>
  </r>
  <r>
    <s v="Vaccine"/>
    <s v="Routine"/>
    <x v="6"/>
    <n v="2027"/>
    <s v="Gambia"/>
    <s v="v23.2"/>
    <s v="Gavi 6.0"/>
    <n v="129757.3976"/>
    <n v="92885.861810824004"/>
    <n v="0.12975739759999999"/>
    <n v="9.2885861810824005E-2"/>
    <s v="Guaranteed"/>
  </r>
  <r>
    <s v="Vaccine"/>
    <s v="Routine"/>
    <x v="6"/>
    <n v="2029"/>
    <s v="Sudan"/>
    <s v="v23.2"/>
    <s v="Gavi 6.0"/>
    <n v="5474371.9133000001"/>
    <n v="3442813.8350125598"/>
    <n v="5.4743719132999997"/>
    <n v="3.4428138350125597"/>
    <s v="Guaranteed"/>
  </r>
  <r>
    <s v="Vaccine"/>
    <s v="Routine"/>
    <x v="6"/>
    <n v="2030"/>
    <s v="Sudan"/>
    <s v="v23.2"/>
    <s v="Gavi 6.0"/>
    <n v="5517018.9446999999"/>
    <n v="3466579.01529975"/>
    <n v="5.5170189447000002"/>
    <n v="3.4665790152997502"/>
    <s v="Guaranteed"/>
  </r>
  <r>
    <s v="Vaccine"/>
    <s v="Routine"/>
    <x v="6"/>
    <n v="2027"/>
    <s v="Guinea"/>
    <s v="v23.2"/>
    <s v="Gavi 6.0"/>
    <n v="654000.54449999996"/>
    <n v="468161.39439999999"/>
    <n v="0.6540005445"/>
    <n v="0.46816139439999999"/>
    <s v="Guaranteed"/>
  </r>
  <r>
    <s v="Vaccine"/>
    <s v="Routine"/>
    <x v="6"/>
    <n v="2026"/>
    <s v="Guinea"/>
    <s v="v23.2"/>
    <s v="Gavi 6.0"/>
    <n v="1208620.8683"/>
    <n v="700285.00399999996"/>
    <n v="1.2086208682999999"/>
    <n v="0.70028500399999993"/>
    <s v="Guaranteed"/>
  </r>
  <r>
    <s v="Vaccine"/>
    <s v="Routine"/>
    <x v="6"/>
    <n v="2026"/>
    <s v="Angola"/>
    <s v="v23.2"/>
    <s v="Gavi 6.0"/>
    <n v="4462494.4289999995"/>
    <n v="2585606.4635999999"/>
    <n v="4.4624944289999995"/>
    <n v="2.5856064636"/>
    <s v="Guaranteed"/>
  </r>
  <r>
    <s v="Vaccine"/>
    <s v="Routine"/>
    <x v="6"/>
    <n v="2027"/>
    <s v="Angola"/>
    <s v="v23.2"/>
    <s v="Gavi 6.0"/>
    <n v="2682615.1623"/>
    <n v="1920329.9835999999"/>
    <n v="2.6826151622999999"/>
    <n v="1.9203299835999998"/>
    <s v="Guaranteed"/>
  </r>
  <r>
    <s v="Vaccine"/>
    <s v="Routine"/>
    <x v="6"/>
    <n v="2028"/>
    <s v="Angola"/>
    <s v="v23.2"/>
    <s v="Gavi 6.0"/>
    <n v="1163662.8034000001"/>
    <n v="823674.375"/>
    <n v="1.1636628034000001"/>
    <n v="0.82367437499999996"/>
    <s v="Guaranteed"/>
  </r>
  <r>
    <s v="Vaccine"/>
    <s v="Routine"/>
    <x v="6"/>
    <n v="2028"/>
    <s v="Tajikistan"/>
    <s v="v23.2"/>
    <s v="Gavi 6.0"/>
    <n v="787545.43169999996"/>
    <n v="557447.56066564401"/>
    <n v="0.78754543169999991"/>
    <n v="0.55744756066564405"/>
    <s v="Guaranteed"/>
  </r>
  <r>
    <s v="Vaccine"/>
    <s v="Routine"/>
    <x v="6"/>
    <n v="2029"/>
    <s v="Tajikistan"/>
    <s v="v23.2"/>
    <s v="Gavi 6.0"/>
    <n v="892206.19739999995"/>
    <n v="561105.43613200297"/>
    <n v="0.89220619739999996"/>
    <n v="0.56110543613200292"/>
    <s v="Guaranteed"/>
  </r>
  <r>
    <s v="Vaccine"/>
    <s v="Routine"/>
    <x v="6"/>
    <n v="2030"/>
    <s v="Tajikistan"/>
    <s v="v23.2"/>
    <s v="Gavi 6.0"/>
    <n v="728935.95290000003"/>
    <n v="458021.64230963099"/>
    <n v="0.72893595290000002"/>
    <n v="0.45802164230963099"/>
    <s v="Guaranteed"/>
  </r>
  <r>
    <s v="Vaccine"/>
    <s v="Routine"/>
    <x v="6"/>
    <n v="2026"/>
    <s v="Sri Lanka"/>
    <s v="v23.2"/>
    <s v="Gavi 6.0"/>
    <n v="269207.61080000002"/>
    <n v="141400"/>
    <n v="0.2692076108"/>
    <n v="0.1414"/>
    <s v="Guaranteed"/>
  </r>
  <r>
    <s v="Vaccine"/>
    <s v="Routine"/>
    <x v="6"/>
    <n v="2027"/>
    <s v="Sri Lanka"/>
    <s v="v23.2"/>
    <s v="Gavi 6.0"/>
    <n v="115403.5055"/>
    <n v="73275.345000000001"/>
    <n v="0.1154035055"/>
    <n v="7.3275345000000006E-2"/>
    <s v="Guaranteed"/>
  </r>
  <r>
    <s v="Vaccine"/>
    <s v="Routine"/>
    <x v="6"/>
    <n v="2026"/>
    <s v="Kenya"/>
    <s v="v23.2"/>
    <s v="Gavi 6.0"/>
    <n v="5574307.1151999999"/>
    <n v="3229800"/>
    <n v="5.5743071151999999"/>
    <n v="3.2298"/>
    <s v="Guaranteed"/>
  </r>
  <r>
    <s v="Vaccine"/>
    <s v="Routine"/>
    <x v="6"/>
    <n v="2026"/>
    <s v="Nicaragua"/>
    <s v="v23.2"/>
    <s v="Gavi 6.0"/>
    <n v="454256.49660000001"/>
    <n v="263200"/>
    <n v="0.4542564966"/>
    <n v="0.26319999999999999"/>
    <s v="Guaranteed"/>
  </r>
  <r>
    <s v="Vaccine"/>
    <s v="Routine"/>
    <x v="6"/>
    <n v="2027"/>
    <s v="Kenya"/>
    <s v="v23.2"/>
    <s v="Gavi 6.0"/>
    <n v="4417089.5730999997"/>
    <n v="3161940.5073733898"/>
    <n v="4.4170895730999993"/>
    <n v="3.1619405073733899"/>
    <s v="Guaranteed"/>
  </r>
  <r>
    <s v="Vaccine"/>
    <s v="Routine"/>
    <x v="6"/>
    <n v="2028"/>
    <s v="Kenya"/>
    <s v="v23.2"/>
    <s v="Gavi 6.0"/>
    <n v="4549869.2703"/>
    <n v="3220529.7930807001"/>
    <n v="4.5498692703000003"/>
    <n v="3.2205297930807002"/>
    <s v="Guaranteed"/>
  </r>
  <r>
    <s v="Vaccine"/>
    <s v="Routine"/>
    <x v="6"/>
    <n v="2029"/>
    <s v="Kenya"/>
    <s v="v23.2"/>
    <s v="Gavi 6.0"/>
    <n v="5210192.9757000003"/>
    <n v="3276672.60175606"/>
    <n v="5.2101929757000001"/>
    <n v="3.2766726017560601"/>
    <s v="Guaranteed"/>
  </r>
  <r>
    <s v="Vaccine"/>
    <s v="Routine"/>
    <x v="6"/>
    <n v="2030"/>
    <s v="Kenya"/>
    <s v="v23.2"/>
    <s v="Gavi 6.0"/>
    <n v="4269557.5404000003"/>
    <n v="2682745.64985445"/>
    <n v="4.2695575404000001"/>
    <n v="2.68274564985445"/>
    <s v="Guaranteed"/>
  </r>
  <r>
    <s v="Vaccine"/>
    <s v="Routine"/>
    <x v="0"/>
    <n v="2027"/>
    <s v="United Republic of Tanzania"/>
    <s v="v23.2"/>
    <s v="Gavi 6.0"/>
    <n v="25349.061300000001"/>
    <n v="5483.4210526316001"/>
    <n v="2.53490613E-2"/>
    <n v="5.4834210526316001E-3"/>
    <s v="Guaranteed"/>
  </r>
  <r>
    <s v="Vaccine"/>
    <s v="Routine"/>
    <x v="0"/>
    <n v="2028"/>
    <s v="United Republic of Tanzania"/>
    <s v="v23.2"/>
    <s v="Gavi 6.0"/>
    <n v="16814.510399999999"/>
    <n v="5595.5263157894997"/>
    <n v="1.68145104E-2"/>
    <n v="5.5955263157894996E-3"/>
    <s v="Guaranteed"/>
  </r>
  <r>
    <s v="Vaccine"/>
    <s v="Routine"/>
    <x v="0"/>
    <n v="2027"/>
    <s v="Uganda"/>
    <s v="v23.2"/>
    <s v="Gavi 6.0"/>
    <n v="162366.67540000001"/>
    <n v="35118.489583333299"/>
    <n v="0.16236667540000002"/>
    <n v="3.5118489583333301E-2"/>
    <s v="Guaranteed"/>
  </r>
  <r>
    <s v="Vaccine"/>
    <s v="Routine"/>
    <x v="0"/>
    <n v="2027"/>
    <s v="Bangladesh"/>
    <s v="v23.2"/>
    <s v="Gavi 6.0"/>
    <n v="123368.40519999999"/>
    <n v="23276.388888888901"/>
    <n v="0.12336840519999999"/>
    <n v="2.3276388888888902E-2"/>
    <s v="Guaranteed"/>
  </r>
  <r>
    <s v="Vaccine"/>
    <s v="Routine"/>
    <x v="0"/>
    <n v="2026"/>
    <s v="Myanmar"/>
    <s v="v23.2"/>
    <s v="Gavi 6.0"/>
    <n v="651788.52139999997"/>
    <n v="140992.63289473701"/>
    <n v="0.65178852139999999"/>
    <n v="0.14099263289473701"/>
    <s v="Guaranteed"/>
  </r>
  <r>
    <s v="Vaccine"/>
    <s v="Routine"/>
    <x v="0"/>
    <n v="2027"/>
    <s v="Myanmar"/>
    <s v="v23.2"/>
    <s v="Gavi 6.0"/>
    <n v="519914.70260000002"/>
    <n v="112466.14568421"/>
    <n v="0.51991470260000006"/>
    <n v="0.11246614568421"/>
    <s v="Guaranteed"/>
  </r>
  <r>
    <s v="Vaccine"/>
    <s v="Routine"/>
    <x v="1"/>
    <n v="2026"/>
    <s v="Sudan"/>
    <s v="v23.2"/>
    <s v="Gavi 6.0"/>
    <n v="314298.82610000001"/>
    <n v="375000"/>
    <n v="0.31429882609999998"/>
    <n v="0.375"/>
    <s v="Discretionary"/>
  </r>
  <r>
    <s v="Vaccine"/>
    <s v="Routine"/>
    <x v="1"/>
    <n v="2027"/>
    <s v="Sudan"/>
    <s v="v23.2"/>
    <s v="Gavi 6.0"/>
    <n v="328548.82610000001"/>
    <n v="375000"/>
    <n v="0.32854882610000002"/>
    <n v="0.375"/>
    <s v="Discretionary"/>
  </r>
  <r>
    <s v="Vaccine"/>
    <s v="Routine"/>
    <x v="2"/>
    <n v="2028"/>
    <s v="Chad"/>
    <s v="v23.2"/>
    <s v="Gavi 6.0"/>
    <n v="301069.96139999997"/>
    <n v="85206.715210355993"/>
    <n v="0.30106996139999997"/>
    <n v="8.5206715210355999E-2"/>
    <s v="Discretionary"/>
  </r>
  <r>
    <s v="Vaccine"/>
    <s v="Routine"/>
    <x v="12"/>
    <n v="2027"/>
    <s v="Burundi"/>
    <s v="v23.2"/>
    <s v="Gavi 6.0"/>
    <n v="29937.363000000001"/>
    <n v="13929.7572603713"/>
    <n v="2.9937363000000002E-2"/>
    <n v="1.39297572603713E-2"/>
    <s v="Guaranteed"/>
  </r>
  <r>
    <s v="Vaccine"/>
    <s v="Routine"/>
    <x v="12"/>
    <n v="2028"/>
    <s v="Burundi"/>
    <s v="v23.2"/>
    <s v="Gavi 6.0"/>
    <n v="30149.6387"/>
    <n v="14164.140489748601"/>
    <n v="3.0149638699999998E-2"/>
    <n v="1.4164140489748601E-2"/>
    <s v="Guaranteed"/>
  </r>
  <r>
    <s v="Vaccine"/>
    <s v="Routine"/>
    <x v="12"/>
    <n v="2027"/>
    <s v="United Republic of Tanzania"/>
    <s v="v23.2"/>
    <s v="Gavi 6.0"/>
    <n v="35478.196100000001"/>
    <n v="16507.888800000001"/>
    <n v="3.5478196099999998E-2"/>
    <n v="1.6507888800000002E-2"/>
    <s v="Guaranteed"/>
  </r>
  <r>
    <s v="Vaccine"/>
    <s v="Routine"/>
    <x v="12"/>
    <n v="2028"/>
    <s v="United Republic of Tanzania"/>
    <s v="v23.2"/>
    <s v="Gavi 6.0"/>
    <n v="35358.1322"/>
    <n v="16611.063105000001"/>
    <n v="3.5358132200000003E-2"/>
    <n v="1.6611063105000001E-2"/>
    <s v="Guaranteed"/>
  </r>
  <r>
    <s v="Vaccine"/>
    <s v="Routine"/>
    <x v="12"/>
    <n v="2026"/>
    <s v="Sudan"/>
    <s v="v23.2"/>
    <s v="Gavi 6.0"/>
    <n v="754992"/>
    <n v="749000"/>
    <n v="0.754992"/>
    <n v="0.749"/>
    <s v="Guaranteed"/>
  </r>
  <r>
    <s v="Vaccine"/>
    <s v="Routine"/>
    <x v="12"/>
    <n v="2027"/>
    <s v="Sudan"/>
    <s v="v23.2"/>
    <s v="Gavi 6.0"/>
    <n v="992703.6"/>
    <n v="984825"/>
    <n v="0.99270360000000002"/>
    <n v="0.98482499999999995"/>
    <s v="Guaranteed"/>
  </r>
  <r>
    <s v="Vaccine"/>
    <s v="Routine"/>
    <x v="12"/>
    <n v="2028"/>
    <s v="Sudan"/>
    <s v="v23.2"/>
    <s v="Gavi 6.0"/>
    <n v="943646.76"/>
    <n v="982965.375"/>
    <n v="0.94364676000000003"/>
    <n v="0.98296537500000003"/>
    <s v="Guaranteed"/>
  </r>
  <r>
    <s v="Vaccine"/>
    <s v="Routine"/>
    <x v="12"/>
    <n v="2027"/>
    <s v="Uganda"/>
    <s v="v23.2"/>
    <s v="Gavi 6.0"/>
    <n v="95338.178700000004"/>
    <n v="94581.526500000007"/>
    <n v="9.5338178699999998E-2"/>
    <n v="9.4581526500000013E-2"/>
    <s v="Guaranteed"/>
  </r>
  <r>
    <s v="Vaccine"/>
    <s v="Routine"/>
    <x v="12"/>
    <n v="2028"/>
    <s v="Uganda"/>
    <s v="v23.2"/>
    <s v="Gavi 6.0"/>
    <n v="90420.232499999998"/>
    <n v="94187.742232499993"/>
    <n v="9.0420232500000003E-2"/>
    <n v="9.4187742232499996E-2"/>
    <s v="Guaranteed"/>
  </r>
  <r>
    <s v="Vaccine"/>
    <s v="Routine"/>
    <x v="12"/>
    <n v="2027"/>
    <s v="Chad"/>
    <s v="v23.2"/>
    <s v="Gavi 6.0"/>
    <n v="132253.59940000001"/>
    <n v="162274.35509999999"/>
    <n v="0.1322535994"/>
    <n v="0.16227435509999999"/>
    <s v="Guaranteed"/>
  </r>
  <r>
    <s v="Vaccine"/>
    <s v="Routine"/>
    <x v="12"/>
    <n v="2028"/>
    <s v="Chad"/>
    <s v="v23.2"/>
    <s v="Gavi 6.0"/>
    <n v="132034.75020000001"/>
    <n v="165043.437755625"/>
    <n v="0.13203475020000002"/>
    <n v="0.16504343775562499"/>
    <s v="Guaranteed"/>
  </r>
  <r>
    <s v="Vaccine"/>
    <s v="Routine"/>
    <x v="2"/>
    <n v="2026"/>
    <s v="Niger"/>
    <s v="v23.2"/>
    <s v="Gavi 6.0"/>
    <n v="4397654.5163000003"/>
    <n v="1416848.53858101"/>
    <n v="4.3976545163000003"/>
    <n v="1.4168485385810099"/>
    <s v="Discretionary"/>
  </r>
  <r>
    <s v="Vaccine"/>
    <s v="Routine"/>
    <x v="2"/>
    <n v="2027"/>
    <s v="Niger"/>
    <s v="v23.2"/>
    <s v="Gavi 6.0"/>
    <n v="3594659.7239000001"/>
    <n v="1158137.4474957599"/>
    <n v="3.5946597239"/>
    <n v="1.15813744749576"/>
    <s v="Discretionary"/>
  </r>
  <r>
    <s v="Vaccine"/>
    <s v="Routine"/>
    <x v="2"/>
    <n v="2028"/>
    <s v="Niger"/>
    <s v="v23.2"/>
    <s v="Gavi 6.0"/>
    <n v="4181657.0660000001"/>
    <n v="1180530.4660087"/>
    <n v="4.1816570660000005"/>
    <n v="1.1805304660086999"/>
    <s v="Discretionary"/>
  </r>
  <r>
    <s v="Vaccine"/>
    <s v="Routine"/>
    <x v="2"/>
    <n v="2029"/>
    <s v="Burkina Faso"/>
    <s v="v23.2"/>
    <s v="Gavi 6.0"/>
    <n v="3558033.1047999999"/>
    <n v="1006074.16372063"/>
    <n v="3.5580331047999998"/>
    <n v="1.0060741637206301"/>
    <s v="Discretionary"/>
  </r>
  <r>
    <s v="Vaccine"/>
    <s v="Routine"/>
    <x v="2"/>
    <n v="2030"/>
    <s v="Burkina Faso"/>
    <s v="v23.2"/>
    <s v="Gavi 6.0"/>
    <n v="3618626.9643000001"/>
    <n v="1024118.49989649"/>
    <n v="3.6186269643000002"/>
    <n v="1.0241184998964901"/>
    <s v="Discretionary"/>
  </r>
  <r>
    <s v="Vaccine"/>
    <s v="Routine"/>
    <x v="2"/>
    <n v="2028"/>
    <s v="Chad"/>
    <s v="v23.2"/>
    <s v="Gavi 6.0"/>
    <n v="1937271.5493999999"/>
    <n v="546061.39269911905"/>
    <n v="1.9372715493999999"/>
    <n v="0.54606139269911902"/>
    <s v="Discretionary"/>
  </r>
  <r>
    <s v="Vaccine"/>
    <s v="Routine"/>
    <x v="2"/>
    <n v="2029"/>
    <s v="Chad"/>
    <s v="v23.2"/>
    <s v="Gavi 6.0"/>
    <n v="1966577.1440999999"/>
    <n v="554321.80093370005"/>
    <n v="1.9665771441"/>
    <n v="0.55432180093370009"/>
    <s v="Discretionary"/>
  </r>
  <r>
    <s v="Vaccine"/>
    <s v="Routine"/>
    <x v="2"/>
    <n v="2030"/>
    <s v="Chad"/>
    <s v="v23.2"/>
    <s v="Gavi 6.0"/>
    <n v="1986074.6385999999"/>
    <n v="559817.58646293497"/>
    <n v="1.9860746385999999"/>
    <n v="0.559817586462935"/>
    <s v="Discretionary"/>
  </r>
  <r>
    <s v="Vaccine"/>
    <s v="Routine"/>
    <x v="2"/>
    <n v="2029"/>
    <s v="Mali"/>
    <s v="v23.2"/>
    <s v="Gavi 6.0"/>
    <n v="1998888.4091"/>
    <n v="564870.16099526"/>
    <n v="1.9988884091000001"/>
    <n v="0.56487016099526"/>
    <s v="Discretionary"/>
  </r>
  <r>
    <s v="Vaccine"/>
    <s v="Routine"/>
    <x v="2"/>
    <n v="2030"/>
    <s v="Mali"/>
    <s v="v23.2"/>
    <s v="Gavi 6.0"/>
    <n v="1986768.6938"/>
    <n v="561445.224671887"/>
    <n v="1.9867686938"/>
    <n v="0.56144522467188696"/>
    <s v="Discretionary"/>
  </r>
  <r>
    <s v="Vaccine"/>
    <s v="Routine"/>
    <x v="2"/>
    <n v="2029"/>
    <s v="Niger"/>
    <s v="v23.2"/>
    <s v="Gavi 6.0"/>
    <n v="4209949.4648000002"/>
    <n v="1188534.61609944"/>
    <n v="4.2099494648000002"/>
    <n v="1.1885346160994401"/>
    <s v="Discretionary"/>
  </r>
  <r>
    <s v="Vaccine"/>
    <s v="Routine"/>
    <x v="2"/>
    <n v="2030"/>
    <s v="Niger"/>
    <s v="v23.2"/>
    <s v="Gavi 6.0"/>
    <n v="4294556.9521000003"/>
    <n v="1212420.6337809099"/>
    <n v="4.2945569521000007"/>
    <n v="1.21242063378091"/>
    <s v="Discretionary"/>
  </r>
  <r>
    <s v="Vaccine"/>
    <s v="Routine"/>
    <x v="2"/>
    <n v="2029"/>
    <s v="Sudan"/>
    <s v="v23.2"/>
    <s v="Gavi 6.0"/>
    <n v="5129162.5999999996"/>
    <n v="1446308.0452121201"/>
    <n v="5.1291625999999999"/>
    <n v="1.44630804521212"/>
    <s v="Discretionary"/>
  </r>
  <r>
    <s v="Vaccine"/>
    <s v="Routine"/>
    <x v="2"/>
    <n v="2030"/>
    <s v="Sudan"/>
    <s v="v23.2"/>
    <s v="Gavi 6.0"/>
    <n v="5147317.6195"/>
    <n v="1451427.3507812"/>
    <n v="5.1473176194999999"/>
    <n v="1.4514273507811999"/>
    <s v="Discretionary"/>
  </r>
  <r>
    <s v="Vaccine"/>
    <s v="Routine"/>
    <x v="2"/>
    <n v="2029"/>
    <s v="Togo"/>
    <s v="v23.2"/>
    <s v="Gavi 6.0"/>
    <n v="793923.1324"/>
    <n v="224356.440083058"/>
    <n v="0.79392313240000001"/>
    <n v="0.224356440083058"/>
    <s v="Discretionary"/>
  </r>
  <r>
    <s v="Vaccine"/>
    <s v="Routine"/>
    <x v="2"/>
    <n v="2030"/>
    <s v="Togo"/>
    <s v="v23.2"/>
    <s v="Gavi 6.0"/>
    <n v="790297.93850000005"/>
    <n v="223331.98878315801"/>
    <n v="0.79029793850000007"/>
    <n v="0.22333198878315802"/>
    <s v="Discretionary"/>
  </r>
  <r>
    <s v="Vaccine"/>
    <s v="Routine"/>
    <x v="13"/>
    <n v="2027"/>
    <s v="India"/>
    <s v="v23.2"/>
    <s v="Gavi 6.0"/>
    <n v="9937042.4708999991"/>
    <n v="8989572.0963682104"/>
    <n v="9.9370424708999998"/>
    <n v="8.9895720963682102"/>
    <s v="Other"/>
  </r>
  <r>
    <s v="Vaccine"/>
    <s v="Routine"/>
    <x v="1"/>
    <n v="2026"/>
    <s v="Côte d’Ivoire"/>
    <s v="v23.2"/>
    <s v="Gavi 6.0"/>
    <n v="348112.39449999999"/>
    <n v="415351.71337499999"/>
    <n v="0.34811239449999998"/>
    <n v="0.41535171337499999"/>
    <s v="Discretionary"/>
  </r>
  <r>
    <s v="Vaccine"/>
    <s v="Routine"/>
    <x v="1"/>
    <n v="2027"/>
    <s v="Côte d’Ivoire"/>
    <s v="v23.2"/>
    <s v="Gavi 6.0"/>
    <n v="282485.03769999999"/>
    <n v="322430.36547312501"/>
    <n v="0.2824850377"/>
    <n v="0.32243036547312504"/>
    <s v="Discretionary"/>
  </r>
  <r>
    <s v="Vaccine"/>
    <s v="Routine"/>
    <x v="1"/>
    <n v="2028"/>
    <s v="Côte d’Ivoire"/>
    <s v="v23.2"/>
    <s v="Gavi 6.0"/>
    <n v="205901.5613"/>
    <n v="217000.62"/>
    <n v="0.20590156130000001"/>
    <n v="0.21700062000000001"/>
    <s v="Discretionary"/>
  </r>
  <r>
    <s v="Vaccine"/>
    <s v="Routine"/>
    <x v="1"/>
    <n v="2026"/>
    <s v="Guinea"/>
    <s v="v23.2"/>
    <s v="Gavi 6.0"/>
    <n v="256265.1986"/>
    <n v="305762.00287500001"/>
    <n v="0.25626519860000002"/>
    <n v="0.30576200287499999"/>
    <s v="Discretionary"/>
  </r>
  <r>
    <s v="Vaccine"/>
    <s v="Routine"/>
    <x v="1"/>
    <n v="2027"/>
    <s v="Guinea"/>
    <s v="v23.2"/>
    <s v="Gavi 6.0"/>
    <n v="312473.28529999999"/>
    <n v="356656.508634375"/>
    <n v="0.31247328530000001"/>
    <n v="0.35665650863437498"/>
    <s v="Discretionary"/>
  </r>
  <r>
    <s v="Vaccine"/>
    <s v="Routine"/>
    <x v="1"/>
    <n v="2028"/>
    <s v="Guinea"/>
    <s v="v23.2"/>
    <s v="Gavi 6.0"/>
    <n v="304405.93530000001"/>
    <n v="320814.84129678103"/>
    <n v="0.30440593529999999"/>
    <n v="0.32081484129678101"/>
    <s v="Discretionary"/>
  </r>
  <r>
    <s v="Vaccine"/>
    <s v="Routine"/>
    <x v="1"/>
    <n v="2026"/>
    <s v="Mali"/>
    <s v="v23.2"/>
    <s v="Gavi 6.0"/>
    <n v="563949.75430000003"/>
    <n v="660162.96101152396"/>
    <n v="0.56394975430000005"/>
    <n v="0.66016296101152394"/>
    <s v="Discretionary"/>
  </r>
  <r>
    <s v="Vaccine"/>
    <s v="Routine"/>
    <x v="1"/>
    <n v="2027"/>
    <s v="Mali"/>
    <s v="v23.2"/>
    <s v="Gavi 6.0"/>
    <n v="622837.36829999997"/>
    <n v="698821.40807768598"/>
    <n v="0.62283736830000003"/>
    <n v="0.698821408077686"/>
    <s v="Discretionary"/>
  </r>
  <r>
    <s v="Vaccine"/>
    <s v="Routine"/>
    <x v="1"/>
    <n v="2026"/>
    <s v="Nigeria"/>
    <s v="v23.2"/>
    <s v="Gavi 6.0"/>
    <n v="1480473.8045999999"/>
    <n v="1766443.2471"/>
    <n v="1.4804738045999999"/>
    <n v="1.7664432471"/>
    <s v="Discretionary"/>
  </r>
  <r>
    <s v="Vaccine"/>
    <s v="Routine"/>
    <x v="1"/>
    <n v="2027"/>
    <s v="Nigeria"/>
    <s v="v23.2"/>
    <s v="Gavi 6.0"/>
    <n v="1244867.3883"/>
    <n v="1420905.8062499999"/>
    <n v="1.2448673883000001"/>
    <n v="1.42090580625"/>
    <s v="Discretionary"/>
  </r>
  <r>
    <s v="Vaccine"/>
    <s v="Routine"/>
    <x v="1"/>
    <n v="2028"/>
    <s v="Nigeria"/>
    <s v="v23.2"/>
    <s v="Gavi 6.0"/>
    <n v="1347504.5543"/>
    <n v="1420141.3625"/>
    <n v="1.3475045542999999"/>
    <n v="1.4201413625000001"/>
    <s v="Discretionary"/>
  </r>
  <r>
    <s v="Vaccine"/>
    <s v="Routine"/>
    <x v="1"/>
    <n v="2026"/>
    <s v="Sudan"/>
    <s v="v23.2"/>
    <s v="Gavi 6.0"/>
    <n v="721347.79859999998"/>
    <n v="850970.23364916805"/>
    <n v="0.72134779859999998"/>
    <n v="0.85097023364916802"/>
    <s v="Discretionary"/>
  </r>
  <r>
    <s v="Vaccine"/>
    <s v="Routine"/>
    <x v="1"/>
    <n v="2027"/>
    <s v="Sudan"/>
    <s v="v23.2"/>
    <s v="Gavi 6.0"/>
    <n v="760356.33990000002"/>
    <n v="859015.39350427303"/>
    <n v="0.76035633990000007"/>
    <n v="0.85901539350427303"/>
    <s v="Discretionary"/>
  </r>
  <r>
    <s v="Vaccine"/>
    <s v="Routine"/>
    <x v="1"/>
    <n v="2029"/>
    <s v="Benin"/>
    <s v="v23.2"/>
    <s v="Gavi 6.0"/>
    <n v="308980.5539"/>
    <n v="286132.207554558"/>
    <n v="0.30898055390000001"/>
    <n v="0.28613220755455798"/>
    <s v="Discretionary"/>
  </r>
  <r>
    <s v="Vaccine"/>
    <s v="Routine"/>
    <x v="1"/>
    <n v="2030"/>
    <s v="Benin"/>
    <s v="v23.2"/>
    <s v="Gavi 6.0"/>
    <n v="287755.93050000002"/>
    <n v="266477.09243204002"/>
    <n v="0.28775593050000003"/>
    <n v="0.26647709243204004"/>
    <s v="Discretionary"/>
  </r>
  <r>
    <s v="Vaccine"/>
    <s v="Routine"/>
    <x v="1"/>
    <n v="2027"/>
    <s v="Benin"/>
    <s v="v23.2"/>
    <s v="Gavi 6.0"/>
    <n v="275237.72869999998"/>
    <n v="314154.30654281197"/>
    <n v="0.27523772869999996"/>
    <n v="0.31415430654281196"/>
    <s v="Discretionary"/>
  </r>
  <r>
    <s v="Vaccine"/>
    <s v="Routine"/>
    <x v="1"/>
    <n v="2028"/>
    <s v="Benin"/>
    <s v="v23.2"/>
    <s v="Gavi 6.0"/>
    <n v="284900.95"/>
    <n v="300258.44584027003"/>
    <n v="0.28490094999999999"/>
    <n v="0.30025844584027001"/>
    <s v="Discretionary"/>
  </r>
  <r>
    <s v="Vaccine"/>
    <s v="Routine"/>
    <x v="1"/>
    <n v="2026"/>
    <s v="Benin"/>
    <s v="v23.2"/>
    <s v="Gavi 6.0"/>
    <n v="204921.50719999999"/>
    <n v="244500"/>
    <n v="0.20492150719999999"/>
    <n v="0.2445"/>
    <s v="Discretionary"/>
  </r>
  <r>
    <s v="Vaccine"/>
    <s v="Routine"/>
    <x v="1"/>
    <n v="2026"/>
    <s v="Burkina Faso"/>
    <s v="v23.2"/>
    <s v="Gavi 6.0"/>
    <n v="494576.43310000002"/>
    <n v="578500"/>
    <n v="0.49457643310000005"/>
    <n v="0.57850000000000001"/>
    <s v="Discretionary"/>
  </r>
  <r>
    <s v="Vaccine"/>
    <s v="Routine"/>
    <x v="1"/>
    <n v="2027"/>
    <s v="Burkina Faso"/>
    <s v="v23.2"/>
    <s v="Gavi 6.0"/>
    <n v="710988.74369999999"/>
    <n v="797726.95130112895"/>
    <n v="0.71098874369999998"/>
    <n v="0.79772695130112892"/>
    <s v="Discretionary"/>
  </r>
  <r>
    <s v="Vaccine"/>
    <s v="Routine"/>
    <x v="1"/>
    <n v="2029"/>
    <s v="Cameroon"/>
    <s v="v23.2"/>
    <s v="Gavi 6.0"/>
    <n v="215878.26620000001"/>
    <n v="199914.603349351"/>
    <n v="0.2158782662"/>
    <n v="0.19991460334935102"/>
    <s v="Discretionary"/>
  </r>
  <r>
    <s v="Vaccine"/>
    <s v="Routine"/>
    <x v="1"/>
    <n v="2030"/>
    <s v="Cameroon"/>
    <s v="v23.2"/>
    <s v="Gavi 6.0"/>
    <n v="202990.03810000001"/>
    <n v="187979.427804167"/>
    <n v="0.20299003809999999"/>
    <n v="0.18797942780416702"/>
    <s v="Discretionary"/>
  </r>
  <r>
    <s v="Vaccine"/>
    <s v="Routine"/>
    <x v="1"/>
    <n v="2026"/>
    <s v="Central African Republic"/>
    <s v="v23.2"/>
    <s v="Gavi 6.0"/>
    <n v="90641.9859"/>
    <n v="106000"/>
    <n v="9.0641985899999999E-2"/>
    <n v="0.106"/>
    <s v="Discretionary"/>
  </r>
  <r>
    <s v="Vaccine"/>
    <s v="Routine"/>
    <x v="1"/>
    <n v="2027"/>
    <s v="Central African Republic"/>
    <s v="v23.2"/>
    <s v="Gavi 6.0"/>
    <n v="135607.1827"/>
    <n v="152150.79755418201"/>
    <n v="0.1356071827"/>
    <n v="0.15215079755418201"/>
    <s v="Discretionary"/>
  </r>
  <r>
    <s v="Vaccine"/>
    <s v="Routine"/>
    <x v="1"/>
    <n v="2028"/>
    <s v="Central African Republic"/>
    <s v="v23.2"/>
    <s v="Gavi 6.0"/>
    <n v="151262.02979999999"/>
    <n v="157204.24417267201"/>
    <n v="0.1512620298"/>
    <n v="0.15720424417267201"/>
    <s v="Discretionary"/>
  </r>
  <r>
    <s v="Vaccine"/>
    <s v="Routine"/>
    <x v="1"/>
    <n v="2029"/>
    <s v="Central African Republic"/>
    <s v="v23.2"/>
    <s v="Gavi 6.0"/>
    <n v="180785.0509"/>
    <n v="165690.408149806"/>
    <n v="0.18078505089999999"/>
    <n v="0.16569040814980598"/>
    <s v="Discretionary"/>
  </r>
  <r>
    <s v="Vaccine"/>
    <s v="Routine"/>
    <x v="1"/>
    <n v="2030"/>
    <s v="Central African Republic"/>
    <s v="v23.2"/>
    <s v="Gavi 6.0"/>
    <n v="183447.30009999999"/>
    <n v="168130.37290355799"/>
    <n v="0.18344730009999999"/>
    <n v="0.16813037290355798"/>
    <s v="Discretionary"/>
  </r>
  <r>
    <s v="Vaccine"/>
    <s v="Routine"/>
    <x v="1"/>
    <n v="2026"/>
    <s v="Chad"/>
    <s v="v23.2"/>
    <s v="Gavi 6.0"/>
    <n v="336410.10159999999"/>
    <n v="393500"/>
    <n v="0.33641010160000001"/>
    <n v="0.39350000000000002"/>
    <s v="Discretionary"/>
  </r>
  <r>
    <s v="Vaccine"/>
    <s v="Routine"/>
    <x v="1"/>
    <n v="2029"/>
    <s v="Côte d’Ivoire"/>
    <s v="v23.2"/>
    <s v="Gavi 6.0"/>
    <n v="118957.89260000001"/>
    <n v="110161.2512"/>
    <n v="0.1189578926"/>
    <n v="0.1101612512"/>
    <s v="Discretionary"/>
  </r>
  <r>
    <s v="Vaccine"/>
    <s v="Routine"/>
    <x v="1"/>
    <n v="2026"/>
    <s v="Eritrea"/>
    <s v="v23.2"/>
    <s v="Gavi 6.0"/>
    <n v="61995.879200000003"/>
    <n v="72500"/>
    <n v="6.1995879200000006E-2"/>
    <n v="7.2499999999999995E-2"/>
    <s v="Discretionary"/>
  </r>
  <r>
    <s v="Vaccine"/>
    <s v="Routine"/>
    <x v="1"/>
    <n v="2027"/>
    <s v="Eritrea"/>
    <s v="v23.2"/>
    <s v="Gavi 6.0"/>
    <n v="88782.288199999995"/>
    <n v="99613.425274725305"/>
    <n v="8.878228819999999E-2"/>
    <n v="9.9613425274725304E-2"/>
    <s v="Discretionary"/>
  </r>
  <r>
    <s v="Vaccine"/>
    <s v="Routine"/>
    <x v="1"/>
    <n v="2028"/>
    <s v="Eritrea"/>
    <s v="v23.2"/>
    <s v="Gavi 6.0"/>
    <n v="100468.4754"/>
    <n v="104415.303429878"/>
    <n v="0.10046847539999999"/>
    <n v="0.104415303429878"/>
    <s v="Discretionary"/>
  </r>
  <r>
    <s v="Vaccine"/>
    <s v="Routine"/>
    <x v="1"/>
    <n v="2029"/>
    <s v="Eritrea"/>
    <s v="v23.2"/>
    <s v="Gavi 6.0"/>
    <n v="119883.4185"/>
    <n v="109873.755865803"/>
    <n v="0.11988341850000001"/>
    <n v="0.109873755865803"/>
    <s v="Discretionary"/>
  </r>
  <r>
    <s v="Vaccine"/>
    <s v="Routine"/>
    <x v="1"/>
    <n v="2030"/>
    <s v="Eritrea"/>
    <s v="v23.2"/>
    <s v="Gavi 6.0"/>
    <n v="121383.8088"/>
    <n v="111248.871136859"/>
    <n v="0.12138380879999999"/>
    <n v="0.111248871136859"/>
    <s v="Discretionary"/>
  </r>
  <r>
    <s v="Vaccine"/>
    <s v="Routine"/>
    <x v="1"/>
    <n v="2026"/>
    <s v="Gambia"/>
    <s v="v23.2"/>
    <s v="Gavi 6.0"/>
    <n v="50457.709900000002"/>
    <n v="59000"/>
    <n v="5.0457709900000002E-2"/>
    <n v="5.8999999999999997E-2"/>
    <s v="Discretionary"/>
  </r>
  <r>
    <s v="Vaccine"/>
    <s v="Routine"/>
    <x v="1"/>
    <n v="2027"/>
    <s v="Gambia"/>
    <s v="v23.2"/>
    <s v="Gavi 6.0"/>
    <n v="72737.116399999999"/>
    <n v="81610.7970657814"/>
    <n v="7.2737116399999996E-2"/>
    <n v="8.1610797065781407E-2"/>
    <s v="Discretionary"/>
  </r>
  <r>
    <s v="Vaccine"/>
    <s v="Routine"/>
    <x v="1"/>
    <n v="2028"/>
    <s v="Gambia"/>
    <s v="v23.2"/>
    <s v="Gavi 6.0"/>
    <n v="80521.242299999998"/>
    <n v="83684.458349501103"/>
    <n v="8.0521242300000004E-2"/>
    <n v="8.3684458349501098E-2"/>
    <s v="Discretionary"/>
  </r>
  <r>
    <s v="Vaccine"/>
    <s v="Routine"/>
    <x v="1"/>
    <n v="2029"/>
    <s v="Gambia"/>
    <s v="v23.2"/>
    <s v="Gavi 6.0"/>
    <n v="94719.493900000001"/>
    <n v="86810.892394724098"/>
    <n v="9.4719493900000007E-2"/>
    <n v="8.6810892394724101E-2"/>
    <s v="Discretionary"/>
  </r>
  <r>
    <s v="Vaccine"/>
    <s v="Routine"/>
    <x v="1"/>
    <n v="2030"/>
    <s v="Gambia"/>
    <s v="v23.2"/>
    <s v="Gavi 6.0"/>
    <n v="94888.832500000004"/>
    <n v="86966.092068005804"/>
    <n v="9.4888832500000006E-2"/>
    <n v="8.6966092068005804E-2"/>
    <s v="Discretionary"/>
  </r>
  <r>
    <s v="Vaccine"/>
    <s v="Routine"/>
    <x v="1"/>
    <n v="2026"/>
    <s v="Ghana"/>
    <s v="v23.2"/>
    <s v="Gavi 6.0"/>
    <n v="651210.40240000002"/>
    <n v="777000"/>
    <n v="0.65121040240000005"/>
    <n v="0.77700000000000002"/>
    <s v="Discretionary"/>
  </r>
  <r>
    <s v="Vaccine"/>
    <s v="Routine"/>
    <x v="1"/>
    <n v="2027"/>
    <s v="Ghana"/>
    <s v="v23.2"/>
    <s v="Gavi 6.0"/>
    <n v="350464.53169999999"/>
    <n v="400023.69453749998"/>
    <n v="0.35046453169999997"/>
    <n v="0.40002369453749997"/>
    <s v="Discretionary"/>
  </r>
  <r>
    <s v="Vaccine"/>
    <s v="Routine"/>
    <x v="1"/>
    <n v="2028"/>
    <s v="Ghana"/>
    <s v="v23.2"/>
    <s v="Gavi 6.0"/>
    <n v="254353.56520000001"/>
    <n v="268064.41398000001"/>
    <n v="0.25435356520000002"/>
    <n v="0.26806441398000003"/>
    <s v="Discretionary"/>
  </r>
  <r>
    <s v="Vaccine"/>
    <s v="Routine"/>
    <x v="1"/>
    <n v="2029"/>
    <s v="Ghana"/>
    <s v="v23.2"/>
    <s v="Gavi 6.0"/>
    <n v="145765.19409999999"/>
    <n v="134986.21917"/>
    <n v="0.1457651941"/>
    <n v="0.13498621917"/>
    <s v="Discretionary"/>
  </r>
  <r>
    <s v="Vaccine"/>
    <s v="Routine"/>
    <x v="1"/>
    <n v="2029"/>
    <s v="Guinea"/>
    <s v="v23.2"/>
    <s v="Gavi 6.0"/>
    <n v="145808.72649999999"/>
    <n v="135026.53250624999"/>
    <n v="0.14580872649999999"/>
    <n v="0.13502653250624999"/>
    <s v="Discretionary"/>
  </r>
  <r>
    <s v="Vaccine"/>
    <s v="Routine"/>
    <x v="1"/>
    <n v="2030"/>
    <s v="Guinea"/>
    <s v="v23.2"/>
    <s v="Gavi 6.0"/>
    <n v="116576.26210000001"/>
    <n v="107955.73633124999"/>
    <n v="0.11657626210000001"/>
    <n v="0.10795573633125"/>
    <s v="Discretionary"/>
  </r>
  <r>
    <s v="Vaccine"/>
    <s v="Routine"/>
    <x v="1"/>
    <n v="2026"/>
    <s v="Guinea-Bissau"/>
    <s v="v23.2"/>
    <s v="Gavi 6.0"/>
    <n v="33327.209499999997"/>
    <n v="39000"/>
    <n v="3.3327209499999996E-2"/>
    <n v="3.9E-2"/>
    <s v="Discretionary"/>
  </r>
  <r>
    <s v="Vaccine"/>
    <s v="Routine"/>
    <x v="1"/>
    <n v="2027"/>
    <s v="Guinea-Bissau"/>
    <s v="v23.2"/>
    <s v="Gavi 6.0"/>
    <n v="47536.568099999997"/>
    <n v="53335.867635836403"/>
    <n v="4.7536568099999996E-2"/>
    <n v="5.33358676358364E-2"/>
    <s v="Discretionary"/>
  </r>
  <r>
    <s v="Vaccine"/>
    <s v="Routine"/>
    <x v="1"/>
    <n v="2028"/>
    <s v="Guinea-Bissau"/>
    <s v="v23.2"/>
    <s v="Gavi 6.0"/>
    <n v="53130.463000000003"/>
    <n v="55217.653041851401"/>
    <n v="5.3130463000000003E-2"/>
    <n v="5.5217653041851403E-2"/>
    <s v="Discretionary"/>
  </r>
  <r>
    <s v="Vaccine"/>
    <s v="Routine"/>
    <x v="1"/>
    <n v="2029"/>
    <s v="Guinea-Bissau"/>
    <s v="v23.2"/>
    <s v="Gavi 6.0"/>
    <n v="62225.480300000003"/>
    <n v="57624.060182720197"/>
    <n v="6.2225480300000004E-2"/>
    <n v="5.7624060182720198E-2"/>
    <s v="Discretionary"/>
  </r>
  <r>
    <s v="Vaccine"/>
    <s v="Routine"/>
    <x v="1"/>
    <n v="2030"/>
    <s v="Guinea-Bissau"/>
    <s v="v23.2"/>
    <s v="Gavi 6.0"/>
    <n v="67625.669699999999"/>
    <n v="62624.918979438698"/>
    <n v="6.7625669700000002E-2"/>
    <n v="6.2624918979438698E-2"/>
    <s v="Discretionary"/>
  </r>
  <r>
    <s v="Vaccine"/>
    <s v="Routine"/>
    <x v="1"/>
    <n v="2029"/>
    <s v="Nigeria"/>
    <s v="v23.2"/>
    <s v="Gavi 6.0"/>
    <n v="1549552.6340000001"/>
    <n v="1434967.0562499999"/>
    <n v="1.5495526340000001"/>
    <n v="1.4349670562499999"/>
    <s v="Discretionary"/>
  </r>
  <r>
    <s v="Vaccine"/>
    <s v="Routine"/>
    <x v="1"/>
    <n v="2030"/>
    <s v="Nigeria"/>
    <s v="v23.2"/>
    <s v="Gavi 6.0"/>
    <n v="1557248.1819"/>
    <n v="1442093.5375000001"/>
    <n v="1.5572481818999999"/>
    <n v="1.4420935375000001"/>
    <s v="Discretionary"/>
  </r>
  <r>
    <s v="Vaccine"/>
    <s v="Routine"/>
    <x v="1"/>
    <n v="2026"/>
    <s v="Togo"/>
    <s v="v23.2"/>
    <s v="Gavi 6.0"/>
    <n v="133351.52600000001"/>
    <n v="156000"/>
    <n v="0.13335152600000003"/>
    <n v="0.156"/>
    <s v="Discretionary"/>
  </r>
  <r>
    <s v="Vaccine"/>
    <s v="Routine"/>
    <x v="1"/>
    <n v="2027"/>
    <s v="Togo"/>
    <s v="v23.2"/>
    <s v="Gavi 6.0"/>
    <n v="191215.5183"/>
    <n v="214543.16094322299"/>
    <n v="0.1912155183"/>
    <n v="0.21454316094322298"/>
    <s v="Discretionary"/>
  </r>
  <r>
    <s v="Vaccine"/>
    <s v="Routine"/>
    <x v="0"/>
    <n v="2026"/>
    <s v="Bangladesh"/>
    <s v="v23.2"/>
    <s v="Gavi 6.0"/>
    <n v="1930625.5611"/>
    <n v="364258.509051"/>
    <n v="1.9306255611000001"/>
    <n v="0.36425850905099999"/>
    <s v="Guaranteed"/>
  </r>
  <r>
    <s v="Vaccine"/>
    <s v="Routine"/>
    <x v="0"/>
    <n v="2027"/>
    <s v="Bangladesh"/>
    <s v="v23.2"/>
    <s v="Gavi 6.0"/>
    <n v="4907121.5707999999"/>
    <n v="925845.39599999995"/>
    <n v="4.9071215708000002"/>
    <n v="0.92584539599999993"/>
    <s v="Guaranteed"/>
  </r>
  <r>
    <s v="Vaccine"/>
    <s v="Routine"/>
    <x v="0"/>
    <n v="2028"/>
    <s v="Mali"/>
    <s v="v23.2"/>
    <s v="Gavi 6.0"/>
    <n v="900694.28029999998"/>
    <n v="299735.32048091799"/>
    <n v="0.90069428029999998"/>
    <n v="0.299735320480918"/>
    <s v="Guaranteed"/>
  </r>
  <r>
    <s v="Vaccine"/>
    <s v="Routine"/>
    <x v="0"/>
    <n v="2028"/>
    <s v="Mozambique"/>
    <s v="v23.2"/>
    <s v="Gavi 6.0"/>
    <n v="1523339.9981"/>
    <n v="506493.01750000002"/>
    <n v="1.5233399981"/>
    <n v="0.50649301749999998"/>
    <s v="Guaranteed"/>
  </r>
  <r>
    <s v="Vaccine"/>
    <s v="Routine"/>
    <x v="0"/>
    <n v="2028"/>
    <s v="Sierra Leone"/>
    <s v="v23.2"/>
    <s v="Gavi 6.0"/>
    <n v="259715.2046"/>
    <n v="86352.316500000001"/>
    <n v="0.25971520459999997"/>
    <n v="8.6352316499999998E-2"/>
    <s v="Guaranteed"/>
  </r>
  <r>
    <s v="Vaccine"/>
    <s v="Routine"/>
    <x v="0"/>
    <n v="2028"/>
    <s v="Tajikistan"/>
    <s v="v23.2"/>
    <s v="Gavi 6.0"/>
    <n v="250081.40779999999"/>
    <n v="83221.994676566697"/>
    <n v="0.25008140779999999"/>
    <n v="8.3221994676566699E-2"/>
    <s v="Guaranteed"/>
  </r>
  <r>
    <s v="Vaccine"/>
    <s v="Routine"/>
    <x v="0"/>
    <n v="2026"/>
    <s v="Benin"/>
    <s v="v23.2"/>
    <s v="Gavi 6.0"/>
    <n v="664639.23259999999"/>
    <n v="125400"/>
    <n v="0.66463923260000002"/>
    <n v="0.12540000000000001"/>
    <s v="Guaranteed"/>
  </r>
  <r>
    <s v="Vaccine"/>
    <s v="Routine"/>
    <x v="0"/>
    <n v="2027"/>
    <s v="Benin"/>
    <s v="v23.2"/>
    <s v="Gavi 6.0"/>
    <n v="376121.94300000003"/>
    <n v="70964.365609353597"/>
    <n v="0.37612194300000001"/>
    <n v="7.0964365609353597E-2"/>
    <s v="Guaranteed"/>
  </r>
  <r>
    <s v="Vaccine"/>
    <s v="Routine"/>
    <x v="0"/>
    <n v="2026"/>
    <s v="Cambodia"/>
    <s v="v23.2"/>
    <s v="Gavi 6.0"/>
    <n v="816223.62089999998"/>
    <n v="154000"/>
    <n v="0.8162236209"/>
    <n v="0.154"/>
    <s v="Guaranteed"/>
  </r>
  <r>
    <s v="Vaccine"/>
    <s v="Routine"/>
    <x v="0"/>
    <n v="2027"/>
    <s v="Cambodia"/>
    <s v="v23.2"/>
    <s v="Gavi 6.0"/>
    <n v="715607.45649999997"/>
    <n v="135016.3959375"/>
    <n v="0.71560745650000002"/>
    <n v="0.13501639593750001"/>
    <s v="Guaranteed"/>
  </r>
  <r>
    <s v="Vaccine"/>
    <s v="Routine"/>
    <x v="0"/>
    <n v="2028"/>
    <s v="Malawi"/>
    <s v="v23.2"/>
    <s v="Gavi 6.0"/>
    <n v="501740.72070000001"/>
    <n v="166853.42511157901"/>
    <n v="0.50174072069999998"/>
    <n v="0.16685342511157902"/>
    <s v="Guaranteed"/>
  </r>
  <r>
    <s v="Vaccine"/>
    <s v="Routine"/>
    <x v="0"/>
    <n v="2028"/>
    <s v="Nigeria"/>
    <s v="v23.2"/>
    <s v="Gavi 6.0"/>
    <n v="1370093.7977"/>
    <n v="455939.28684210498"/>
    <n v="1.3700937977000001"/>
    <n v="0.455939286842105"/>
    <s v="Guaranteed"/>
  </r>
  <r>
    <s v="Vaccine"/>
    <s v="Routine"/>
    <x v="0"/>
    <n v="2028"/>
    <s v="Rwanda"/>
    <s v="v23.2"/>
    <s v="Gavi 6.0"/>
    <n v="436374.1042"/>
    <n v="145089.36749999999"/>
    <n v="0.4363741042"/>
    <n v="0.14508936749999998"/>
    <s v="Guaranteed"/>
  </r>
  <r>
    <s v="Vaccine"/>
    <s v="Routine"/>
    <x v="0"/>
    <n v="2028"/>
    <s v="Senegal"/>
    <s v="v23.2"/>
    <s v="Gavi 6.0"/>
    <n v="401074.51260000002"/>
    <n v="133446.05313099601"/>
    <n v="0.40107451260000004"/>
    <n v="0.133446053130996"/>
    <s v="Guaranteed"/>
  </r>
  <r>
    <s v="Vaccine"/>
    <s v="Routine"/>
    <x v="0"/>
    <n v="2026"/>
    <s v="Togo"/>
    <s v="v23.2"/>
    <s v="Gavi 6.0"/>
    <n v="440312.41489999997"/>
    <n v="83000"/>
    <n v="0.44031241489999995"/>
    <n v="8.3000000000000004E-2"/>
    <s v="Guaranteed"/>
  </r>
  <r>
    <s v="Vaccine"/>
    <s v="Routine"/>
    <x v="0"/>
    <n v="2027"/>
    <s v="Togo"/>
    <s v="v23.2"/>
    <s v="Gavi 6.0"/>
    <n v="354026.04629999999"/>
    <n v="66735.188210526307"/>
    <n v="0.35402604630000001"/>
    <n v="6.6735188210526306E-2"/>
    <s v="Guaranteed"/>
  </r>
  <r>
    <s v="Vaccine"/>
    <s v="Routine"/>
    <x v="0"/>
    <n v="2028"/>
    <s v="United Republic of Tanzania"/>
    <s v="v23.2"/>
    <s v="Gavi 6.0"/>
    <n v="1721168.8732"/>
    <n v="572769.915377895"/>
    <n v="1.7211688732000001"/>
    <n v="0.57276991537789501"/>
    <s v="Guaranteed"/>
  </r>
  <r>
    <s v="Vaccine"/>
    <s v="Routine"/>
    <x v="0"/>
    <n v="2028"/>
    <s v="Zambia"/>
    <s v="v23.2"/>
    <s v="Gavi 6.0"/>
    <n v="329261.19150000002"/>
    <n v="109552.22803124999"/>
    <n v="0.32926119149999999"/>
    <n v="0.10955222803124999"/>
    <s v="Guaranteed"/>
  </r>
  <r>
    <s v="Vaccine"/>
    <s v="Routine"/>
    <x v="0"/>
    <n v="2026"/>
    <s v="Zimbabwe"/>
    <s v="v23.2"/>
    <s v="Gavi 6.0"/>
    <n v="990704.08909999998"/>
    <n v="186824.65538947401"/>
    <n v="0.99070408909999996"/>
    <n v="0.18682465538947401"/>
    <s v="Guaranteed"/>
  </r>
  <r>
    <s v="Vaccine"/>
    <s v="Routine"/>
    <x v="0"/>
    <n v="2027"/>
    <s v="Zimbabwe"/>
    <s v="v23.2"/>
    <s v="Gavi 6.0"/>
    <n v="974746.12470000004"/>
    <n v="183815.33987368399"/>
    <n v="0.97474612469999999"/>
    <n v="0.18381533987368398"/>
    <s v="Guaranteed"/>
  </r>
  <r>
    <s v="Vaccine"/>
    <s v="Routine"/>
    <x v="0"/>
    <n v="2026"/>
    <s v="Côte d’Ivoire"/>
    <s v="v23.2"/>
    <s v="Gavi 6.0"/>
    <n v="829823.00989999995"/>
    <n v="179546.4271957"/>
    <n v="0.82982300989999991"/>
    <n v="0.17954642719569999"/>
    <s v="Guaranteed"/>
  </r>
  <r>
    <s v="Vaccine"/>
    <s v="Routine"/>
    <x v="0"/>
    <n v="2027"/>
    <s v="Côte d’Ivoire"/>
    <s v="v23.2"/>
    <s v="Gavi 6.0"/>
    <n v="561863.70330000005"/>
    <n v="121568.839734497"/>
    <n v="0.56186370330000002"/>
    <n v="0.121568839734497"/>
    <s v="Guaranteed"/>
  </r>
  <r>
    <s v="Vaccine"/>
    <s v="Routine"/>
    <x v="0"/>
    <n v="2026"/>
    <s v="Cameroon"/>
    <s v="v23.2"/>
    <s v="Gavi 6.0"/>
    <n v="563182.85499999998"/>
    <n v="121811.51815567999"/>
    <n v="0.56318285499999998"/>
    <n v="0.12181151815567999"/>
    <s v="Guaranteed"/>
  </r>
  <r>
    <s v="Vaccine"/>
    <s v="Routine"/>
    <x v="0"/>
    <n v="2027"/>
    <s v="Cameroon"/>
    <s v="v23.2"/>
    <s v="Gavi 6.0"/>
    <n v="582994.50340000005"/>
    <n v="126096.604161198"/>
    <n v="0.58299450340000003"/>
    <n v="0.126096604161198"/>
    <s v="Guaranteed"/>
  </r>
  <r>
    <s v="Vaccine"/>
    <s v="Routine"/>
    <x v="0"/>
    <n v="2026"/>
    <s v="Ethiopia"/>
    <s v="v23.2"/>
    <s v="Gavi 6.0"/>
    <n v="4487858.0121999998"/>
    <n v="970360.65359999996"/>
    <n v="4.4878580121999994"/>
    <n v="0.97036065360000001"/>
    <s v="Guaranteed"/>
  </r>
  <r>
    <s v="Vaccine"/>
    <s v="Routine"/>
    <x v="0"/>
    <n v="2027"/>
    <s v="Ethiopia"/>
    <s v="v23.2"/>
    <s v="Gavi 6.0"/>
    <n v="7097382.7352999998"/>
    <n v="1534589.76"/>
    <n v="7.0973827353000001"/>
    <n v="1.53458976"/>
    <s v="Guaranteed"/>
  </r>
  <r>
    <s v="Vaccine"/>
    <s v="Routine"/>
    <x v="0"/>
    <n v="2026"/>
    <s v="Lao People’s Democratic Republic"/>
    <s v="v23.2"/>
    <s v="Gavi 6.0"/>
    <n v="63050.056499999999"/>
    <n v="13638.7696"/>
    <n v="6.3050056499999993E-2"/>
    <n v="1.36387696E-2"/>
    <s v="Guaranteed"/>
  </r>
  <r>
    <s v="Vaccine"/>
    <s v="Routine"/>
    <x v="0"/>
    <n v="2027"/>
    <s v="Lao People’s Democratic Republic"/>
    <s v="v23.2"/>
    <s v="Gavi 6.0"/>
    <n v="74759.923200000005"/>
    <n v="16171.807368420999"/>
    <n v="7.4759923200000009E-2"/>
    <n v="1.6171807368420998E-2"/>
    <s v="Guaranteed"/>
  </r>
  <r>
    <s v="Vaccine"/>
    <s v="Routine"/>
    <x v="0"/>
    <n v="2026"/>
    <s v="Mali"/>
    <s v="v23.2"/>
    <s v="Gavi 6.0"/>
    <n v="1114293.1431"/>
    <n v="240931.4688"/>
    <n v="1.1142931431"/>
    <n v="0.24093146879999999"/>
    <s v="Guaranteed"/>
  </r>
  <r>
    <s v="Vaccine"/>
    <s v="Routine"/>
    <x v="0"/>
    <n v="2027"/>
    <s v="Mali"/>
    <s v="v23.2"/>
    <s v="Gavi 6.0"/>
    <n v="1320421.051"/>
    <n v="285500.26105263201"/>
    <n v="1.3204210510000001"/>
    <n v="0.28550026105263199"/>
    <s v="Guaranteed"/>
  </r>
  <r>
    <s v="Vaccine"/>
    <s v="Routine"/>
    <x v="0"/>
    <n v="2026"/>
    <s v="Mozambique"/>
    <s v="v23.2"/>
    <s v="Gavi 6.0"/>
    <n v="1.1083000000000001"/>
    <n v="0.239616"/>
    <n v="1.1083E-6"/>
    <n v="2.3961600000000002E-7"/>
    <s v="Guaranteed"/>
  </r>
  <r>
    <s v="Vaccine"/>
    <s v="Routine"/>
    <x v="0"/>
    <n v="2027"/>
    <s v="Mozambique"/>
    <s v="v23.2"/>
    <s v="Gavi 6.0"/>
    <n v="950184.67370000004"/>
    <n v="205423.0975"/>
    <n v="0.95018467370000004"/>
    <n v="0.20542309750000001"/>
    <s v="Guaranteed"/>
  </r>
  <r>
    <s v="Vaccine"/>
    <s v="Routine"/>
    <x v="0"/>
    <n v="2026"/>
    <s v="Sierra Leone"/>
    <s v="v23.2"/>
    <s v="Gavi 6.0"/>
    <n v="388217.07010000001"/>
    <n v="83929.740441600006"/>
    <n v="0.38821707010000001"/>
    <n v="8.3929740441600009E-2"/>
    <s v="Guaranteed"/>
  </r>
  <r>
    <s v="Vaccine"/>
    <s v="Routine"/>
    <x v="0"/>
    <n v="2027"/>
    <s v="Sierra Leone"/>
    <s v="v23.2"/>
    <s v="Gavi 6.0"/>
    <n v="394545.48839999997"/>
    <n v="85297.899000000005"/>
    <n v="0.39454548839999998"/>
    <n v="8.529789900000001E-2"/>
    <s v="Guaranteed"/>
  </r>
  <r>
    <s v="Vaccine"/>
    <s v="Routine"/>
    <x v="0"/>
    <n v="2026"/>
    <s v="Sao Tome and Principe"/>
    <s v="v23.2"/>
    <s v="Gavi 6.0"/>
    <n v="2915.2626"/>
    <n v="630.61950000000002"/>
    <n v="2.9152625999999998E-3"/>
    <n v="6.3061949999999997E-4"/>
    <s v="Guaranteed"/>
  </r>
  <r>
    <s v="Vaccine"/>
    <s v="Routine"/>
    <x v="0"/>
    <n v="2027"/>
    <s v="Sao Tome and Principe"/>
    <s v="v23.2"/>
    <s v="Gavi 6.0"/>
    <n v="2300.9886999999999"/>
    <n v="497.56734693879997"/>
    <n v="2.3009886999999997E-3"/>
    <n v="4.9756734693879993E-4"/>
    <s v="Guaranteed"/>
  </r>
  <r>
    <s v="Vaccine"/>
    <s v="Routine"/>
    <x v="0"/>
    <n v="2026"/>
    <s v="Tajikistan"/>
    <s v="v23.2"/>
    <s v="Gavi 6.0"/>
    <n v="528555.58440000005"/>
    <n v="114335.311258851"/>
    <n v="0.52855558440000006"/>
    <n v="0.11433531125885099"/>
    <s v="Guaranteed"/>
  </r>
  <r>
    <s v="Vaccine"/>
    <s v="Routine"/>
    <x v="0"/>
    <n v="2027"/>
    <s v="Tajikistan"/>
    <s v="v23.2"/>
    <s v="Gavi 6.0"/>
    <n v="400771.55349999998"/>
    <n v="86693.512787076907"/>
    <n v="0.40077155349999999"/>
    <n v="8.6693512787076904E-2"/>
    <s v="Guaranteed"/>
  </r>
  <r>
    <s v="Vaccine"/>
    <s v="Routine"/>
    <x v="0"/>
    <n v="2026"/>
    <s v="United Republic of Tanzania"/>
    <s v="v23.2"/>
    <s v="Gavi 6.0"/>
    <n v="4777994.3755999999"/>
    <n v="462577.62758129998"/>
    <n v="4.7779943755999996"/>
    <n v="0.4625776275813"/>
    <s v="Guaranteed"/>
  </r>
  <r>
    <s v="Vaccine"/>
    <s v="Routine"/>
    <x v="0"/>
    <n v="2027"/>
    <s v="United Republic of Tanzania"/>
    <s v="v23.2"/>
    <s v="Gavi 6.0"/>
    <n v="2709430.9465000001"/>
    <n v="586094.70747789496"/>
    <n v="2.7094309464999999"/>
    <n v="0.58609470747789494"/>
    <s v="Guaranteed"/>
  </r>
  <r>
    <s v="Vaccine"/>
    <s v="Routine"/>
    <x v="0"/>
    <n v="2026"/>
    <s v="Zambia"/>
    <s v="v23.2"/>
    <s v="Gavi 6.0"/>
    <n v="668903.01910000003"/>
    <n v="144677.863551232"/>
    <n v="0.66890301910000005"/>
    <n v="0.14467786355123199"/>
    <s v="Guaranteed"/>
  </r>
  <r>
    <s v="Vaccine"/>
    <s v="Routine"/>
    <x v="0"/>
    <n v="2027"/>
    <s v="Zambia"/>
    <s v="v23.2"/>
    <s v="Gavi 6.0"/>
    <n v="642847.08299999998"/>
    <n v="139042.19282406301"/>
    <n v="0.64284708299999993"/>
    <n v="0.13904219282406302"/>
    <s v="Guaranteed"/>
  </r>
  <r>
    <s v="Vaccine"/>
    <s v="Routine"/>
    <x v="0"/>
    <n v="2026"/>
    <s v="Burkina Faso"/>
    <s v="v23.2"/>
    <s v="Gavi 6.0"/>
    <n v="1673015.7150000001"/>
    <n v="361740"/>
    <n v="1.673015715"/>
    <n v="0.36174000000000001"/>
    <s v="Guaranteed"/>
  </r>
  <r>
    <s v="Vaccine"/>
    <s v="Routine"/>
    <x v="0"/>
    <n v="2027"/>
    <s v="Burkina Faso"/>
    <s v="v23.2"/>
    <s v="Gavi 6.0"/>
    <n v="1708428.8881000001"/>
    <n v="369394.96926315798"/>
    <n v="1.7084288881"/>
    <n v="0.36939496926315796"/>
    <s v="Guaranteed"/>
  </r>
  <r>
    <s v="Vaccine"/>
    <s v="Routine"/>
    <x v="0"/>
    <n v="2026"/>
    <s v="Comoros"/>
    <s v="v23.2"/>
    <s v="Gavi 6.0"/>
    <n v="27505.989699999998"/>
    <n v="5950"/>
    <n v="2.7505989699999997E-2"/>
    <n v="5.9500000000000004E-3"/>
    <s v="Guaranteed"/>
  </r>
  <r>
    <s v="Vaccine"/>
    <s v="Routine"/>
    <x v="0"/>
    <n v="2027"/>
    <s v="Comoros"/>
    <s v="v23.2"/>
    <s v="Gavi 6.0"/>
    <n v="20732.0576"/>
    <n v="4484.6868196279001"/>
    <n v="2.0732057599999999E-2"/>
    <n v="4.4846868196279002E-3"/>
    <s v="Guaranteed"/>
  </r>
  <r>
    <s v="Vaccine"/>
    <s v="Routine"/>
    <x v="0"/>
    <n v="2026"/>
    <s v="Djibouti"/>
    <s v="v23.2"/>
    <s v="Gavi 6.0"/>
    <n v="32128.8505"/>
    <n v="6950"/>
    <n v="3.21288505E-2"/>
    <n v="6.9499999999999996E-3"/>
    <s v="Guaranteed"/>
  </r>
  <r>
    <s v="Vaccine"/>
    <s v="Routine"/>
    <x v="0"/>
    <n v="2027"/>
    <s v="Djibouti"/>
    <s v="v23.2"/>
    <s v="Gavi 6.0"/>
    <n v="-2070.4297000000001"/>
    <n v="5060.8486378947"/>
    <n v="-2.0704297000000002E-3"/>
    <n v="5.0608486378947003E-3"/>
    <s v="Guaranteed"/>
  </r>
  <r>
    <s v="Vaccine"/>
    <s v="Routine"/>
    <x v="0"/>
    <n v="2026"/>
    <s v="Eritrea"/>
    <s v="v23.2"/>
    <s v="Gavi 6.0"/>
    <n v="192814.65710000001"/>
    <n v="41690.213052631603"/>
    <n v="0.19281465710000001"/>
    <n v="4.1690213052631604E-2"/>
    <s v="Guaranteed"/>
  </r>
  <r>
    <s v="Vaccine"/>
    <s v="Routine"/>
    <x v="0"/>
    <n v="2027"/>
    <s v="Eritrea"/>
    <s v="v23.2"/>
    <s v="Gavi 6.0"/>
    <n v="198283.30859999999"/>
    <n v="42872.639999999999"/>
    <n v="0.19828330859999999"/>
    <n v="4.2872639999999997E-2"/>
    <s v="Guaranteed"/>
  </r>
  <r>
    <s v="Vaccine"/>
    <s v="Routine"/>
    <x v="0"/>
    <n v="2026"/>
    <s v="Ghana"/>
    <s v="v23.2"/>
    <s v="Gavi 6.0"/>
    <n v="890606.79029999999"/>
    <n v="192640"/>
    <n v="0.89060679030000001"/>
    <n v="0.19264000000000001"/>
    <s v="Guaranteed"/>
  </r>
  <r>
    <s v="Vaccine"/>
    <s v="Routine"/>
    <x v="0"/>
    <n v="2027"/>
    <s v="Ghana"/>
    <s v="v23.2"/>
    <s v="Gavi 6.0"/>
    <n v="776543.91339999996"/>
    <n v="167979.286705006"/>
    <n v="0.77654391339999995"/>
    <n v="0.167979286705006"/>
    <s v="Guaranteed"/>
  </r>
  <r>
    <s v="Vaccine"/>
    <s v="Routine"/>
    <x v="0"/>
    <n v="2026"/>
    <s v="Gambia"/>
    <s v="v23.2"/>
    <s v="Gavi 6.0"/>
    <n v="142741.61120000001"/>
    <n v="30860"/>
    <n v="0.14274161120000001"/>
    <n v="3.0859999999999999E-2"/>
    <s v="Guaranteed"/>
  </r>
  <r>
    <s v="Vaccine"/>
    <s v="Routine"/>
    <x v="0"/>
    <n v="2027"/>
    <s v="Gambia"/>
    <s v="v23.2"/>
    <s v="Gavi 6.0"/>
    <n v="94956.421300000002"/>
    <n v="20528.895833333299"/>
    <n v="9.4956421299999996E-2"/>
    <n v="2.05288958333333E-2"/>
    <s v="Guaranteed"/>
  </r>
  <r>
    <s v="Vaccine"/>
    <s v="Routine"/>
    <x v="0"/>
    <n v="2026"/>
    <s v="Kenya"/>
    <s v="v23.2"/>
    <s v="Gavi 6.0"/>
    <n v="1204484.9124"/>
    <n v="260550"/>
    <n v="1.2044849124000001"/>
    <n v="0.26055"/>
    <s v="Guaranteed"/>
  </r>
  <r>
    <s v="Vaccine"/>
    <s v="Routine"/>
    <x v="0"/>
    <n v="2027"/>
    <s v="Kenya"/>
    <s v="v23.2"/>
    <s v="Gavi 6.0"/>
    <n v="1235310.0026"/>
    <n v="267217.97636999999"/>
    <n v="1.2353100025999999"/>
    <n v="0.26721797637"/>
    <s v="Guaranteed"/>
  </r>
  <r>
    <s v="Vaccine"/>
    <s v="Routine"/>
    <x v="0"/>
    <n v="2026"/>
    <s v="Kyrgyzstan"/>
    <s v="v23.2"/>
    <s v="Gavi 6.0"/>
    <n v="173996.2622"/>
    <n v="37638.268105263203"/>
    <n v="0.1739962622"/>
    <n v="3.7638268105263203E-2"/>
    <s v="Guaranteed"/>
  </r>
  <r>
    <s v="Vaccine"/>
    <s v="Routine"/>
    <x v="0"/>
    <n v="2027"/>
    <s v="Kyrgyzstan"/>
    <s v="v23.2"/>
    <s v="Gavi 6.0"/>
    <n v="155996.95430000001"/>
    <n v="33744.720240000002"/>
    <n v="0.15599695430000002"/>
    <n v="3.3744720240000005E-2"/>
    <s v="Guaranteed"/>
  </r>
  <r>
    <s v="Vaccine"/>
    <s v="Routine"/>
    <x v="0"/>
    <n v="2026"/>
    <s v="Liberia"/>
    <s v="v23.2"/>
    <s v="Gavi 6.0"/>
    <n v="184509.5582"/>
    <n v="39890"/>
    <n v="0.18450955820000001"/>
    <n v="3.9890000000000002E-2"/>
    <s v="Guaranteed"/>
  </r>
  <r>
    <s v="Vaccine"/>
    <s v="Routine"/>
    <x v="0"/>
    <n v="2027"/>
    <s v="Liberia"/>
    <s v="v23.2"/>
    <s v="Gavi 6.0"/>
    <n v="233448.17430000001"/>
    <n v="50469.817499999997"/>
    <n v="0.23344817430000001"/>
    <n v="5.04698175E-2"/>
    <s v="Guaranteed"/>
  </r>
  <r>
    <s v="Vaccine"/>
    <s v="Routine"/>
    <x v="0"/>
    <n v="2026"/>
    <s v="Lesotho"/>
    <s v="v23.2"/>
    <s v="Gavi 6.0"/>
    <n v="73595.854699999996"/>
    <n v="15920"/>
    <n v="7.3595854699999991E-2"/>
    <n v="1.592E-2"/>
    <s v="Guaranteed"/>
  </r>
  <r>
    <s v="Vaccine"/>
    <s v="Routine"/>
    <x v="0"/>
    <n v="2027"/>
    <s v="Lesotho"/>
    <s v="v23.2"/>
    <s v="Gavi 6.0"/>
    <n v="69915.412400000001"/>
    <n v="15123.8595789474"/>
    <n v="6.9915412400000002E-2"/>
    <n v="1.51238595789474E-2"/>
    <s v="Guaranteed"/>
  </r>
  <r>
    <s v="Vaccine"/>
    <s v="Routine"/>
    <x v="0"/>
    <n v="2027"/>
    <s v="Myanmar"/>
    <s v="v23.2"/>
    <s v="Gavi 6.0"/>
    <n v="1067766.4793"/>
    <n v="230975.542350784"/>
    <n v="1.0677664792999999"/>
    <n v="0.23097554235078399"/>
    <s v="Guaranteed"/>
  </r>
  <r>
    <s v="Vaccine"/>
    <s v="Routine"/>
    <x v="0"/>
    <n v="2026"/>
    <s v="Mauritania"/>
    <s v="v23.2"/>
    <s v="Gavi 6.0"/>
    <n v="34540.806700000001"/>
    <n v="7470"/>
    <n v="3.4540806700000003E-2"/>
    <n v="7.4700000000000001E-3"/>
    <s v="Guaranteed"/>
  </r>
  <r>
    <s v="Vaccine"/>
    <s v="Routine"/>
    <x v="0"/>
    <n v="2027"/>
    <s v="Mauritania"/>
    <s v="v23.2"/>
    <s v="Gavi 6.0"/>
    <n v="88201.923599999995"/>
    <n v="19075.073122336798"/>
    <n v="8.8201923599999996E-2"/>
    <n v="1.9075073122336798E-2"/>
    <s v="Guaranteed"/>
  </r>
  <r>
    <s v="Vaccine"/>
    <s v="Routine"/>
    <x v="0"/>
    <n v="2026"/>
    <s v="Malawi"/>
    <s v="v23.2"/>
    <s v="Gavi 6.0"/>
    <n v="925487.24719999998"/>
    <n v="200110"/>
    <n v="0.92548724719999997"/>
    <n v="0.20011000000000001"/>
    <s v="Guaranteed"/>
  </r>
  <r>
    <s v="Vaccine"/>
    <s v="Routine"/>
    <x v="0"/>
    <n v="2027"/>
    <s v="Malawi"/>
    <s v="v23.2"/>
    <s v="Gavi 6.0"/>
    <n v="748592.77540000004"/>
    <n v="161860.06170947399"/>
    <n v="0.74859277540000002"/>
    <n v="0.16186006170947398"/>
    <s v="Guaranteed"/>
  </r>
  <r>
    <s v="Vaccine"/>
    <s v="Routine"/>
    <x v="0"/>
    <n v="2026"/>
    <s v="Nigeria"/>
    <s v="v23.2"/>
    <s v="Gavi 6.0"/>
    <n v="2351091.6817000001"/>
    <n v="508580"/>
    <n v="2.3510916817000003"/>
    <n v="0.50858000000000003"/>
    <s v="Guaranteed"/>
  </r>
  <r>
    <s v="Vaccine"/>
    <s v="Routine"/>
    <x v="0"/>
    <n v="2027"/>
    <s v="Nigeria"/>
    <s v="v23.2"/>
    <s v="Gavi 6.0"/>
    <n v="989887.44880000001"/>
    <n v="448355.26403508801"/>
    <n v="0.98988744880000001"/>
    <n v="0.44835526403508802"/>
    <s v="Guaranteed"/>
  </r>
  <r>
    <s v="Vaccine"/>
    <s v="Routine"/>
    <x v="0"/>
    <n v="2026"/>
    <s v="Rwanda"/>
    <s v="v23.2"/>
    <s v="Gavi 6.0"/>
    <n v="655762.09739999997"/>
    <n v="141771.05249999999"/>
    <n v="0.65576209740000002"/>
    <n v="0.14177105249999999"/>
    <s v="Guaranteed"/>
  </r>
  <r>
    <s v="Vaccine"/>
    <s v="Routine"/>
    <x v="0"/>
    <n v="2027"/>
    <s v="Rwanda"/>
    <s v="v23.2"/>
    <s v="Gavi 6.0"/>
    <n v="669112.88809999998"/>
    <n v="144657.39749999999"/>
    <n v="0.66911288810000003"/>
    <n v="0.14465739749999998"/>
    <s v="Guaranteed"/>
  </r>
  <r>
    <s v="Vaccine"/>
    <s v="Routine"/>
    <x v="0"/>
    <n v="2026"/>
    <s v="Senegal"/>
    <s v="v23.2"/>
    <s v="Gavi 6.0"/>
    <n v="652292.42599999998"/>
    <n v="141085.137784071"/>
    <n v="0.65229242599999993"/>
    <n v="0.141085137784071"/>
    <s v="Guaranteed"/>
  </r>
  <r>
    <s v="Vaccine"/>
    <s v="Routine"/>
    <x v="0"/>
    <n v="2027"/>
    <s v="Senegal"/>
    <s v="v23.2"/>
    <s v="Gavi 6.0"/>
    <n v="637457.14800000004"/>
    <n v="137876.39710698"/>
    <n v="0.63745714800000008"/>
    <n v="0.13787639710697999"/>
    <s v="Guaranteed"/>
  </r>
  <r>
    <s v="Vaccine"/>
    <s v="Routine"/>
    <x v="0"/>
    <n v="2026"/>
    <s v="Solomon Islands"/>
    <s v="v23.2"/>
    <s v="Gavi 6.0"/>
    <n v="8958.8706999999995"/>
    <n v="1490"/>
    <n v="8.9588706999999997E-3"/>
    <n v="1.49E-3"/>
    <s v="Guaranteed"/>
  </r>
  <r>
    <s v="Vaccine"/>
    <s v="Routine"/>
    <x v="0"/>
    <n v="2027"/>
    <s v="Solomon Islands"/>
    <s v="v23.2"/>
    <s v="Gavi 6.0"/>
    <n v="7524.4754000000003"/>
    <n v="1627.4781250000001"/>
    <n v="7.5244754000000002E-3"/>
    <n v="1.6274781250000001E-3"/>
    <s v="Guaranteed"/>
  </r>
  <r>
    <s v="Vaccine"/>
    <s v="Routine"/>
    <x v="0"/>
    <n v="2026"/>
    <s v="Timor-Leste"/>
    <s v="v23.2"/>
    <s v="Gavi 6.0"/>
    <n v="18768.793300000001"/>
    <n v="4060"/>
    <n v="1.8768793300000003E-2"/>
    <n v="4.0600000000000002E-3"/>
    <s v="Guaranteed"/>
  </r>
  <r>
    <s v="Vaccine"/>
    <s v="Routine"/>
    <x v="0"/>
    <n v="2027"/>
    <s v="Timor-Leste"/>
    <s v="v23.2"/>
    <s v="Gavi 6.0"/>
    <n v="16954.233700000001"/>
    <n v="3667.4810526316001"/>
    <n v="1.6954233700000002E-2"/>
    <n v="3.6674810526316002E-3"/>
    <s v="Guaranteed"/>
  </r>
  <r>
    <s v="Vaccine"/>
    <s v="Routine"/>
    <x v="0"/>
    <n v="2026"/>
    <s v="Uganda"/>
    <s v="v23.2"/>
    <s v="Gavi 6.0"/>
    <n v="3801108.9863"/>
    <n v="822080"/>
    <n v="3.8011089863"/>
    <n v="0.82208000000000003"/>
    <s v="Guaranteed"/>
  </r>
  <r>
    <s v="Vaccine"/>
    <s v="Routine"/>
    <x v="0"/>
    <n v="2027"/>
    <s v="Uganda"/>
    <s v="v23.2"/>
    <s v="Gavi 6.0"/>
    <n v="3519432.6157"/>
    <n v="761153.72903225804"/>
    <n v="3.5194326157"/>
    <n v="0.76115372903225809"/>
    <s v="Guaranteed"/>
  </r>
  <r>
    <s v="Vaccine"/>
    <s v="Routine"/>
    <x v="0"/>
    <n v="2029"/>
    <s v="Côte d’Ivoire"/>
    <s v="v23.2"/>
    <s v="Gavi 6.0"/>
    <n v="80661.192599999995"/>
    <n v="26837.700871875"/>
    <n v="8.0661192600000001E-2"/>
    <n v="2.6837700871875002E-2"/>
    <s v="Guaranteed"/>
  </r>
  <r>
    <s v="Vaccine"/>
    <s v="Routine"/>
    <x v="0"/>
    <n v="2029"/>
    <s v="Cameroon"/>
    <s v="v23.2"/>
    <s v="Gavi 6.0"/>
    <n v="108964.8515"/>
    <n v="36254.932466656202"/>
    <n v="0.1089648515"/>
    <n v="3.6254932466656203E-2"/>
    <s v="Guaranteed"/>
  </r>
  <r>
    <s v="Vaccine"/>
    <s v="Routine"/>
    <x v="0"/>
    <n v="2030"/>
    <s v="Cameroon"/>
    <s v="v23.2"/>
    <s v="Gavi 6.0"/>
    <n v="103597.3858"/>
    <n v="34469.062031250003"/>
    <n v="0.1035973858"/>
    <n v="3.4469062031250004E-2"/>
    <s v="Guaranteed"/>
  </r>
  <r>
    <s v="Vaccine"/>
    <s v="Routine"/>
    <x v="0"/>
    <n v="2029"/>
    <s v="Gambia"/>
    <s v="v23.2"/>
    <s v="Gavi 6.0"/>
    <n v="88034.419299999994"/>
    <n v="29270.431250000001"/>
    <n v="8.80344193E-2"/>
    <n v="2.9270431250000003E-2"/>
    <s v="Guaranteed"/>
  </r>
  <r>
    <s v="Vaccine"/>
    <s v="Routine"/>
    <x v="0"/>
    <n v="2030"/>
    <s v="Gambia"/>
    <s v="v23.2"/>
    <s v="Gavi 6.0"/>
    <n v="102219.7975"/>
    <n v="33986.90625"/>
    <n v="0.1022197975"/>
    <n v="3.3986906249999997E-2"/>
    <s v="Guaranteed"/>
  </r>
  <r>
    <s v="Vaccine"/>
    <s v="Routine"/>
    <x v="0"/>
    <n v="2029"/>
    <s v="Liberia"/>
    <s v="v23.2"/>
    <s v="Gavi 6.0"/>
    <n v="154164.4865"/>
    <n v="51257.917500000003"/>
    <n v="0.1541644865"/>
    <n v="5.12579175E-2"/>
    <s v="Guaranteed"/>
  </r>
  <r>
    <s v="Vaccine"/>
    <s v="Routine"/>
    <x v="0"/>
    <n v="2030"/>
    <s v="Liberia"/>
    <s v="v23.2"/>
    <s v="Gavi 6.0"/>
    <n v="155602.68659999999"/>
    <n v="51736.102500000001"/>
    <n v="0.15560268659999998"/>
    <n v="5.1736102499999999E-2"/>
    <s v="Guaranteed"/>
  </r>
  <r>
    <s v="Vaccine"/>
    <s v="Routine"/>
    <x v="0"/>
    <n v="2030"/>
    <s v="Mozambique"/>
    <s v="v23.2"/>
    <s v="Gavi 6.0"/>
    <n v="1456896.781"/>
    <n v="484401.41249999998"/>
    <n v="1.456896781"/>
    <n v="0.48440141249999996"/>
    <s v="Guaranteed"/>
  </r>
  <r>
    <s v="Vaccine"/>
    <s v="Routine"/>
    <x v="0"/>
    <n v="2029"/>
    <s v="Mauritania"/>
    <s v="v23.2"/>
    <s v="Gavi 6.0"/>
    <n v="53779.991900000001"/>
    <n v="17890.619056099698"/>
    <n v="5.3779991900000004E-2"/>
    <n v="1.7890619056099698E-2"/>
    <s v="Guaranteed"/>
  </r>
  <r>
    <s v="Vaccine"/>
    <s v="Routine"/>
    <x v="0"/>
    <n v="2030"/>
    <s v="Mauritania"/>
    <s v="v23.2"/>
    <s v="Gavi 6.0"/>
    <n v="49539.256300000001"/>
    <n v="16479.882781185599"/>
    <n v="4.9539256300000001E-2"/>
    <n v="1.64798827811856E-2"/>
    <s v="Guaranteed"/>
  </r>
  <r>
    <s v="Vaccine"/>
    <s v="Routine"/>
    <x v="0"/>
    <n v="2030"/>
    <s v="Rwanda"/>
    <s v="v23.2"/>
    <s v="Gavi 6.0"/>
    <n v="443469.34980000003"/>
    <n v="147448.45499999999"/>
    <n v="0.44346934980000002"/>
    <n v="0.14744845499999998"/>
    <s v="Guaranteed"/>
  </r>
  <r>
    <s v="Vaccine"/>
    <s v="Routine"/>
    <x v="0"/>
    <n v="2030"/>
    <s v="Senegal"/>
    <s v="v23.2"/>
    <s v="Gavi 6.0"/>
    <n v="365669.79100000003"/>
    <n v="121666.14639843701"/>
    <n v="0.36566979100000002"/>
    <n v="0.12166614639843701"/>
    <s v="Guaranteed"/>
  </r>
  <r>
    <s v="Vaccine"/>
    <s v="Routine"/>
    <x v="0"/>
    <n v="2029"/>
    <s v="Solomon Islands"/>
    <s v="v23.2"/>
    <s v="Gavi 6.0"/>
    <n v="4841.4762000000001"/>
    <n v="1610.8625"/>
    <n v="4.8414762E-3"/>
    <n v="1.6108625E-3"/>
    <s v="Guaranteed"/>
  </r>
  <r>
    <s v="Vaccine"/>
    <s v="Routine"/>
    <x v="0"/>
    <n v="2030"/>
    <s v="Solomon Islands"/>
    <s v="v23.2"/>
    <s v="Gavi 6.0"/>
    <n v="4920.8406999999997"/>
    <n v="1637.26875"/>
    <n v="4.9208406999999999E-3"/>
    <n v="1.6372687499999999E-3"/>
    <s v="Guaranteed"/>
  </r>
  <r>
    <s v="Vaccine"/>
    <s v="Routine"/>
    <x v="0"/>
    <n v="2030"/>
    <s v="Sierra Leone"/>
    <s v="v23.2"/>
    <s v="Gavi 6.0"/>
    <n v="211224.16829999999"/>
    <n v="70229.604999999996"/>
    <n v="0.21122416829999999"/>
    <n v="7.0229605000000001E-2"/>
    <s v="Guaranteed"/>
  </r>
  <r>
    <s v="Vaccine"/>
    <s v="Routine"/>
    <x v="0"/>
    <n v="2029"/>
    <s v="Sao Tome and Principe"/>
    <s v="v23.2"/>
    <s v="Gavi 6.0"/>
    <n v="614.5829"/>
    <n v="204.41326530609999"/>
    <n v="6.145829E-4"/>
    <n v="2.0441326530609997E-4"/>
    <s v="Guaranteed"/>
  </r>
  <r>
    <s v="Vaccine"/>
    <s v="Routine"/>
    <x v="0"/>
    <n v="2030"/>
    <s v="Sao Tome and Principe"/>
    <s v="v23.2"/>
    <s v="Gavi 6.0"/>
    <n v="311.27210000000002"/>
    <n v="103.5306122449"/>
    <n v="3.112721E-4"/>
    <n v="1.0353061224489999E-4"/>
    <s v="Guaranteed"/>
  </r>
  <r>
    <s v="Vaccine"/>
    <s v="Routine"/>
    <x v="0"/>
    <n v="2029"/>
    <s v="Uganda"/>
    <s v="v23.2"/>
    <s v="Gavi 6.0"/>
    <n v="2219457.1642"/>
    <n v="738848.87302736705"/>
    <n v="2.2194571642000001"/>
    <n v="0.73884887302736701"/>
    <s v="Guaranteed"/>
  </r>
  <r>
    <s v="Vaccine"/>
    <s v="Routine"/>
    <x v="0"/>
    <n v="2030"/>
    <s v="Uganda"/>
    <s v="v23.2"/>
    <s v="Gavi 6.0"/>
    <n v="2222809.889"/>
    <n v="739964.98240362003"/>
    <n v="2.2228098890000001"/>
    <n v="0.73996498240362008"/>
    <s v="Guaranteed"/>
  </r>
  <r>
    <s v="Vaccine"/>
    <s v="Routine"/>
    <x v="0"/>
    <n v="2030"/>
    <s v="Zambia"/>
    <s v="v23.2"/>
    <s v="Gavi 6.0"/>
    <n v="265584.1948"/>
    <n v="88365.531749999995"/>
    <n v="0.26558419480000001"/>
    <n v="8.836553174999999E-2"/>
    <s v="Guaranteed"/>
  </r>
  <r>
    <s v="Vaccine"/>
    <s v="Routine"/>
    <x v="0"/>
    <n v="2029"/>
    <s v="Benin"/>
    <s v="v23.2"/>
    <s v="Gavi 6.0"/>
    <n v="189434.6201"/>
    <n v="63095.225642872698"/>
    <n v="0.18943462010000001"/>
    <n v="6.3095225642872704E-2"/>
    <s v="Guaranteed"/>
  </r>
  <r>
    <s v="Vaccine"/>
    <s v="Routine"/>
    <x v="0"/>
    <n v="2030"/>
    <s v="Benin"/>
    <s v="v23.2"/>
    <s v="Gavi 6.0"/>
    <n v="175330.3376"/>
    <n v="58397.494624319799"/>
    <n v="0.1753303376"/>
    <n v="5.8397494624319798E-2"/>
    <s v="Guaranteed"/>
  </r>
  <r>
    <s v="Vaccine"/>
    <s v="Routine"/>
    <x v="0"/>
    <n v="2029"/>
    <s v="Bangladesh"/>
    <s v="v23.2"/>
    <s v="Gavi 6.0"/>
    <n v="855030.99109999998"/>
    <n v="284786.24062499998"/>
    <n v="0.85503099110000003"/>
    <n v="0.28478624062499996"/>
    <s v="Guaranteed"/>
  </r>
  <r>
    <s v="Vaccine"/>
    <s v="Routine"/>
    <x v="0"/>
    <n v="2029"/>
    <s v="Cambodia"/>
    <s v="v23.2"/>
    <s v="Gavi 6.0"/>
    <n v="361310.46090000001"/>
    <n v="120342.126676945"/>
    <n v="0.36131046090000002"/>
    <n v="0.12034212667694501"/>
    <s v="Guaranteed"/>
  </r>
  <r>
    <s v="Vaccine"/>
    <s v="Routine"/>
    <x v="0"/>
    <n v="2030"/>
    <s v="Cambodia"/>
    <s v="v23.2"/>
    <s v="Gavi 6.0"/>
    <n v="330528.65139999997"/>
    <n v="110089.590939681"/>
    <n v="0.33052865139999998"/>
    <n v="0.110089590939681"/>
    <s v="Guaranteed"/>
  </r>
  <r>
    <s v="Vaccine"/>
    <s v="Routine"/>
    <x v="0"/>
    <n v="2028"/>
    <s v="Chad"/>
    <s v="v23.2"/>
    <s v="Gavi 6.0"/>
    <n v="454831.4241"/>
    <n v="151143.57377690301"/>
    <n v="0.45483142409999999"/>
    <n v="0.15114357377690302"/>
    <s v="Guaranteed"/>
  </r>
  <r>
    <s v="Vaccine"/>
    <s v="Routine"/>
    <x v="0"/>
    <n v="2029"/>
    <s v="Chad"/>
    <s v="v23.2"/>
    <s v="Gavi 6.0"/>
    <n v="468258.60810000001"/>
    <n v="155605.51828845701"/>
    <n v="0.46825860810000003"/>
    <n v="0.15560551828845701"/>
    <s v="Guaranteed"/>
  </r>
  <r>
    <s v="Vaccine"/>
    <s v="Routine"/>
    <x v="0"/>
    <n v="2030"/>
    <s v="Chad"/>
    <s v="v23.2"/>
    <s v="Gavi 6.0"/>
    <n v="480229.51439999999"/>
    <n v="159583.531818783"/>
    <n v="0.4802295144"/>
    <n v="0.15958353181878299"/>
    <s v="Guaranteed"/>
  </r>
  <r>
    <s v="Vaccine"/>
    <s v="Routine"/>
    <x v="0"/>
    <n v="2030"/>
    <s v="Afghanistan"/>
    <s v="v23.2"/>
    <s v="Gavi 6.0"/>
    <n v="853562.99029999995"/>
    <n v="283851.60421086999"/>
    <n v="0.85356299029999994"/>
    <n v="0.28385160421086997"/>
    <s v="Guaranteed"/>
  </r>
  <r>
    <s v="Vaccine"/>
    <s v="Routine"/>
    <x v="0"/>
    <n v="2029"/>
    <s v="Burkina Faso"/>
    <s v="v23.2"/>
    <s v="Gavi 6.0"/>
    <n v="1061092.9706999999"/>
    <n v="352865.51242105302"/>
    <n v="1.0610929706999999"/>
    <n v="0.35286551242105302"/>
    <s v="Guaranteed"/>
  </r>
  <r>
    <s v="Vaccine"/>
    <s v="Routine"/>
    <x v="0"/>
    <n v="2030"/>
    <s v="Burkina Faso"/>
    <s v="v23.2"/>
    <s v="Gavi 6.0"/>
    <n v="1057550.1114000001"/>
    <n v="351931.11915789498"/>
    <n v="1.0575501114000001"/>
    <n v="0.35193111915789499"/>
    <s v="Guaranteed"/>
  </r>
  <r>
    <s v="Vaccine"/>
    <s v="Routine"/>
    <x v="0"/>
    <n v="2029"/>
    <s v="Comoros"/>
    <s v="v23.2"/>
    <s v="Gavi 6.0"/>
    <n v="9916.0004000000008"/>
    <n v="3299.8427845245001"/>
    <n v="9.9160004000000013E-3"/>
    <n v="3.2998427845244999E-3"/>
    <s v="Guaranteed"/>
  </r>
  <r>
    <s v="Vaccine"/>
    <s v="Routine"/>
    <x v="0"/>
    <n v="2030"/>
    <s v="Comoros"/>
    <s v="v23.2"/>
    <s v="Gavi 6.0"/>
    <n v="7624.5708999999997"/>
    <n v="2537.3017543411001"/>
    <n v="7.6245708999999997E-3"/>
    <n v="2.5373017543411001E-3"/>
    <s v="Guaranteed"/>
  </r>
  <r>
    <s v="Vaccine"/>
    <s v="Routine"/>
    <x v="0"/>
    <n v="2029"/>
    <s v="Djibouti"/>
    <s v="v23.2"/>
    <s v="Gavi 6.0"/>
    <n v="10039.6019"/>
    <n v="3340.9748547367999"/>
    <n v="1.00396019E-2"/>
    <n v="3.3409748547368E-3"/>
    <s v="Guaranteed"/>
  </r>
  <r>
    <s v="Vaccine"/>
    <s v="Routine"/>
    <x v="0"/>
    <n v="2029"/>
    <s v="Eritrea"/>
    <s v="v23.2"/>
    <s v="Gavi 6.0"/>
    <n v="131473.6735"/>
    <n v="43721.4517894737"/>
    <n v="0.1314736735"/>
    <n v="4.3721451789473703E-2"/>
    <s v="Guaranteed"/>
  </r>
  <r>
    <s v="Vaccine"/>
    <s v="Routine"/>
    <x v="0"/>
    <n v="2030"/>
    <s v="Eritrea"/>
    <s v="v23.2"/>
    <s v="Gavi 6.0"/>
    <n v="133482.15119999999"/>
    <n v="44389.369263157903"/>
    <n v="0.13348215119999998"/>
    <n v="4.4389369263157903E-2"/>
    <s v="Guaranteed"/>
  </r>
  <r>
    <s v="Vaccine"/>
    <s v="Routine"/>
    <x v="0"/>
    <n v="2029"/>
    <s v="Ethiopia"/>
    <s v="v23.2"/>
    <s v="Gavi 6.0"/>
    <n v="3193120.3851000001"/>
    <n v="1061869.3102484201"/>
    <n v="3.1931203851000003"/>
    <n v="1.06186931024842"/>
    <s v="Guaranteed"/>
  </r>
  <r>
    <s v="Vaccine"/>
    <s v="Routine"/>
    <x v="0"/>
    <n v="2030"/>
    <s v="Ethiopia"/>
    <s v="v23.2"/>
    <s v="Gavi 6.0"/>
    <n v="3279094.6634"/>
    <n v="1091215.8603789499"/>
    <n v="3.2790946634"/>
    <n v="1.0912158603789499"/>
    <s v="Guaranteed"/>
  </r>
  <r>
    <s v="Vaccine"/>
    <s v="Routine"/>
    <x v="0"/>
    <n v="2029"/>
    <s v="Ghana"/>
    <s v="v23.2"/>
    <s v="Gavi 6.0"/>
    <n v="169852.622"/>
    <n v="56523.4901915644"/>
    <n v="0.16985262200000001"/>
    <n v="5.6523490191564399E-2"/>
    <s v="Guaranteed"/>
  </r>
  <r>
    <s v="Vaccine"/>
    <s v="Routine"/>
    <x v="0"/>
    <n v="2029"/>
    <s v="Kenya"/>
    <s v="v23.2"/>
    <s v="Gavi 6.0"/>
    <n v="420425.79029999999"/>
    <n v="139909.13271999999"/>
    <n v="0.42042579029999999"/>
    <n v="0.13990913272"/>
    <s v="Guaranteed"/>
  </r>
  <r>
    <s v="Vaccine"/>
    <s v="Routine"/>
    <x v="0"/>
    <n v="2030"/>
    <s v="Kenya"/>
    <s v="v23.2"/>
    <s v="Gavi 6.0"/>
    <n v="400270.73619999998"/>
    <n v="133201.94157894701"/>
    <n v="0.40027073619999998"/>
    <n v="0.13320194157894702"/>
    <s v="Guaranteed"/>
  </r>
  <r>
    <s v="Vaccine"/>
    <s v="Routine"/>
    <x v="0"/>
    <n v="2029"/>
    <s v="Kyrgyzstan"/>
    <s v="v23.2"/>
    <s v="Gavi 6.0"/>
    <n v="69423.2978"/>
    <n v="23102.6583410526"/>
    <n v="6.9423297800000006E-2"/>
    <n v="2.3102658341052601E-2"/>
    <s v="Guaranteed"/>
  </r>
  <r>
    <s v="Vaccine"/>
    <s v="Routine"/>
    <x v="0"/>
    <n v="2030"/>
    <s v="Kyrgyzstan"/>
    <s v="v23.2"/>
    <s v="Gavi 6.0"/>
    <n v="57660.323499999999"/>
    <n v="19188.180277894699"/>
    <n v="5.7660323499999999E-2"/>
    <n v="1.9188180277894699E-2"/>
    <s v="Guaranteed"/>
  </r>
  <r>
    <s v="Vaccine"/>
    <s v="Routine"/>
    <x v="0"/>
    <n v="2029"/>
    <s v="Lao People’s Democratic Republic"/>
    <s v="v23.2"/>
    <s v="Gavi 6.0"/>
    <n v="46115.2045"/>
    <n v="15346.2"/>
    <n v="4.61152045E-2"/>
    <n v="1.5346200000000001E-2"/>
    <s v="Guaranteed"/>
  </r>
  <r>
    <s v="Vaccine"/>
    <s v="Routine"/>
    <x v="0"/>
    <n v="2030"/>
    <s v="Lao People’s Democratic Republic"/>
    <s v="v23.2"/>
    <s v="Gavi 6.0"/>
    <n v="45808.695299999999"/>
    <n v="15244.2"/>
    <n v="4.5808695300000001E-2"/>
    <n v="1.5244200000000001E-2"/>
    <s v="Guaranteed"/>
  </r>
  <r>
    <s v="Vaccine"/>
    <s v="Routine"/>
    <x v="0"/>
    <n v="2029"/>
    <s v="Lesotho"/>
    <s v="v23.2"/>
    <s v="Gavi 6.0"/>
    <n v="38938.629300000001"/>
    <n v="12957.9820631579"/>
    <n v="3.8938629299999999E-2"/>
    <n v="1.2957982063157901E-2"/>
    <s v="Guaranteed"/>
  </r>
  <r>
    <s v="Vaccine"/>
    <s v="Routine"/>
    <x v="0"/>
    <n v="2030"/>
    <s v="Lesotho"/>
    <s v="v23.2"/>
    <s v="Gavi 6.0"/>
    <n v="35470.582600000002"/>
    <n v="11803.8868315789"/>
    <n v="3.5470582600000002E-2"/>
    <n v="1.1803886831578901E-2"/>
    <s v="Guaranteed"/>
  </r>
  <r>
    <s v="Vaccine"/>
    <s v="Routine"/>
    <x v="0"/>
    <n v="2030"/>
    <s v="Mali"/>
    <s v="v23.2"/>
    <s v="Gavi 6.0"/>
    <n v="512908.46620000002"/>
    <n v="170685.48203802499"/>
    <n v="0.51290846620000008"/>
    <n v="0.170685482038025"/>
    <s v="Guaranteed"/>
  </r>
  <r>
    <s v="Vaccine"/>
    <s v="Routine"/>
    <x v="0"/>
    <n v="2029"/>
    <s v="Myanmar"/>
    <s v="v23.2"/>
    <s v="Gavi 6.0"/>
    <n v="606304.83860000002"/>
    <n v="201765.89090147399"/>
    <n v="0.60630483860000006"/>
    <n v="0.20176589090147398"/>
    <s v="Guaranteed"/>
  </r>
  <r>
    <s v="Vaccine"/>
    <s v="Routine"/>
    <x v="0"/>
    <n v="2030"/>
    <s v="Myanmar"/>
    <s v="v23.2"/>
    <s v="Gavi 6.0"/>
    <n v="554023.93169999996"/>
    <n v="184367.87082912601"/>
    <n v="0.55402393169999997"/>
    <n v="0.18436787082912601"/>
    <s v="Guaranteed"/>
  </r>
  <r>
    <s v="Vaccine"/>
    <s v="Routine"/>
    <x v="0"/>
    <n v="2030"/>
    <s v="Malawi"/>
    <s v="v23.2"/>
    <s v="Gavi 6.0"/>
    <n v="530574.12109999999"/>
    <n v="176441.94644210499"/>
    <n v="0.53057412110000002"/>
    <n v="0.17644194644210498"/>
    <s v="Guaranteed"/>
  </r>
  <r>
    <s v="Vaccine"/>
    <s v="Routine"/>
    <x v="0"/>
    <n v="2030"/>
    <s v="Nigeria"/>
    <s v="v23.2"/>
    <s v="Gavi 6.0"/>
    <n v="1448777.9938000001"/>
    <n v="482123.78333333298"/>
    <n v="1.4487779938000001"/>
    <n v="0.482123783333333"/>
    <s v="Guaranteed"/>
  </r>
  <r>
    <s v="Vaccine"/>
    <s v="Routine"/>
    <x v="0"/>
    <n v="2030"/>
    <s v="Tajikistan"/>
    <s v="v23.2"/>
    <s v="Gavi 6.0"/>
    <n v="224762.4529"/>
    <n v="74796.3625999707"/>
    <n v="0.22476245289999999"/>
    <n v="7.4796362599970703E-2"/>
    <s v="Guaranteed"/>
  </r>
  <r>
    <s v="Vaccine"/>
    <s v="Routine"/>
    <x v="0"/>
    <n v="2029"/>
    <s v="Timor-Leste"/>
    <s v="v23.2"/>
    <s v="Gavi 6.0"/>
    <n v="10481.1898"/>
    <n v="3487.9263157895002"/>
    <n v="1.04811898E-2"/>
    <n v="3.4879263157895002E-3"/>
    <s v="Guaranteed"/>
  </r>
  <r>
    <s v="Vaccine"/>
    <s v="Routine"/>
    <x v="0"/>
    <n v="2030"/>
    <s v="Timor-Leste"/>
    <s v="v23.2"/>
    <s v="Gavi 6.0"/>
    <n v="9958.2263999999996"/>
    <n v="3313.8947368421"/>
    <n v="9.958226399999999E-3"/>
    <n v="3.3138947368420999E-3"/>
    <s v="Guaranteed"/>
  </r>
  <r>
    <s v="Vaccine"/>
    <s v="Routine"/>
    <x v="0"/>
    <n v="2030"/>
    <s v="United Republic of Tanzania"/>
    <s v="v23.2"/>
    <s v="Gavi 6.0"/>
    <n v="1633089.3389999999"/>
    <n v="543458.84185894695"/>
    <n v="1.6330893389999999"/>
    <n v="0.54345884185894699"/>
    <s v="Guaranteed"/>
  </r>
  <r>
    <s v="Vaccine"/>
    <s v="Routine"/>
    <x v="0"/>
    <n v="2029"/>
    <s v="Angola"/>
    <s v="v23.2"/>
    <s v="Gavi 6.0"/>
    <n v="196427.34890000001"/>
    <n v="65367.017594652301"/>
    <n v="0.19642734890000002"/>
    <n v="6.5367017594652299E-2"/>
    <s v="Guaranteed"/>
  </r>
  <r>
    <s v="Vaccine"/>
    <s v="Routine"/>
    <x v="0"/>
    <n v="2026"/>
    <s v="Angola"/>
    <s v="v23.2"/>
    <s v="Gavi 6.0"/>
    <n v="373991.81270000001"/>
    <n v="123721.38"/>
    <n v="0.37399181270000004"/>
    <n v="0.12372138000000001"/>
    <s v="Guaranteed"/>
  </r>
  <r>
    <s v="Vaccine"/>
    <s v="Routine"/>
    <x v="0"/>
    <n v="2027"/>
    <s v="Angola"/>
    <s v="v23.2"/>
    <s v="Gavi 6.0"/>
    <n v="265287.76130000001"/>
    <n v="87760.6589473684"/>
    <n v="0.26528776130000004"/>
    <n v="8.7760658947368397E-2"/>
    <s v="Guaranteed"/>
  </r>
  <r>
    <s v="Vaccine"/>
    <s v="Routine"/>
    <x v="0"/>
    <n v="2028"/>
    <s v="Angola"/>
    <s v="v23.2"/>
    <s v="Gavi 6.0"/>
    <n v="268250.39789999998"/>
    <n v="89268.264210526293"/>
    <n v="0.26825039789999999"/>
    <n v="8.9268264210526291E-2"/>
    <s v="Guaranteed"/>
  </r>
  <r>
    <s v="Vaccine"/>
    <s v="Routine"/>
    <x v="0"/>
    <n v="2030"/>
    <s v="Angola"/>
    <s v="v23.2"/>
    <s v="Gavi 6.0"/>
    <n v="200981.742"/>
    <n v="66882.626785219603"/>
    <n v="0.20098174199999999"/>
    <n v="6.6882626785219598E-2"/>
    <s v="Guaranteed"/>
  </r>
  <r>
    <s v="Vaccine"/>
    <s v="Routine"/>
    <x v="0"/>
    <n v="2026"/>
    <s v="Madagascar"/>
    <s v="v23.2"/>
    <s v="Gavi 6.0"/>
    <n v="1132742.2849999999"/>
    <n v="374467.91519999999"/>
    <n v="1.132742285"/>
    <n v="0.3744679152"/>
    <s v="Guaranteed"/>
  </r>
  <r>
    <s v="Vaccine"/>
    <s v="Routine"/>
    <x v="0"/>
    <n v="2027"/>
    <s v="Madagascar"/>
    <s v="v23.2"/>
    <s v="Gavi 6.0"/>
    <n v="1049836.0171999999"/>
    <n v="347060.32421052601"/>
    <n v="1.0498360171999999"/>
    <n v="0.34706032421052602"/>
    <s v="Guaranteed"/>
  </r>
  <r>
    <s v="Vaccine"/>
    <s v="Routine"/>
    <x v="0"/>
    <n v="2028"/>
    <s v="Madagascar"/>
    <s v="v23.2"/>
    <s v="Gavi 6.0"/>
    <n v="1030266.1598"/>
    <n v="342614.08421052602"/>
    <n v="1.0302661598"/>
    <n v="0.34261408421052603"/>
    <s v="Guaranteed"/>
  </r>
  <r>
    <s v="Vaccine"/>
    <s v="Routine"/>
    <x v="0"/>
    <n v="2026"/>
    <s v="Burundi"/>
    <s v="v23.2"/>
    <s v="Gavi 6.0"/>
    <n v="412838.08750000002"/>
    <n v="136480"/>
    <n v="0.41283808750000001"/>
    <n v="0.13647999999999999"/>
    <s v="Guaranteed"/>
  </r>
  <r>
    <s v="Vaccine"/>
    <s v="Routine"/>
    <x v="0"/>
    <n v="2027"/>
    <s v="Burundi"/>
    <s v="v23.2"/>
    <s v="Gavi 6.0"/>
    <n v="395606.6679"/>
    <n v="130781.737492995"/>
    <n v="0.39560666789999999"/>
    <n v="0.13078173749299501"/>
    <s v="Guaranteed"/>
  </r>
  <r>
    <s v="Vaccine"/>
    <s v="Routine"/>
    <x v="0"/>
    <n v="2028"/>
    <s v="Burundi"/>
    <s v="v23.2"/>
    <s v="Gavi 6.0"/>
    <n v="396432.91560000001"/>
    <n v="131833.409283844"/>
    <n v="0.39643291559999999"/>
    <n v="0.13183340928384399"/>
    <s v="Guaranteed"/>
  </r>
  <r>
    <s v="Vaccine"/>
    <s v="Routine"/>
    <x v="0"/>
    <n v="2029"/>
    <s v="Burundi"/>
    <s v="v23.2"/>
    <s v="Gavi 6.0"/>
    <n v="401910.74060000002"/>
    <n v="133655.055064421"/>
    <n v="0.40191074060000004"/>
    <n v="0.13365505506442099"/>
    <s v="Guaranteed"/>
  </r>
  <r>
    <s v="Vaccine"/>
    <s v="Routine"/>
    <x v="0"/>
    <n v="2030"/>
    <s v="Burundi"/>
    <s v="v23.2"/>
    <s v="Gavi 6.0"/>
    <n v="404593.4718"/>
    <n v="134547.19490467"/>
    <n v="0.40459347179999999"/>
    <n v="0.13454719490467001"/>
    <s v="Guaranteed"/>
  </r>
  <r>
    <s v="Vaccine"/>
    <s v="Routine"/>
    <x v="0"/>
    <n v="2028"/>
    <s v="Central African Republic"/>
    <s v="v23.2"/>
    <s v="Gavi 6.0"/>
    <n v="127504.8685"/>
    <n v="42401.629252685503"/>
    <n v="0.12750486850000001"/>
    <n v="4.2401629252685501E-2"/>
    <s v="Guaranteed"/>
  </r>
  <r>
    <s v="Vaccine"/>
    <s v="Routine"/>
    <x v="0"/>
    <n v="2029"/>
    <s v="Central African Republic"/>
    <s v="v23.2"/>
    <s v="Gavi 6.0"/>
    <n v="132591.55720000001"/>
    <n v="44093.203006016898"/>
    <n v="0.13259155720000002"/>
    <n v="4.40932030060169E-2"/>
    <s v="Guaranteed"/>
  </r>
  <r>
    <s v="Vaccine"/>
    <s v="Routine"/>
    <x v="0"/>
    <n v="2030"/>
    <s v="Central African Republic"/>
    <s v="v23.2"/>
    <s v="Gavi 6.0"/>
    <n v="139303.65539999999"/>
    <n v="46325.305231981103"/>
    <n v="0.13930365539999998"/>
    <n v="4.6325305231981105E-2"/>
    <s v="Guaranteed"/>
  </r>
  <r>
    <s v="Vaccine"/>
    <s v="Routine"/>
    <x v="0"/>
    <n v="2029"/>
    <s v="Congo, the Democratic Republic of the"/>
    <s v="v23.2"/>
    <s v="Gavi 6.0"/>
    <n v="4113827.1493000002"/>
    <n v="1368049.51604945"/>
    <n v="4.1138271493000005"/>
    <n v="1.3680495160494501"/>
    <s v="Guaranteed"/>
  </r>
  <r>
    <s v="Vaccine"/>
    <s v="Routine"/>
    <x v="0"/>
    <n v="2030"/>
    <s v="Congo, the Democratic Republic of the"/>
    <s v="v23.2"/>
    <s v="Gavi 6.0"/>
    <n v="4230918.3324999996"/>
    <n v="1406988.0836399901"/>
    <n v="4.2309183324999999"/>
    <n v="1.4069880836399902"/>
    <s v="Guaranteed"/>
  </r>
  <r>
    <s v="Vaccine"/>
    <s v="Routine"/>
    <x v="0"/>
    <n v="2029"/>
    <s v="Congo"/>
    <s v="v23.2"/>
    <s v="Gavi 6.0"/>
    <n v="67631.291299999997"/>
    <n v="22506.315106578899"/>
    <n v="6.7631291299999993E-2"/>
    <n v="2.2506315106578897E-2"/>
    <s v="Guaranteed"/>
  </r>
  <r>
    <s v="Vaccine"/>
    <s v="Routine"/>
    <x v="0"/>
    <n v="2030"/>
    <s v="Congo"/>
    <s v="v23.2"/>
    <s v="Gavi 6.0"/>
    <n v="45754.160199999998"/>
    <n v="15226.0518368421"/>
    <n v="4.5754160199999998E-2"/>
    <n v="1.52260518368421E-2"/>
    <s v="Guaranteed"/>
  </r>
  <r>
    <s v="Vaccine"/>
    <s v="Routine"/>
    <x v="0"/>
    <n v="2029"/>
    <s v="Guinea"/>
    <s v="v23.2"/>
    <s v="Gavi 6.0"/>
    <n v="271783.70779999997"/>
    <n v="90444.077703131901"/>
    <n v="0.2717837078"/>
    <n v="9.0444077703131898E-2"/>
    <s v="Guaranteed"/>
  </r>
  <r>
    <s v="Vaccine"/>
    <s v="Routine"/>
    <x v="0"/>
    <n v="2030"/>
    <s v="Guinea"/>
    <s v="v23.2"/>
    <s v="Gavi 6.0"/>
    <n v="218386.9031"/>
    <n v="72674.709574727603"/>
    <n v="0.2183869031"/>
    <n v="7.2674709574727603E-2"/>
    <s v="Guaranteed"/>
  </r>
  <r>
    <s v="Vaccine"/>
    <s v="Routine"/>
    <x v="0"/>
    <n v="2027"/>
    <s v="Guinea-Bissau"/>
    <s v="v23.2"/>
    <s v="Gavi 6.0"/>
    <n v="49430.729599999999"/>
    <n v="16341.071145709"/>
    <n v="4.9430729600000001E-2"/>
    <n v="1.6341071145708999E-2"/>
    <s v="Guaranteed"/>
  </r>
  <r>
    <s v="Vaccine"/>
    <s v="Routine"/>
    <x v="0"/>
    <n v="2028"/>
    <s v="Guinea-Bissau"/>
    <s v="v23.2"/>
    <s v="Gavi 6.0"/>
    <n v="49657.659299999999"/>
    <n v="16513.6099078519"/>
    <n v="4.9657659299999997E-2"/>
    <n v="1.65136099078519E-2"/>
    <s v="Guaranteed"/>
  </r>
  <r>
    <s v="Vaccine"/>
    <s v="Routine"/>
    <x v="0"/>
    <n v="2029"/>
    <s v="Guinea-Bissau"/>
    <s v="v23.2"/>
    <s v="Gavi 6.0"/>
    <n v="50184.569900000002"/>
    <n v="16700.401872085"/>
    <n v="5.0184569900000003E-2"/>
    <n v="1.6700401872085002E-2"/>
    <s v="Guaranteed"/>
  </r>
  <r>
    <s v="Vaccine"/>
    <s v="Routine"/>
    <x v="0"/>
    <n v="2030"/>
    <s v="Guinea-Bissau"/>
    <s v="v23.2"/>
    <s v="Gavi 6.0"/>
    <n v="46143.0501"/>
    <n v="15355.4664640641"/>
    <n v="4.6143050099999999E-2"/>
    <n v="1.53554664640641E-2"/>
    <s v="Guaranteed"/>
  </r>
  <r>
    <s v="Vaccine"/>
    <s v="Routine"/>
    <x v="0"/>
    <n v="2028"/>
    <s v="Haiti"/>
    <s v="v23.2"/>
    <s v="Gavi 6.0"/>
    <n v="227149.35440000001"/>
    <n v="75590.674773530904"/>
    <n v="0.2271493544"/>
    <n v="7.5590674773530903E-2"/>
    <s v="Guaranteed"/>
  </r>
  <r>
    <s v="Vaccine"/>
    <s v="Routine"/>
    <x v="0"/>
    <n v="2029"/>
    <s v="Haiti"/>
    <s v="v23.2"/>
    <s v="Gavi 6.0"/>
    <n v="217411.18280000001"/>
    <n v="72350.009767331299"/>
    <n v="0.21741118280000002"/>
    <n v="7.2350009767331303E-2"/>
    <s v="Guaranteed"/>
  </r>
  <r>
    <s v="Vaccine"/>
    <s v="Routine"/>
    <x v="0"/>
    <n v="2030"/>
    <s v="Haiti"/>
    <s v="v23.2"/>
    <s v="Gavi 6.0"/>
    <n v="206438.9889"/>
    <n v="68698.687309523506"/>
    <n v="0.20643898890000001"/>
    <n v="6.8698687309523512E-2"/>
    <s v="Guaranteed"/>
  </r>
  <r>
    <s v="Vaccine"/>
    <s v="Routine"/>
    <x v="0"/>
    <n v="2029"/>
    <s v="Madagascar"/>
    <s v="v23.2"/>
    <s v="Gavi 6.0"/>
    <n v="846761.36340000003"/>
    <n v="281589.72929384199"/>
    <n v="0.84676136340000008"/>
    <n v="0.28158972929384196"/>
    <s v="Guaranteed"/>
  </r>
  <r>
    <s v="Vaccine"/>
    <s v="Routine"/>
    <x v="0"/>
    <n v="2030"/>
    <s v="Madagascar"/>
    <s v="v23.2"/>
    <s v="Gavi 6.0"/>
    <n v="859292.35149999999"/>
    <n v="285756.898123055"/>
    <n v="0.85929235149999994"/>
    <n v="0.28575689812305499"/>
    <s v="Guaranteed"/>
  </r>
  <r>
    <s v="Vaccine"/>
    <s v="Routine"/>
    <x v="0"/>
    <n v="2030"/>
    <s v="Niger"/>
    <s v="v23.2"/>
    <s v="Gavi 6.0"/>
    <n v="722169.06579999998"/>
    <n v="240156.67286091499"/>
    <n v="0.72216906579999995"/>
    <n v="0.24015667286091499"/>
    <s v="Guaranteed"/>
  </r>
  <r>
    <s v="Vaccine"/>
    <s v="Routine"/>
    <x v="0"/>
    <n v="2026"/>
    <s v="Nepal"/>
    <s v="v23.2"/>
    <s v="Gavi 6.0"/>
    <n v="587890.55379999999"/>
    <n v="194480"/>
    <n v="0.58789055379999999"/>
    <n v="0.19447999999999999"/>
    <s v="Guaranteed"/>
  </r>
  <r>
    <s v="Vaccine"/>
    <s v="Routine"/>
    <x v="0"/>
    <n v="2027"/>
    <s v="Nepal"/>
    <s v="v23.2"/>
    <s v="Gavi 6.0"/>
    <n v="763917.78870000003"/>
    <n v="252713.98946034699"/>
    <n v="0.76391778870000004"/>
    <n v="0.25271398946034701"/>
    <s v="Guaranteed"/>
  </r>
  <r>
    <s v="Vaccine"/>
    <s v="Routine"/>
    <x v="0"/>
    <n v="2028"/>
    <s v="Nepal"/>
    <s v="v23.2"/>
    <s v="Gavi 6.0"/>
    <n v="706488.82279999997"/>
    <n v="235105.078624266"/>
    <n v="0.70648882279999992"/>
    <n v="0.235105078624266"/>
    <s v="Guaranteed"/>
  </r>
  <r>
    <s v="Vaccine"/>
    <s v="Routine"/>
    <x v="0"/>
    <n v="2029"/>
    <s v="Nepal"/>
    <s v="v23.2"/>
    <s v="Gavi 6.0"/>
    <n v="657643.62300000002"/>
    <n v="218850.39182235301"/>
    <n v="0.65764362300000001"/>
    <n v="0.218850391822353"/>
    <s v="Guaranteed"/>
  </r>
  <r>
    <s v="Vaccine"/>
    <s v="Routine"/>
    <x v="0"/>
    <n v="2030"/>
    <s v="Nepal"/>
    <s v="v23.2"/>
    <s v="Gavi 6.0"/>
    <n v="600641.05310000002"/>
    <n v="199881.098553491"/>
    <n v="0.60064105310000004"/>
    <n v="0.19988109855349101"/>
    <s v="Guaranteed"/>
  </r>
  <r>
    <s v="Vaccine"/>
    <s v="Routine"/>
    <x v="0"/>
    <n v="2027"/>
    <s v="Pakistan"/>
    <s v="v23.2"/>
    <s v="Gavi 6.0"/>
    <n v="3456614.0422"/>
    <n v="1143493.10562053"/>
    <n v="3.4566140422"/>
    <n v="1.14349310562053"/>
    <s v="Guaranteed"/>
  </r>
  <r>
    <s v="Vaccine"/>
    <s v="Routine"/>
    <x v="0"/>
    <n v="2028"/>
    <s v="Pakistan"/>
    <s v="v23.2"/>
    <s v="Gavi 6.0"/>
    <n v="2900945.6650999999"/>
    <n v="965375.58224210504"/>
    <n v="2.9009456651000001"/>
    <n v="0.96537558224210507"/>
    <s v="Guaranteed"/>
  </r>
  <r>
    <s v="Vaccine"/>
    <s v="Routine"/>
    <x v="0"/>
    <n v="2029"/>
    <s v="Pakistan"/>
    <s v="v23.2"/>
    <s v="Gavi 6.0"/>
    <n v="2423852.1932999999"/>
    <n v="806608.60025789496"/>
    <n v="2.4238521933000001"/>
    <n v="0.80660860025789494"/>
    <s v="Guaranteed"/>
  </r>
  <r>
    <s v="Vaccine"/>
    <s v="Routine"/>
    <x v="0"/>
    <n v="2030"/>
    <s v="Pakistan"/>
    <s v="v23.2"/>
    <s v="Gavi 6.0"/>
    <n v="1868312.3389000001"/>
    <n v="621736.26126315806"/>
    <n v="1.8683123389"/>
    <n v="0.62173626126315806"/>
    <s v="Guaranteed"/>
  </r>
  <r>
    <s v="Vaccine"/>
    <s v="Routine"/>
    <x v="0"/>
    <n v="2027"/>
    <s v="Papua New Guinea"/>
    <s v="v23.2"/>
    <s v="Gavi 6.0"/>
    <n v="126532.14969999999"/>
    <n v="41858.4890021053"/>
    <n v="0.12653214969999999"/>
    <n v="4.1858489002105301E-2"/>
    <s v="Guaranteed"/>
  </r>
  <r>
    <s v="Vaccine"/>
    <s v="Routine"/>
    <x v="0"/>
    <n v="2028"/>
    <s v="Papua New Guinea"/>
    <s v="v23.2"/>
    <s v="Gavi 6.0"/>
    <n v="96376.022700000001"/>
    <n v="32071.975749473699"/>
    <n v="9.6376022700000008E-2"/>
    <n v="3.2071975749473701E-2"/>
    <s v="Guaranteed"/>
  </r>
  <r>
    <s v="Vaccine"/>
    <s v="Routine"/>
    <x v="0"/>
    <n v="2029"/>
    <s v="Papua New Guinea"/>
    <s v="v23.2"/>
    <s v="Gavi 6.0"/>
    <n v="65621.871299999999"/>
    <n v="21837.621082105299"/>
    <n v="6.5621871299999995E-2"/>
    <n v="2.18376210821053E-2"/>
    <s v="Guaranteed"/>
  </r>
  <r>
    <s v="Vaccine"/>
    <s v="Routine"/>
    <x v="0"/>
    <n v="2030"/>
    <s v="Papua New Guinea"/>
    <s v="v23.2"/>
    <s v="Gavi 6.0"/>
    <n v="33442.9732"/>
    <n v="11129.1397578947"/>
    <n v="3.3442973200000004E-2"/>
    <n v="1.11291397578947E-2"/>
    <s v="Guaranteed"/>
  </r>
  <r>
    <s v="Vaccine"/>
    <s v="Routine"/>
    <x v="0"/>
    <n v="2029"/>
    <s v="Togo"/>
    <s v="v23.2"/>
    <s v="Gavi 6.0"/>
    <n v="230231.79550000001"/>
    <n v="76616.448318206501"/>
    <n v="0.2302317955"/>
    <n v="7.6616448318206506E-2"/>
    <s v="Guaranteed"/>
  </r>
  <r>
    <s v="Vaccine"/>
    <s v="Routine"/>
    <x v="0"/>
    <n v="2030"/>
    <s v="Togo"/>
    <s v="v23.2"/>
    <s v="Gavi 6.0"/>
    <n v="248366.74729999999"/>
    <n v="82651.390601277904"/>
    <n v="0.2483667473"/>
    <n v="8.2651390601277908E-2"/>
    <s v="Guaranteed"/>
  </r>
  <r>
    <s v="Vaccine"/>
    <s v="Routine"/>
    <x v="0"/>
    <n v="2029"/>
    <s v="Yemen"/>
    <s v="v23.2"/>
    <s v="Gavi 6.0"/>
    <n v="839673.99659999995"/>
    <n v="279232.83184705302"/>
    <n v="0.83967399659999997"/>
    <n v="0.279232831847053"/>
    <s v="Guaranteed"/>
  </r>
  <r>
    <s v="Vaccine"/>
    <s v="Routine"/>
    <x v="0"/>
    <n v="2030"/>
    <s v="Yemen"/>
    <s v="v23.2"/>
    <s v="Gavi 6.0"/>
    <n v="870082.76619999995"/>
    <n v="289345.240827078"/>
    <n v="0.87008276619999991"/>
    <n v="0.28934524082707802"/>
    <s v="Guaranteed"/>
  </r>
  <r>
    <s v="Vaccine"/>
    <s v="Routine"/>
    <x v="0"/>
    <n v="2029"/>
    <s v="Zimbabwe"/>
    <s v="v23.2"/>
    <s v="Gavi 6.0"/>
    <n v="525874.67039999994"/>
    <n v="175000.37048421"/>
    <n v="0.52587467039999991"/>
    <n v="0.17500037048420999"/>
    <s v="Guaranteed"/>
  </r>
  <r>
    <s v="Vaccine"/>
    <s v="Routine"/>
    <x v="0"/>
    <n v="2030"/>
    <s v="Zimbabwe"/>
    <s v="v23.2"/>
    <s v="Gavi 6.0"/>
    <n v="510432.59360000002"/>
    <n v="169861.562105263"/>
    <n v="0.51043259360000004"/>
    <n v="0.16986156210526301"/>
    <s v="Guaranteed"/>
  </r>
  <r>
    <s v="Vaccine"/>
    <s v="Routine"/>
    <x v="0"/>
    <n v="2030"/>
    <s v="Republic of Syria"/>
    <s v="v23.2"/>
    <s v="Gavi 6.0"/>
    <n v="595333.05480000004"/>
    <n v="197977.47157894701"/>
    <n v="0.59533305480000009"/>
    <n v="0.19797747157894702"/>
    <s v="Guaranteed"/>
  </r>
  <r>
    <s v="Vaccine"/>
    <s v="Routine"/>
    <x v="12"/>
    <n v="2030"/>
    <s v="Zimbabwe"/>
    <s v="v23.2"/>
    <s v="Gavi 6.0"/>
    <n v="1309973.3455999999"/>
    <n v="1265674.7300104001"/>
    <n v="1.3099733455999998"/>
    <n v="1.2656747300104001"/>
    <s v="Guaranteed"/>
  </r>
  <r>
    <s v="Vaccine"/>
    <s v="Routine"/>
    <x v="12"/>
    <n v="2028"/>
    <s v="Zambia"/>
    <s v="v23.2"/>
    <s v="Gavi 6.0"/>
    <n v="1486879.4717999999"/>
    <n v="1436598.52349092"/>
    <n v="1.4868794718"/>
    <n v="1.43659852349092"/>
    <s v="Guaranteed"/>
  </r>
  <r>
    <s v="Vaccine"/>
    <s v="Routine"/>
    <x v="12"/>
    <n v="2029"/>
    <s v="Zambia"/>
    <s v="v23.2"/>
    <s v="Gavi 6.0"/>
    <n v="1364891.3766000001"/>
    <n v="1318735.6296111899"/>
    <n v="1.3648913766000002"/>
    <n v="1.3187356296111898"/>
    <s v="Guaranteed"/>
  </r>
  <r>
    <s v="Vaccine"/>
    <s v="Routine"/>
    <x v="12"/>
    <n v="2030"/>
    <s v="Zambia"/>
    <s v="v23.2"/>
    <s v="Gavi 6.0"/>
    <n v="1207239.2634000001"/>
    <n v="1166414.74720307"/>
    <n v="1.2072392634"/>
    <n v="1.1664147472030699"/>
    <s v="Guaranteed"/>
  </r>
  <r>
    <s v="Vaccine"/>
    <s v="Routine"/>
    <x v="12"/>
    <n v="2026"/>
    <s v="Timor-Leste"/>
    <s v="v23.2"/>
    <s v="Gavi 6.0"/>
    <n v="34501.5"/>
    <n v="33000"/>
    <n v="3.4501499999999997E-2"/>
    <n v="3.3000000000000002E-2"/>
    <s v="Guaranteed"/>
  </r>
  <r>
    <s v="Vaccine"/>
    <s v="Routine"/>
    <x v="12"/>
    <n v="2029"/>
    <s v="Sao Tome and Principe"/>
    <s v="v23.2"/>
    <s v="Gavi 6.0"/>
    <n v="1974.2559000000001"/>
    <n v="1907.4935875225001"/>
    <n v="1.9742559000000002E-3"/>
    <n v="1.9074935875225002E-3"/>
    <s v="Guaranteed"/>
  </r>
  <r>
    <s v="Vaccine"/>
    <s v="Routine"/>
    <x v="12"/>
    <n v="2030"/>
    <s v="Sao Tome and Principe"/>
    <s v="v23.2"/>
    <s v="Gavi 6.0"/>
    <n v="994.94579999999996"/>
    <n v="961.30028055139996"/>
    <n v="9.9494579999999996E-4"/>
    <n v="9.6130028055139993E-4"/>
    <s v="Guaranteed"/>
  </r>
  <r>
    <s v="Vaccine"/>
    <s v="Routine"/>
    <x v="12"/>
    <n v="2027"/>
    <s v="Timor-Leste"/>
    <s v="v23.2"/>
    <s v="Gavi 6.0"/>
    <n v="25619.396799999999"/>
    <n v="24504.4445433726"/>
    <n v="2.5619396799999999E-2"/>
    <n v="2.4504444543372601E-2"/>
    <s v="Guaranteed"/>
  </r>
  <r>
    <s v="Vaccine"/>
    <s v="Routine"/>
    <x v="12"/>
    <n v="2028"/>
    <s v="Timor-Leste"/>
    <s v="v23.2"/>
    <s v="Gavi 6.0"/>
    <n v="25795.736400000002"/>
    <n v="24923.416838330901"/>
    <n v="2.5795736400000002E-2"/>
    <n v="2.4923416838330902E-2"/>
    <s v="Guaranteed"/>
  </r>
  <r>
    <s v="Vaccine"/>
    <s v="Routine"/>
    <x v="12"/>
    <n v="2029"/>
    <s v="Timor-Leste"/>
    <s v="v23.2"/>
    <s v="Gavi 6.0"/>
    <n v="26177.6679"/>
    <n v="25292.432771022199"/>
    <n v="2.61776679E-2"/>
    <n v="2.5292432771022198E-2"/>
    <s v="Guaranteed"/>
  </r>
  <r>
    <s v="Vaccine"/>
    <s v="Routine"/>
    <x v="12"/>
    <n v="2030"/>
    <s v="Timor-Leste"/>
    <s v="v23.2"/>
    <s v="Gavi 6.0"/>
    <n v="26440.7104"/>
    <n v="25546.580122912499"/>
    <n v="2.6440710400000001E-2"/>
    <n v="2.5546580122912499E-2"/>
    <s v="Guaranteed"/>
  </r>
  <r>
    <s v="Vaccine"/>
    <s v="Routine"/>
    <x v="12"/>
    <n v="2027"/>
    <s v="Ghana"/>
    <s v="v23.2"/>
    <s v="Gavi 6.0"/>
    <n v="712733.68850000005"/>
    <n v="681715.62747047096"/>
    <n v="0.71273368850000007"/>
    <n v="0.68171562747047099"/>
    <s v="Guaranteed"/>
  </r>
  <r>
    <s v="Vaccine"/>
    <s v="Routine"/>
    <x v="12"/>
    <n v="2028"/>
    <s v="Ghana"/>
    <s v="v23.2"/>
    <s v="Gavi 6.0"/>
    <n v="474567.28450000001"/>
    <n v="458519.11547471798"/>
    <n v="0.47456728450000002"/>
    <n v="0.45851911547471796"/>
    <s v="Guaranteed"/>
  </r>
  <r>
    <s v="Vaccine"/>
    <s v="Routine"/>
    <x v="12"/>
    <n v="2029"/>
    <s v="Ghana"/>
    <s v="v23.2"/>
    <s v="Gavi 6.0"/>
    <n v="238740.9737"/>
    <n v="230667.60740456701"/>
    <n v="0.2387409737"/>
    <n v="0.23066760740456702"/>
    <s v="Guaranteed"/>
  </r>
  <r>
    <s v="Vaccine"/>
    <s v="Routine"/>
    <x v="12"/>
    <n v="2026"/>
    <s v="Zimbabwe"/>
    <s v="v23.2"/>
    <s v="Gavi 6.0"/>
    <n v="1691565.5625"/>
    <n v="1367375"/>
    <n v="1.6915655624999999"/>
    <n v="1.367375"/>
    <s v="Guaranteed"/>
  </r>
  <r>
    <s v="Vaccine"/>
    <s v="Routine"/>
    <x v="12"/>
    <n v="2027"/>
    <s v="Zimbabwe"/>
    <s v="v23.2"/>
    <s v="Gavi 6.0"/>
    <n v="1409815.9579"/>
    <n v="1348460.9831691401"/>
    <n v="1.4098159579"/>
    <n v="1.3484609831691401"/>
    <s v="Guaranteed"/>
  </r>
  <r>
    <s v="Vaccine"/>
    <s v="Routine"/>
    <x v="12"/>
    <n v="2028"/>
    <s v="Zimbabwe"/>
    <s v="v23.2"/>
    <s v="Gavi 6.0"/>
    <n v="1376785.777"/>
    <n v="1330227.8038995101"/>
    <n v="1.376785777"/>
    <n v="1.3302278038995101"/>
    <s v="Guaranteed"/>
  </r>
  <r>
    <s v="Vaccine"/>
    <s v="Routine"/>
    <x v="12"/>
    <n v="2029"/>
    <s v="Zimbabwe"/>
    <s v="v23.2"/>
    <s v="Gavi 6.0"/>
    <n v="1348067.3361"/>
    <n v="1302480.51801795"/>
    <n v="1.3480673361"/>
    <n v="1.30248051801795"/>
    <s v="Guaranteed"/>
  </r>
  <r>
    <s v="Vaccine"/>
    <s v="Routine"/>
    <x v="12"/>
    <n v="2026"/>
    <s v="Kenya"/>
    <s v="v23.2"/>
    <s v="Gavi 6.0"/>
    <n v="1720004.75"/>
    <n v="1642000"/>
    <n v="1.72000475"/>
    <n v="1.6419999999999999"/>
    <s v="Guaranteed"/>
  </r>
  <r>
    <s v="Vaccine"/>
    <s v="Routine"/>
    <x v="12"/>
    <n v="2027"/>
    <s v="Kenya"/>
    <s v="v23.2"/>
    <s v="Gavi 6.0"/>
    <n v="1205406.1331"/>
    <n v="1152947.0427095201"/>
    <n v="1.2054061330999999"/>
    <n v="1.1529470427095201"/>
    <s v="Guaranteed"/>
  </r>
  <r>
    <s v="Vaccine"/>
    <s v="Routine"/>
    <x v="12"/>
    <n v="2028"/>
    <s v="Kenya"/>
    <s v="v23.2"/>
    <s v="Gavi 6.0"/>
    <n v="1121951.1529999999"/>
    <n v="1084010.7758549999"/>
    <n v="1.1219511529999999"/>
    <n v="1.0840107758549999"/>
    <s v="Guaranteed"/>
  </r>
  <r>
    <s v="Vaccine"/>
    <s v="Routine"/>
    <x v="12"/>
    <n v="2029"/>
    <s v="Kenya"/>
    <s v="v23.2"/>
    <s v="Gavi 6.0"/>
    <n v="1137023.2955"/>
    <n v="1098573.2324033401"/>
    <n v="1.1370232954999999"/>
    <n v="1.0985732324033401"/>
    <s v="Guaranteed"/>
  </r>
  <r>
    <s v="Vaccine"/>
    <s v="Routine"/>
    <x v="12"/>
    <n v="2026"/>
    <s v="Benin"/>
    <s v="v23.2"/>
    <s v="Gavi 6.0"/>
    <n v="974667.375"/>
    <n v="932250"/>
    <n v="0.974667375"/>
    <n v="0.93225000000000002"/>
    <s v="Guaranteed"/>
  </r>
  <r>
    <s v="Vaccine"/>
    <s v="Routine"/>
    <x v="12"/>
    <n v="2030"/>
    <s v="Kenya"/>
    <s v="v23.2"/>
    <s v="Gavi 6.0"/>
    <n v="1151104.5349000001"/>
    <n v="1112178.29455539"/>
    <n v="1.1511045349"/>
    <n v="1.11217829455539"/>
    <s v="Guaranteed"/>
  </r>
  <r>
    <s v="Vaccine"/>
    <s v="Routine"/>
    <x v="12"/>
    <n v="2027"/>
    <s v="Benin"/>
    <s v="v23.2"/>
    <s v="Gavi 6.0"/>
    <n v="945352.35120000003"/>
    <n v="904210.76157313201"/>
    <n v="0.94535235120000005"/>
    <n v="0.90421076157313196"/>
    <s v="Guaranteed"/>
  </r>
  <r>
    <s v="Vaccine"/>
    <s v="Routine"/>
    <x v="12"/>
    <n v="2028"/>
    <s v="Benin"/>
    <s v="v23.2"/>
    <s v="Gavi 6.0"/>
    <n v="895686.31539999996"/>
    <n v="865397.40619958495"/>
    <n v="0.89568631539999999"/>
    <n v="0.86539740619958494"/>
    <s v="Guaranteed"/>
  </r>
  <r>
    <s v="Vaccine"/>
    <s v="Routine"/>
    <x v="12"/>
    <n v="2029"/>
    <s v="Benin"/>
    <s v="v23.2"/>
    <s v="Gavi 6.0"/>
    <n v="852774.59829999995"/>
    <n v="823936.80999874498"/>
    <n v="0.85277459829999991"/>
    <n v="0.82393680999874497"/>
    <s v="Guaranteed"/>
  </r>
  <r>
    <s v="Vaccine"/>
    <s v="Routine"/>
    <x v="12"/>
    <n v="2030"/>
    <s v="Benin"/>
    <s v="v23.2"/>
    <s v="Gavi 6.0"/>
    <n v="793486.47250000003"/>
    <n v="766653.59658166103"/>
    <n v="0.79348647250000004"/>
    <n v="0.76665359658166099"/>
    <s v="Guaranteed"/>
  </r>
  <r>
    <s v="Vaccine"/>
    <s v="Routine"/>
    <x v="12"/>
    <n v="2026"/>
    <s v="Zambia"/>
    <s v="v23.2"/>
    <s v="Gavi 6.0"/>
    <n v="1986264.1586"/>
    <n v="1636359.7882389999"/>
    <n v="1.9862641586000001"/>
    <n v="1.636359788239"/>
    <s v="Guaranteed"/>
  </r>
  <r>
    <s v="Vaccine"/>
    <s v="Routine"/>
    <x v="12"/>
    <n v="2027"/>
    <s v="Zambia"/>
    <s v="v23.2"/>
    <s v="Gavi 6.0"/>
    <n v="1634302.5024000001"/>
    <n v="1563177.9075901499"/>
    <n v="1.6343025024000002"/>
    <n v="1.56317790759015"/>
    <s v="Guaranteed"/>
  </r>
  <r>
    <s v="Vaccine"/>
    <s v="Routine"/>
    <x v="12"/>
    <n v="2026"/>
    <s v="Sao Tome and Principe"/>
    <s v="v23.2"/>
    <s v="Gavi 6.0"/>
    <n v="3091.0075000000002"/>
    <n v="2370.6432"/>
    <n v="3.0910075E-3"/>
    <n v="2.3706432E-3"/>
    <s v="Guaranteed"/>
  </r>
  <r>
    <s v="Vaccine"/>
    <s v="Routine"/>
    <x v="12"/>
    <n v="2027"/>
    <s v="Sao Tome and Principe"/>
    <s v="v23.2"/>
    <s v="Gavi 6.0"/>
    <n v="2025.1945000000001"/>
    <n v="1937.0583360000001"/>
    <n v="2.0251944999999999E-3"/>
    <n v="1.9370583360000001E-3"/>
    <s v="Guaranteed"/>
  </r>
  <r>
    <s v="Vaccine"/>
    <s v="Routine"/>
    <x v="12"/>
    <n v="2028"/>
    <s v="Sao Tome and Principe"/>
    <s v="v23.2"/>
    <s v="Gavi 6.0"/>
    <n v="1565.8033"/>
    <n v="1512.85345218"/>
    <n v="1.5658033E-3"/>
    <n v="1.51285345218E-3"/>
    <s v="Guaranteed"/>
  </r>
  <r>
    <s v="Vaccine"/>
    <s v="Routine"/>
    <x v="12"/>
    <n v="2026"/>
    <s v="Nigeria"/>
    <s v="v23.2"/>
    <s v="Gavi 6.0"/>
    <n v="3311046"/>
    <n v="3698400"/>
    <n v="3.3110460000000002"/>
    <n v="3.6983999999999999"/>
    <s v="Guaranteed"/>
  </r>
  <r>
    <s v="Vaccine"/>
    <s v="Routine"/>
    <x v="12"/>
    <n v="2027"/>
    <s v="Nigeria"/>
    <s v="v23.2"/>
    <s v="Gavi 6.0"/>
    <n v="3297085.1406999999"/>
    <n v="4045503.2401278601"/>
    <n v="3.2970851406999997"/>
    <n v="4.0455032401278599"/>
    <s v="Guaranteed"/>
  </r>
  <r>
    <s v="Vaccine"/>
    <s v="Routine"/>
    <x v="12"/>
    <n v="2028"/>
    <s v="Nigeria"/>
    <s v="v23.2"/>
    <s v="Gavi 6.0"/>
    <n v="3293108.0980000002"/>
    <n v="4116385.1224407898"/>
    <n v="3.2931080980000003"/>
    <n v="4.1163851224407901"/>
    <s v="Guaranteed"/>
  </r>
  <r>
    <s v="Vaccine"/>
    <s v="Routine"/>
    <x v="12"/>
    <n v="2029"/>
    <s v="Nigeria"/>
    <s v="v23.2"/>
    <s v="Gavi 6.0"/>
    <n v="3356838.0227000001"/>
    <n v="4196047.5283948099"/>
    <n v="3.3568380226999999"/>
    <n v="4.1960475283948098"/>
    <s v="Guaranteed"/>
  </r>
  <r>
    <s v="Vaccine"/>
    <s v="Routine"/>
    <x v="12"/>
    <n v="2030"/>
    <s v="Nigeria"/>
    <s v="v23.2"/>
    <s v="Gavi 6.0"/>
    <n v="3403058.5304"/>
    <n v="4253823.1630066196"/>
    <n v="3.4030585304000001"/>
    <n v="4.2538231630066194"/>
    <s v="Guaranteed"/>
  </r>
  <r>
    <s v="Vaccine"/>
    <s v="Routine"/>
    <x v="12"/>
    <n v="2028"/>
    <s v="Chad"/>
    <s v="v23.2"/>
    <s v="Gavi 6.0"/>
    <n v="1558151.9201"/>
    <n v="1947689.90016458"/>
    <n v="1.5581519201"/>
    <n v="1.94768990016458"/>
    <s v="Guaranteed"/>
  </r>
  <r>
    <s v="Vaccine"/>
    <s v="Routine"/>
    <x v="12"/>
    <n v="2029"/>
    <s v="Chad"/>
    <s v="v23.2"/>
    <s v="Gavi 6.0"/>
    <n v="1595176.3973000001"/>
    <n v="1993970.4966088301"/>
    <n v="1.5951763973000002"/>
    <n v="1.9939704966088301"/>
    <s v="Guaranteed"/>
  </r>
  <r>
    <s v="Vaccine"/>
    <s v="Routine"/>
    <x v="12"/>
    <n v="2030"/>
    <s v="Chad"/>
    <s v="v23.2"/>
    <s v="Gavi 6.0"/>
    <n v="1624610.3572"/>
    <n v="2030762.9465031801"/>
    <n v="1.6246103571999999"/>
    <n v="2.03076294650318"/>
    <s v="Guaranteed"/>
  </r>
  <r>
    <s v="Vaccine"/>
    <s v="Routine"/>
    <x v="12"/>
    <n v="2029"/>
    <s v="Cameroon"/>
    <s v="v23.2"/>
    <s v="Gavi 6.0"/>
    <n v="440395.05790000001"/>
    <n v="550493.82233621203"/>
    <n v="0.4403950579"/>
    <n v="0.55049382233621202"/>
    <s v="Guaranteed"/>
  </r>
  <r>
    <s v="Vaccine"/>
    <s v="Routine"/>
    <x v="12"/>
    <n v="2030"/>
    <s v="Cameroon"/>
    <s v="v23.2"/>
    <s v="Gavi 6.0"/>
    <n v="416272.93859999999"/>
    <n v="520341.17320325098"/>
    <n v="0.41627293859999998"/>
    <n v="0.52034117320325102"/>
    <s v="Guaranteed"/>
  </r>
  <r>
    <s v="Vaccine"/>
    <s v="Routine"/>
    <x v="12"/>
    <n v="2026"/>
    <s v="Haiti"/>
    <s v="v23.2"/>
    <s v="Gavi 6.0"/>
    <n v="907240.44440000004"/>
    <n v="354667.88287999999"/>
    <n v="0.90724044440000007"/>
    <n v="0.35466788288000001"/>
    <s v="Guaranteed"/>
  </r>
  <r>
    <s v="Vaccine"/>
    <s v="Routine"/>
    <x v="12"/>
    <n v="2026"/>
    <s v="Cameroon"/>
    <s v="v23.2"/>
    <s v="Gavi 6.0"/>
    <n v="917807.12340000004"/>
    <n v="1126143.70969304"/>
    <n v="0.91780712340000004"/>
    <n v="1.12614370969304"/>
    <s v="Guaranteed"/>
  </r>
  <r>
    <s v="Vaccine"/>
    <s v="Routine"/>
    <x v="12"/>
    <n v="2027"/>
    <s v="Cameroon"/>
    <s v="v23.2"/>
    <s v="Gavi 6.0"/>
    <n v="840457.66280000005"/>
    <n v="1031236.3960724"/>
    <n v="0.8404576628"/>
    <n v="1.0312363960724"/>
    <s v="Guaranteed"/>
  </r>
  <r>
    <s v="Vaccine"/>
    <s v="Routine"/>
    <x v="12"/>
    <n v="2028"/>
    <s v="Cameroon"/>
    <s v="v23.2"/>
    <s v="Gavi 6.0"/>
    <n v="681607.32590000005"/>
    <n v="852009.157373472"/>
    <n v="0.68160732590000006"/>
    <n v="0.85200915737347205"/>
    <s v="Guaranteed"/>
  </r>
  <r>
    <s v="Vaccine"/>
    <s v="Routine"/>
    <x v="12"/>
    <n v="2026"/>
    <s v="Chad"/>
    <s v="v23.2"/>
    <s v="Gavi 6.0"/>
    <n v="1688140.8822999999"/>
    <n v="2071338.50584375"/>
    <n v="1.6881408822999999"/>
    <n v="2.0713385058437499"/>
    <s v="Guaranteed"/>
  </r>
  <r>
    <s v="Vaccine"/>
    <s v="Routine"/>
    <x v="12"/>
    <n v="2027"/>
    <s v="Chad"/>
    <s v="v23.2"/>
    <s v="Gavi 6.0"/>
    <n v="1606952.8123999999"/>
    <n v="1971721.2422704999"/>
    <n v="1.6069528123999999"/>
    <n v="1.9717212422704999"/>
    <s v="Guaranteed"/>
  </r>
  <r>
    <s v="Vaccine"/>
    <s v="Routine"/>
    <x v="12"/>
    <n v="2029"/>
    <s v="Sudan"/>
    <s v="v23.2"/>
    <s v="Gavi 6.0"/>
    <n v="5276122.9505000003"/>
    <n v="4548381.8538821796"/>
    <n v="5.2761229505000005"/>
    <n v="4.5483818538821792"/>
    <s v="Guaranteed"/>
  </r>
  <r>
    <s v="Vaccine"/>
    <s v="Routine"/>
    <x v="12"/>
    <n v="2030"/>
    <s v="Sudan"/>
    <s v="v23.2"/>
    <s v="Gavi 6.0"/>
    <n v="5294798.1460999995"/>
    <n v="4564481.1604109397"/>
    <n v="5.2947981460999998"/>
    <n v="4.5644811604109394"/>
    <s v="Guaranteed"/>
  </r>
  <r>
    <s v="Vaccine"/>
    <s v="Routine"/>
    <x v="12"/>
    <n v="2028"/>
    <s v="Comoros"/>
    <s v="v23.2"/>
    <s v="Gavi 6.0"/>
    <n v="15649.3951"/>
    <n v="16301.453207455899"/>
    <n v="1.5649395100000001E-2"/>
    <n v="1.63014532074559E-2"/>
    <s v="Guaranteed"/>
  </r>
  <r>
    <s v="Vaccine"/>
    <s v="Routine"/>
    <x v="12"/>
    <n v="2028"/>
    <s v="Guinea"/>
    <s v="v23.2"/>
    <s v="Gavi 6.0"/>
    <n v="497817.02830000001"/>
    <n v="518559.404488242"/>
    <n v="0.49781702830000002"/>
    <n v="0.518559404488242"/>
    <s v="Guaranteed"/>
  </r>
  <r>
    <s v="Vaccine"/>
    <s v="Routine"/>
    <x v="12"/>
    <n v="2029"/>
    <s v="Guinea"/>
    <s v="v23.2"/>
    <s v="Gavi 6.0"/>
    <n v="445499.53820000001"/>
    <n v="384051.32599223498"/>
    <n v="0.44549953819999999"/>
    <n v="0.38405132599223496"/>
    <s v="Guaranteed"/>
  </r>
  <r>
    <s v="Vaccine"/>
    <s v="Routine"/>
    <x v="12"/>
    <n v="2030"/>
    <s v="Guinea"/>
    <s v="v23.2"/>
    <s v="Gavi 6.0"/>
    <n v="360257.59179999999"/>
    <n v="310566.88946730999"/>
    <n v="0.3602575918"/>
    <n v="0.31056688946730998"/>
    <s v="Guaranteed"/>
  </r>
  <r>
    <s v="Vaccine"/>
    <s v="Routine"/>
    <x v="12"/>
    <n v="2026"/>
    <s v="Uganda"/>
    <s v="v23.2"/>
    <s v="Gavi 6.0"/>
    <n v="4069928.3"/>
    <n v="3256600"/>
    <n v="4.0699282999999999"/>
    <n v="3.2566000000000002"/>
    <s v="Guaranteed"/>
  </r>
  <r>
    <s v="Vaccine"/>
    <s v="Routine"/>
    <x v="12"/>
    <n v="2027"/>
    <s v="Uganda"/>
    <s v="v23.2"/>
    <s v="Gavi 6.0"/>
    <n v="5103447.5773"/>
    <n v="5062944.0251350496"/>
    <n v="5.1034475772999999"/>
    <n v="5.0629440251350495"/>
    <s v="Guaranteed"/>
  </r>
  <r>
    <s v="Vaccine"/>
    <s v="Routine"/>
    <x v="12"/>
    <n v="2028"/>
    <s v="Uganda"/>
    <s v="v23.2"/>
    <s v="Gavi 6.0"/>
    <n v="4924208.6085000001"/>
    <n v="5129383.9671402201"/>
    <n v="4.9242086084999999"/>
    <n v="5.1293839671402202"/>
    <s v="Guaranteed"/>
  </r>
  <r>
    <s v="Vaccine"/>
    <s v="Routine"/>
    <x v="12"/>
    <n v="2029"/>
    <s v="South Sudan"/>
    <s v="v23.2"/>
    <s v="Gavi 6.0"/>
    <n v="1619381.1236"/>
    <n v="1396018.2099915801"/>
    <n v="1.6193811236"/>
    <n v="1.3960182099915801"/>
    <s v="Guaranteed"/>
  </r>
  <r>
    <s v="Vaccine"/>
    <s v="Routine"/>
    <x v="12"/>
    <n v="2030"/>
    <s v="South Sudan"/>
    <s v="v23.2"/>
    <s v="Gavi 6.0"/>
    <n v="1659388.9347000001"/>
    <n v="1430507.7023539999"/>
    <n v="1.6593889347000002"/>
    <n v="1.430507702354"/>
    <s v="Guaranteed"/>
  </r>
  <r>
    <s v="Vaccine"/>
    <s v="Routine"/>
    <x v="12"/>
    <n v="2029"/>
    <s v="Uganda"/>
    <s v="v23.2"/>
    <s v="Gavi 6.0"/>
    <n v="5813697.0343000004"/>
    <n v="5011807.7881673202"/>
    <n v="5.8136970343000005"/>
    <n v="5.01180778816732"/>
    <s v="Guaranteed"/>
  </r>
  <r>
    <s v="Vaccine"/>
    <s v="Routine"/>
    <x v="12"/>
    <n v="2026"/>
    <s v="Kyrgyzstan"/>
    <s v="v23.2"/>
    <s v="Gavi 6.0"/>
    <n v="247867.2"/>
    <n v="245900"/>
    <n v="0.24786720000000001"/>
    <n v="0.24590000000000001"/>
    <s v="Guaranteed"/>
  </r>
  <r>
    <s v="Vaccine"/>
    <s v="Routine"/>
    <x v="12"/>
    <n v="2027"/>
    <s v="Kyrgyzstan"/>
    <s v="v23.2"/>
    <s v="Gavi 6.0"/>
    <n v="219519.44270000001"/>
    <n v="217777.224855379"/>
    <n v="0.21951944270000001"/>
    <n v="0.21777722485537901"/>
    <s v="Guaranteed"/>
  </r>
  <r>
    <s v="Vaccine"/>
    <s v="Routine"/>
    <x v="12"/>
    <n v="2028"/>
    <s v="Kyrgyzstan"/>
    <s v="v23.2"/>
    <s v="Gavi 6.0"/>
    <n v="178545.41010000001"/>
    <n v="185984.80222285399"/>
    <n v="0.1785454101"/>
    <n v="0.18598480222285399"/>
    <s v="Guaranteed"/>
  </r>
  <r>
    <s v="Vaccine"/>
    <s v="Routine"/>
    <x v="12"/>
    <n v="2029"/>
    <s v="Kyrgyzstan"/>
    <s v="v23.2"/>
    <s v="Gavi 6.0"/>
    <n v="174215.35219999999"/>
    <n v="150185.64846262999"/>
    <n v="0.17421535220000001"/>
    <n v="0.15018564846262999"/>
    <s v="Guaranteed"/>
  </r>
  <r>
    <s v="Vaccine"/>
    <s v="Routine"/>
    <x v="12"/>
    <n v="2030"/>
    <s v="Kyrgyzstan"/>
    <s v="v23.2"/>
    <s v="Gavi 6.0"/>
    <n v="153350.5668"/>
    <n v="132198.76446372201"/>
    <n v="0.1533505668"/>
    <n v="0.132198764463722"/>
    <s v="Guaranteed"/>
  </r>
  <r>
    <s v="Vaccine"/>
    <s v="Routine"/>
    <x v="12"/>
    <n v="2030"/>
    <s v="Uganda"/>
    <s v="v23.2"/>
    <s v="Gavi 6.0"/>
    <n v="5884054.0674999999"/>
    <n v="5072460.4029782303"/>
    <n v="5.8840540675000002"/>
    <n v="5.0724604029782299"/>
    <s v="Guaranteed"/>
  </r>
  <r>
    <s v="Vaccine"/>
    <s v="Routine"/>
    <x v="12"/>
    <n v="2029"/>
    <s v="Ethiopia"/>
    <s v="v23.2"/>
    <s v="Gavi 6.0"/>
    <n v="10071880.925000001"/>
    <n v="8682655.9698599894"/>
    <n v="10.071880925"/>
    <n v="8.6826559698599901"/>
    <s v="Guaranteed"/>
  </r>
  <r>
    <s v="Vaccine"/>
    <s v="Routine"/>
    <x v="12"/>
    <n v="2030"/>
    <s v="Ethiopia"/>
    <s v="v23.2"/>
    <s v="Gavi 6.0"/>
    <n v="10211723.518100001"/>
    <n v="8803209.9293901101"/>
    <n v="10.211723518100001"/>
    <n v="8.8032099293901105"/>
    <s v="Guaranteed"/>
  </r>
  <r>
    <s v="Vaccine"/>
    <s v="Routine"/>
    <x v="12"/>
    <n v="2029"/>
    <s v="Mali"/>
    <s v="v23.2"/>
    <s v="Gavi 6.0"/>
    <n v="2907309.4375999998"/>
    <n v="2506301.239296"/>
    <n v="2.9073094375999999"/>
    <n v="2.506301239296"/>
    <s v="Guaranteed"/>
  </r>
  <r>
    <s v="Vaccine"/>
    <s v="Routine"/>
    <x v="12"/>
    <n v="2030"/>
    <s v="Mali"/>
    <s v="v23.2"/>
    <s v="Gavi 6.0"/>
    <n v="2912204.2806000002"/>
    <n v="2510520.9315629499"/>
    <n v="2.9122042806000001"/>
    <n v="2.51052093156295"/>
    <s v="Guaranteed"/>
  </r>
  <r>
    <s v="Vaccine"/>
    <s v="Routine"/>
    <x v="12"/>
    <n v="2026"/>
    <s v="Burkina Faso"/>
    <s v="v23.2"/>
    <s v="Gavi 6.0"/>
    <n v="2445307.2000000002"/>
    <n v="2425900"/>
    <n v="2.4453072000000002"/>
    <n v="2.4258999999999999"/>
    <s v="Guaranteed"/>
  </r>
  <r>
    <s v="Vaccine"/>
    <s v="Routine"/>
    <x v="12"/>
    <n v="2027"/>
    <s v="Burkina Faso"/>
    <s v="v23.2"/>
    <s v="Gavi 6.0"/>
    <n v="2461668.7648"/>
    <n v="2442131.7111094501"/>
    <n v="2.4616687648000002"/>
    <n v="2.4421317111094503"/>
    <s v="Guaranteed"/>
  </r>
  <r>
    <s v="Vaccine"/>
    <s v="Routine"/>
    <x v="12"/>
    <n v="2028"/>
    <s v="Burkina Faso"/>
    <s v="v23.2"/>
    <s v="Gavi 6.0"/>
    <n v="2374548.0257000001"/>
    <n v="2473487.5267940802"/>
    <n v="2.3745480257000002"/>
    <n v="2.4734875267940803"/>
    <s v="Guaranteed"/>
  </r>
  <r>
    <s v="Vaccine"/>
    <s v="Routine"/>
    <x v="12"/>
    <n v="2029"/>
    <s v="Burkina Faso"/>
    <s v="v23.2"/>
    <s v="Gavi 6.0"/>
    <n v="2976756.3876999998"/>
    <n v="2566169.2997462298"/>
    <n v="2.9767563877000001"/>
    <n v="2.56616929974623"/>
    <s v="Guaranteed"/>
  </r>
  <r>
    <s v="Vaccine"/>
    <s v="Routine"/>
    <x v="12"/>
    <n v="2030"/>
    <s v="Burkina Faso"/>
    <s v="v23.2"/>
    <s v="Gavi 6.0"/>
    <n v="3021398.3653000002"/>
    <n v="2604653.7631491502"/>
    <n v="3.0213983653000001"/>
    <n v="2.60465376314915"/>
    <s v="Guaranteed"/>
  </r>
  <r>
    <s v="Vaccine"/>
    <s v="Routine"/>
    <x v="12"/>
    <n v="2026"/>
    <s v="Sudan"/>
    <s v="v23.2"/>
    <s v="Gavi 6.0"/>
    <n v="4284352.7346999999"/>
    <n v="4250349.9351899996"/>
    <n v="4.2843527346999997"/>
    <n v="4.25034993519"/>
    <s v="Guaranteed"/>
  </r>
  <r>
    <s v="Vaccine"/>
    <s v="Routine"/>
    <x v="12"/>
    <n v="2027"/>
    <s v="Sudan"/>
    <s v="v23.2"/>
    <s v="Gavi 6.0"/>
    <n v="4336834.8530999999"/>
    <n v="4302415.5288389996"/>
    <n v="4.3368348531000001"/>
    <n v="4.3024155288389991"/>
    <s v="Guaranteed"/>
  </r>
  <r>
    <s v="Vaccine"/>
    <s v="Routine"/>
    <x v="12"/>
    <n v="2028"/>
    <s v="Sudan"/>
    <s v="v23.2"/>
    <s v="Gavi 6.0"/>
    <n v="4186375.7340000002"/>
    <n v="4360808.0562676899"/>
    <n v="4.1863757340000003"/>
    <n v="4.3608080562676896"/>
    <s v="Guaranteed"/>
  </r>
  <r>
    <s v="Vaccine"/>
    <s v="Routine"/>
    <x v="12"/>
    <n v="2026"/>
    <s v="Mali"/>
    <s v="v23.2"/>
    <s v="Gavi 6.0"/>
    <n v="2450141.0811000001"/>
    <n v="2410715.3582025701"/>
    <n v="2.4501410811"/>
    <n v="2.41071535820257"/>
    <s v="Guaranteed"/>
  </r>
  <r>
    <s v="Vaccine"/>
    <s v="Routine"/>
    <x v="12"/>
    <n v="2027"/>
    <s v="Mali"/>
    <s v="v23.2"/>
    <s v="Gavi 6.0"/>
    <n v="2398593.9476000001"/>
    <n v="2379557.4877566299"/>
    <n v="2.3985939476000002"/>
    <n v="2.3795574877566299"/>
    <s v="Guaranteed"/>
  </r>
  <r>
    <s v="Vaccine"/>
    <s v="Routine"/>
    <x v="12"/>
    <n v="2028"/>
    <s v="Mali"/>
    <s v="v23.2"/>
    <s v="Gavi 6.0"/>
    <n v="2443575.1145000001"/>
    <n v="2545390.74430766"/>
    <n v="2.4435751145000002"/>
    <n v="2.5453907443076602"/>
    <s v="Guaranteed"/>
  </r>
  <r>
    <s v="Vaccine"/>
    <s v="Routine"/>
    <x v="12"/>
    <n v="2027"/>
    <s v="Ethiopia"/>
    <s v="v23.2"/>
    <s v="Gavi 6.0"/>
    <n v="9045608.9496999998"/>
    <n v="8973818.4025420696"/>
    <n v="9.0456089497000001"/>
    <n v="8.9738184025420704"/>
    <s v="Guaranteed"/>
  </r>
  <r>
    <s v="Vaccine"/>
    <s v="Routine"/>
    <x v="12"/>
    <n v="2028"/>
    <s v="Ethiopia"/>
    <s v="v23.2"/>
    <s v="Gavi 6.0"/>
    <n v="8956406.8496000003"/>
    <n v="9329590.4683813006"/>
    <n v="8.9564068496000004"/>
    <n v="9.3295904683813013"/>
    <s v="Guaranteed"/>
  </r>
  <r>
    <s v="Vaccine"/>
    <s v="Routine"/>
    <x v="12"/>
    <n v="2026"/>
    <s v="Ethiopia"/>
    <s v="v23.2"/>
    <s v="Gavi 6.0"/>
    <n v="16106189.529999999"/>
    <n v="9378283.2638787702"/>
    <n v="16.106189529999998"/>
    <n v="9.378283263878771"/>
    <s v="Guaranteed"/>
  </r>
  <r>
    <s v="Vaccine"/>
    <s v="Routine"/>
    <x v="12"/>
    <n v="2027"/>
    <s v="South Sudan"/>
    <s v="v23.2"/>
    <s v="Gavi 6.0"/>
    <n v="1273855.6591"/>
    <n v="1263745.6935254999"/>
    <n v="1.2738556591000001"/>
    <n v="1.2637456935254998"/>
    <s v="Guaranteed"/>
  </r>
  <r>
    <s v="Vaccine"/>
    <s v="Routine"/>
    <x v="12"/>
    <n v="2026"/>
    <s v="South Sudan"/>
    <s v="v23.2"/>
    <s v="Gavi 6.0"/>
    <n v="1245488.5308999999"/>
    <n v="1235603.7012217499"/>
    <n v="1.2454885308999999"/>
    <n v="1.2356037012217498"/>
    <s v="Guaranteed"/>
  </r>
  <r>
    <s v="Vaccine"/>
    <s v="Routine"/>
    <x v="12"/>
    <n v="2028"/>
    <s v="South Sudan"/>
    <s v="v23.2"/>
    <s v="Gavi 6.0"/>
    <n v="1276565.8540000001"/>
    <n v="1329756.09796069"/>
    <n v="1.276565854"/>
    <n v="1.3297560979606899"/>
    <s v="Guaranteed"/>
  </r>
  <r>
    <s v="Vaccine"/>
    <s v="Routine"/>
    <x v="12"/>
    <n v="2028"/>
    <s v="Republic of Syria"/>
    <s v="v23.2"/>
    <s v="Gavi 6.0"/>
    <n v="1190888.27"/>
    <n v="1240508.61458333"/>
    <n v="1.1908882700000001"/>
    <n v="1.2405086145833299"/>
    <s v="Guaranteed"/>
  </r>
  <r>
    <s v="Vaccine"/>
    <s v="Routine"/>
    <x v="12"/>
    <n v="2029"/>
    <s v="Republic of Syria"/>
    <s v="v23.2"/>
    <s v="Gavi 6.0"/>
    <n v="1501209.034"/>
    <n v="1294145.7189655199"/>
    <n v="1.5012090339999999"/>
    <n v="1.2941457189655199"/>
    <s v="Guaranteed"/>
  </r>
  <r>
    <s v="Vaccine"/>
    <s v="Routine"/>
    <x v="12"/>
    <n v="2030"/>
    <s v="Republic of Syria"/>
    <s v="v23.2"/>
    <s v="Gavi 6.0"/>
    <n v="1520140.7520000001"/>
    <n v="1310466.1655172401"/>
    <n v="1.5201407520000001"/>
    <n v="1.31046616551724"/>
    <s v="Guaranteed"/>
  </r>
  <r>
    <s v="Vaccine"/>
    <s v="Routine"/>
    <x v="12"/>
    <n v="2030"/>
    <s v="Malawi"/>
    <s v="v23.2"/>
    <s v="Gavi 6.0"/>
    <n v="3560926.4470000002"/>
    <n v="1583626.83281212"/>
    <n v="3.5609264469999999"/>
    <n v="1.5836268328121199"/>
    <s v="Guaranteed"/>
  </r>
  <r>
    <s v="Vaccine"/>
    <s v="Routine"/>
    <x v="12"/>
    <n v="2030"/>
    <s v="Eritrea"/>
    <s v="v23.2"/>
    <s v="Gavi 6.0"/>
    <n v="354978.3052"/>
    <n v="157867.110595134"/>
    <n v="0.35497830520000001"/>
    <n v="0.157867110595134"/>
    <s v="Guaranteed"/>
  </r>
  <r>
    <s v="Vaccine"/>
    <s v="Routine"/>
    <x v="12"/>
    <n v="2029"/>
    <s v="Djibouti"/>
    <s v="v23.2"/>
    <s v="Gavi 6.0"/>
    <n v="6728.3913000000002"/>
    <n v="2965.8921128196998"/>
    <n v="6.7283912999999999E-3"/>
    <n v="2.9658921128196997E-3"/>
    <s v="Guaranteed"/>
  </r>
  <r>
    <s v="Vaccine"/>
    <s v="Routine"/>
    <x v="12"/>
    <n v="2026"/>
    <s v="Senegal"/>
    <s v="v23.2"/>
    <s v="Gavi 6.0"/>
    <n v="3717659.6411000001"/>
    <n v="978050"/>
    <n v="3.7176596411"/>
    <n v="0.97804999999999997"/>
    <s v="Guaranteed"/>
  </r>
  <r>
    <s v="Vaccine"/>
    <s v="Routine"/>
    <x v="12"/>
    <n v="2029"/>
    <s v="Senegal"/>
    <s v="v23.2"/>
    <s v="Gavi 6.0"/>
    <n v="2013443.7032999999"/>
    <n v="887531.14094248903"/>
    <n v="2.0134437033000001"/>
    <n v="0.88753114094248908"/>
    <s v="Guaranteed"/>
  </r>
  <r>
    <s v="Vaccine"/>
    <s v="Routine"/>
    <x v="12"/>
    <n v="2026"/>
    <s v="Lesotho"/>
    <s v="v23.2"/>
    <s v="Gavi 6.0"/>
    <n v="94322.061300000001"/>
    <n v="44300"/>
    <n v="9.4322061299999996E-2"/>
    <n v="4.4299999999999999E-2"/>
    <s v="Guaranteed"/>
  </r>
  <r>
    <s v="Vaccine"/>
    <s v="Routine"/>
    <x v="12"/>
    <n v="2026"/>
    <s v="Eritrea"/>
    <s v="v23.2"/>
    <s v="Gavi 6.0"/>
    <n v="300638.26299999998"/>
    <n v="141200"/>
    <n v="0.30063826299999996"/>
    <n v="0.14119999999999999"/>
    <s v="Guaranteed"/>
  </r>
  <r>
    <s v="Vaccine"/>
    <s v="Routine"/>
    <x v="12"/>
    <n v="2029"/>
    <s v="Lesotho"/>
    <s v="v23.2"/>
    <s v="Gavi 6.0"/>
    <n v="87661.2886"/>
    <n v="38641.320539428903"/>
    <n v="8.7661288599999998E-2"/>
    <n v="3.8641320539428904E-2"/>
    <s v="Guaranteed"/>
  </r>
  <r>
    <s v="Vaccine"/>
    <s v="Routine"/>
    <x v="12"/>
    <n v="2026"/>
    <s v="Nepal"/>
    <s v="v23.2"/>
    <s v="Gavi 6.0"/>
    <n v="1687577.1051"/>
    <n v="792600"/>
    <n v="1.6875771051000001"/>
    <n v="0.79259999999999997"/>
    <s v="Guaranteed"/>
  </r>
  <r>
    <s v="Vaccine"/>
    <s v="Routine"/>
    <x v="12"/>
    <n v="2029"/>
    <s v="Nepal"/>
    <s v="v23.2"/>
    <s v="Gavi 6.0"/>
    <n v="1432427.9887999999"/>
    <n v="631417.92598472699"/>
    <n v="1.4324279888"/>
    <n v="0.63141792598472701"/>
    <s v="Guaranteed"/>
  </r>
  <r>
    <s v="Vaccine"/>
    <s v="Routine"/>
    <x v="12"/>
    <n v="2029"/>
    <s v="Sierra Leone"/>
    <s v="v23.2"/>
    <s v="Gavi 6.0"/>
    <n v="884306.27659999998"/>
    <n v="389804.47145898"/>
    <n v="0.88430627659999994"/>
    <n v="0.38980447145898001"/>
    <s v="Guaranteed"/>
  </r>
  <r>
    <s v="Vaccine"/>
    <s v="Routine"/>
    <x v="12"/>
    <n v="2030"/>
    <s v="Sierra Leone"/>
    <s v="v23.2"/>
    <s v="Gavi 6.0"/>
    <n v="886363.22530000005"/>
    <n v="394186.34673843603"/>
    <n v="0.8863632253"/>
    <n v="0.394186346738436"/>
    <s v="Guaranteed"/>
  </r>
  <r>
    <s v="Vaccine"/>
    <s v="Routine"/>
    <x v="12"/>
    <n v="2029"/>
    <s v="Eritrea"/>
    <s v="v23.2"/>
    <s v="Gavi 6.0"/>
    <n v="350870.28600000002"/>
    <n v="154664.52064721801"/>
    <n v="0.35087028600000003"/>
    <n v="0.154664520647218"/>
    <s v="Guaranteed"/>
  </r>
  <r>
    <s v="Vaccine"/>
    <s v="Routine"/>
    <x v="12"/>
    <n v="2030"/>
    <s v="Nepal"/>
    <s v="v23.2"/>
    <s v="Gavi 6.0"/>
    <n v="1273133.9946000001"/>
    <n v="566192.30574632494"/>
    <n v="1.2731339946"/>
    <n v="0.56619230574632495"/>
    <s v="Guaranteed"/>
  </r>
  <r>
    <s v="Vaccine"/>
    <s v="Routine"/>
    <x v="12"/>
    <n v="2029"/>
    <s v="Congo, the Democratic Republic of the"/>
    <s v="v23.2"/>
    <s v="Gavi 6.0"/>
    <n v="17248266.4734"/>
    <n v="7603080.0349916201"/>
    <n v="17.248266473400001"/>
    <n v="7.6030800349916206"/>
    <s v="Guaranteed"/>
  </r>
  <r>
    <s v="Vaccine"/>
    <s v="Routine"/>
    <x v="12"/>
    <n v="2030"/>
    <s v="Senegal"/>
    <s v="v23.2"/>
    <s v="Gavi 6.0"/>
    <n v="1888871.9859"/>
    <n v="840025.31505296705"/>
    <n v="1.8888719859000001"/>
    <n v="0.84002531505296707"/>
    <s v="Guaranteed"/>
  </r>
  <r>
    <s v="Vaccine"/>
    <s v="Routine"/>
    <x v="12"/>
    <n v="2030"/>
    <s v="Lesotho"/>
    <s v="v23.2"/>
    <s v="Gavi 6.0"/>
    <n v="80896.4274"/>
    <n v="35976.523237698602"/>
    <n v="8.0896427399999998E-2"/>
    <n v="3.59765232376986E-2"/>
    <s v="Guaranteed"/>
  </r>
  <r>
    <s v="Vaccine"/>
    <s v="Routine"/>
    <x v="12"/>
    <n v="2030"/>
    <s v="Congo, the Democratic Republic of the"/>
    <s v="v23.2"/>
    <s v="Gavi 6.0"/>
    <n v="17506898.9969"/>
    <n v="7785725.2664839001"/>
    <n v="17.506898996899999"/>
    <n v="7.7857252664839001"/>
    <s v="Guaranteed"/>
  </r>
  <r>
    <s v="Vaccine"/>
    <s v="Routine"/>
    <x v="12"/>
    <n v="2026"/>
    <s v="Mauritania"/>
    <s v="v23.2"/>
    <s v="Gavi 6.0"/>
    <n v="437543.64769999997"/>
    <n v="205500"/>
    <n v="0.43754364769999998"/>
    <n v="0.20549999999999999"/>
    <s v="Guaranteed"/>
  </r>
  <r>
    <s v="Vaccine"/>
    <s v="Routine"/>
    <x v="12"/>
    <n v="2029"/>
    <s v="Tajikistan"/>
    <s v="v23.2"/>
    <s v="Gavi 6.0"/>
    <n v="801900.51210000005"/>
    <n v="353479.79941690603"/>
    <n v="0.80190051210000002"/>
    <n v="0.35347979941690605"/>
    <s v="Guaranteed"/>
  </r>
  <r>
    <s v="Vaccine"/>
    <s v="Routine"/>
    <x v="12"/>
    <n v="2030"/>
    <s v="Tajikistan"/>
    <s v="v23.2"/>
    <s v="Gavi 6.0"/>
    <n v="741498.73230000003"/>
    <n v="329761.73655506602"/>
    <n v="0.74149873230000007"/>
    <n v="0.32976173655506602"/>
    <s v="Guaranteed"/>
  </r>
  <r>
    <s v="Vaccine"/>
    <s v="Routine"/>
    <x v="12"/>
    <n v="2029"/>
    <s v="United Republic of Tanzania"/>
    <s v="v23.2"/>
    <s v="Gavi 6.0"/>
    <n v="8354290.6966000004"/>
    <n v="3682592.73474239"/>
    <n v="8.3542906965999997"/>
    <n v="3.6825927347423901"/>
    <s v="Guaranteed"/>
  </r>
  <r>
    <s v="Vaccine"/>
    <s v="Routine"/>
    <x v="12"/>
    <n v="2030"/>
    <s v="United Republic of Tanzania"/>
    <s v="v23.2"/>
    <s v="Gavi 6.0"/>
    <n v="8053204.2795000002"/>
    <n v="3581447.2937595998"/>
    <n v="8.053204279500001"/>
    <n v="3.5814472937595996"/>
    <s v="Guaranteed"/>
  </r>
  <r>
    <s v="Vaccine"/>
    <s v="Routine"/>
    <x v="12"/>
    <n v="2026"/>
    <s v="Myanmar"/>
    <s v="v23.2"/>
    <s v="Gavi 6.0"/>
    <n v="2837533.3420000002"/>
    <n v="785600"/>
    <n v="2.837533342"/>
    <n v="0.78559999999999997"/>
    <s v="Guaranteed"/>
  </r>
  <r>
    <s v="Vaccine"/>
    <s v="Routine"/>
    <x v="12"/>
    <n v="2026"/>
    <s v="Gambia"/>
    <s v="v23.2"/>
    <s v="Gavi 6.0"/>
    <n v="258693.68950000001"/>
    <n v="121500"/>
    <n v="0.25869368949999999"/>
    <n v="0.1215"/>
    <s v="Guaranteed"/>
  </r>
  <r>
    <s v="Vaccine"/>
    <s v="Routine"/>
    <x v="12"/>
    <n v="2029"/>
    <s v="Niger"/>
    <s v="v23.2"/>
    <s v="Gavi 6.0"/>
    <n v="3609734.906"/>
    <n v="1591180.3912551401"/>
    <n v="3.6097349059999999"/>
    <n v="1.5911803912551401"/>
    <s v="Guaranteed"/>
  </r>
  <r>
    <s v="Vaccine"/>
    <s v="Routine"/>
    <x v="12"/>
    <n v="2030"/>
    <s v="Niger"/>
    <s v="v23.2"/>
    <s v="Gavi 6.0"/>
    <n v="3655684.2795000002"/>
    <n v="1625767.8453420501"/>
    <n v="3.6556842795"/>
    <n v="1.6257678453420501"/>
    <s v="Guaranteed"/>
  </r>
  <r>
    <s v="Vaccine"/>
    <s v="Routine"/>
    <x v="12"/>
    <n v="2029"/>
    <s v="Angola"/>
    <s v="v23.2"/>
    <s v="Gavi 6.0"/>
    <n v="633806.02099999995"/>
    <n v="279383.317256846"/>
    <n v="0.63380602099999994"/>
    <n v="0.27938331725684601"/>
    <s v="Guaranteed"/>
  </r>
  <r>
    <s v="Vaccine"/>
    <s v="Routine"/>
    <x v="12"/>
    <n v="2029"/>
    <s v="Myanmar"/>
    <s v="v23.2"/>
    <s v="Gavi 6.0"/>
    <n v="1195996.3736"/>
    <n v="527198.26449862402"/>
    <n v="1.1959963736000001"/>
    <n v="0.52719826449862406"/>
    <s v="Guaranteed"/>
  </r>
  <r>
    <s v="Vaccine"/>
    <s v="Routine"/>
    <x v="12"/>
    <n v="2026"/>
    <s v="Togo"/>
    <s v="v23.2"/>
    <s v="Gavi 6.0"/>
    <n v="1023703.0939"/>
    <n v="480800"/>
    <n v="1.0237030939"/>
    <n v="0.48080000000000001"/>
    <s v="Guaranteed"/>
  </r>
  <r>
    <s v="Vaccine"/>
    <s v="Routine"/>
    <x v="12"/>
    <n v="2030"/>
    <s v="Angola"/>
    <s v="v23.2"/>
    <s v="Gavi 6.0"/>
    <n v="643621.92689999996"/>
    <n v="286233.64417147398"/>
    <n v="0.64362192689999997"/>
    <n v="0.28623364417147396"/>
    <s v="Guaranteed"/>
  </r>
  <r>
    <s v="Vaccine"/>
    <s v="Routine"/>
    <x v="12"/>
    <n v="2030"/>
    <s v="Myanmar"/>
    <s v="v23.2"/>
    <s v="Gavi 6.0"/>
    <n v="1091078.0836"/>
    <n v="485227.80673857097"/>
    <n v="1.0910780836"/>
    <n v="0.48522780673857097"/>
    <s v="Guaranteed"/>
  </r>
  <r>
    <s v="Vaccine"/>
    <s v="Routine"/>
    <x v="12"/>
    <n v="2029"/>
    <s v="Gambia"/>
    <s v="v23.2"/>
    <s v="Gavi 6.0"/>
    <n v="284458.56929999997"/>
    <n v="125390.06584761701"/>
    <n v="0.28445856929999996"/>
    <n v="0.125390065847617"/>
    <s v="Guaranteed"/>
  </r>
  <r>
    <s v="Vaccine"/>
    <s v="Routine"/>
    <x v="12"/>
    <n v="2029"/>
    <s v="Togo"/>
    <s v="v23.2"/>
    <s v="Gavi 6.0"/>
    <n v="1141110.3204999999"/>
    <n v="503004.35171440901"/>
    <n v="1.1411103204999999"/>
    <n v="0.50300435171440905"/>
    <s v="Guaranteed"/>
  </r>
  <r>
    <s v="Vaccine"/>
    <s v="Routine"/>
    <x v="12"/>
    <n v="2030"/>
    <s v="Togo"/>
    <s v="v23.2"/>
    <s v="Gavi 6.0"/>
    <n v="1133945.6532999999"/>
    <n v="504292.01225518598"/>
    <n v="1.1339456532999999"/>
    <n v="0.50429201225518594"/>
    <s v="Guaranteed"/>
  </r>
  <r>
    <s v="Vaccine"/>
    <s v="Routine"/>
    <x v="12"/>
    <n v="2029"/>
    <s v="Mauritania"/>
    <s v="v23.2"/>
    <s v="Gavi 6.0"/>
    <n v="380733.55900000001"/>
    <n v="167828.32788744799"/>
    <n v="0.380733559"/>
    <n v="0.16782832788744798"/>
    <s v="Guaranteed"/>
  </r>
  <r>
    <s v="Vaccine"/>
    <s v="Routine"/>
    <x v="12"/>
    <n v="2030"/>
    <s v="Mauritania"/>
    <s v="v23.2"/>
    <s v="Gavi 6.0"/>
    <n v="334203.19620000001"/>
    <n v="148627.93631001899"/>
    <n v="0.3342031962"/>
    <n v="0.148627936310019"/>
    <s v="Guaranteed"/>
  </r>
  <r>
    <s v="Vaccine"/>
    <s v="Routine"/>
    <x v="12"/>
    <n v="2030"/>
    <s v="Gambia"/>
    <s v="v23.2"/>
    <s v="Gavi 6.0"/>
    <n v="284909.53970000002"/>
    <n v="126705.900460153"/>
    <n v="0.28490953970000005"/>
    <n v="0.12670590046015301"/>
    <s v="Guaranteed"/>
  </r>
  <r>
    <s v="Vaccine"/>
    <s v="Routine"/>
    <x v="12"/>
    <n v="2026"/>
    <s v="Rwanda"/>
    <s v="v23.2"/>
    <s v="Gavi 6.0"/>
    <n v="1507591.9717999999"/>
    <n v="664800"/>
    <n v="1.5075919717999999"/>
    <n v="0.66479999999999995"/>
    <s v="Guaranteed"/>
  </r>
  <r>
    <s v="Vaccine"/>
    <s v="Routine"/>
    <x v="12"/>
    <n v="2029"/>
    <s v="Madagascar"/>
    <s v="v23.2"/>
    <s v="Gavi 6.0"/>
    <n v="3321003.1258"/>
    <n v="1463906.68308166"/>
    <n v="3.3210031257999999"/>
    <n v="1.4639066830816601"/>
    <s v="Guaranteed"/>
  </r>
  <r>
    <s v="Vaccine"/>
    <s v="Routine"/>
    <x v="12"/>
    <n v="2029"/>
    <s v="Rwanda"/>
    <s v="v23.2"/>
    <s v="Gavi 6.0"/>
    <n v="1606448.9839000001"/>
    <n v="708126.82630381605"/>
    <n v="1.6064489839"/>
    <n v="0.70812682630381607"/>
    <s v="Guaranteed"/>
  </r>
  <r>
    <s v="Vaccine"/>
    <s v="Routine"/>
    <x v="12"/>
    <n v="2030"/>
    <s v="Rwanda"/>
    <s v="v23.2"/>
    <s v="Gavi 6.0"/>
    <n v="1613409.0033"/>
    <n v="717520.51830259396"/>
    <n v="1.6134090032999999"/>
    <n v="0.717520518302594"/>
    <s v="Guaranteed"/>
  </r>
  <r>
    <s v="Vaccine"/>
    <s v="Routine"/>
    <x v="12"/>
    <n v="2026"/>
    <s v="Pakistan"/>
    <s v="v23.2"/>
    <s v="Gavi 6.0"/>
    <n v="8633981.7298000008"/>
    <n v="4055100"/>
    <n v="8.6339817298000003"/>
    <n v="4.0551000000000004"/>
    <s v="Guaranteed"/>
  </r>
  <r>
    <s v="Vaccine"/>
    <s v="Routine"/>
    <x v="12"/>
    <n v="2030"/>
    <s v="Madagascar"/>
    <s v="v23.2"/>
    <s v="Gavi 6.0"/>
    <n v="3345284.9451000001"/>
    <n v="1487726.0401894399"/>
    <n v="3.3452849451"/>
    <n v="1.4877260401894399"/>
    <s v="Guaranteed"/>
  </r>
  <r>
    <s v="Vaccine"/>
    <s v="Routine"/>
    <x v="12"/>
    <n v="2029"/>
    <s v="Pakistan"/>
    <s v="v23.2"/>
    <s v="Gavi 6.0"/>
    <n v="6589192.9222999997"/>
    <n v="2904533.11532924"/>
    <n v="6.5891929222999996"/>
    <n v="2.9045331153292402"/>
    <s v="Guaranteed"/>
  </r>
  <r>
    <s v="Vaccine"/>
    <s v="Routine"/>
    <x v="12"/>
    <n v="2029"/>
    <s v="Yemen"/>
    <s v="v23.2"/>
    <s v="Gavi 6.0"/>
    <n v="4839669.7467"/>
    <n v="2133338.8189587099"/>
    <n v="4.8396697467000003"/>
    <n v="2.1333388189587099"/>
    <s v="Guaranteed"/>
  </r>
  <r>
    <s v="Vaccine"/>
    <s v="Routine"/>
    <x v="12"/>
    <n v="2030"/>
    <s v="Yemen"/>
    <s v="v23.2"/>
    <s v="Gavi 6.0"/>
    <n v="4829789.0971999997"/>
    <n v="2147919.5723127001"/>
    <n v="4.8297890971999999"/>
    <n v="2.1479195723127003"/>
    <s v="Guaranteed"/>
  </r>
  <r>
    <s v="Vaccine"/>
    <s v="Routine"/>
    <x v="12"/>
    <n v="2030"/>
    <s v="Somalia"/>
    <s v="v23.2"/>
    <s v="Gavi 6.0"/>
    <n v="2446263.6938999998"/>
    <n v="1087910.37484001"/>
    <n v="2.4462636938999998"/>
    <n v="1.0879103748400099"/>
    <s v="Guaranteed"/>
  </r>
  <r>
    <s v="Vaccine"/>
    <s v="Routine"/>
    <x v="12"/>
    <n v="2026"/>
    <s v="Somalia"/>
    <s v="v23.2"/>
    <s v="Gavi 6.0"/>
    <n v="2104467.8409000002"/>
    <n v="988400"/>
    <n v="2.1044678409000004"/>
    <n v="0.98839999999999995"/>
    <s v="Guaranteed"/>
  </r>
  <r>
    <s v="Vaccine"/>
    <s v="Routine"/>
    <x v="12"/>
    <n v="2029"/>
    <s v="Liberia"/>
    <s v="v23.2"/>
    <s v="Gavi 6.0"/>
    <n v="706750.19590000005"/>
    <n v="311537.29635371797"/>
    <n v="0.7067501959000001"/>
    <n v="0.31153729635371796"/>
    <s v="Guaranteed"/>
  </r>
  <r>
    <s v="Vaccine"/>
    <s v="Routine"/>
    <x v="12"/>
    <n v="2030"/>
    <s v="Liberia"/>
    <s v="v23.2"/>
    <s v="Gavi 6.0"/>
    <n v="703323.17050000001"/>
    <n v="312784.176103901"/>
    <n v="0.70332317050000004"/>
    <n v="0.31278417610390102"/>
    <s v="Guaranteed"/>
  </r>
  <r>
    <s v="Vaccine"/>
    <s v="Routine"/>
    <x v="12"/>
    <n v="2026"/>
    <s v="Solomon Islands"/>
    <s v="v23.2"/>
    <s v="Gavi 6.0"/>
    <n v="19801.2454"/>
    <n v="9300"/>
    <n v="1.98012454E-2"/>
    <n v="9.2999999999999992E-3"/>
    <s v="Guaranteed"/>
  </r>
  <r>
    <s v="Vaccine"/>
    <s v="Routine"/>
    <x v="12"/>
    <n v="2029"/>
    <s v="Malawi"/>
    <s v="v23.2"/>
    <s v="Gavi 6.0"/>
    <n v="3574815.4037000001"/>
    <n v="1575787.7852107901"/>
    <n v="3.5748154037000002"/>
    <n v="1.5757877852107902"/>
    <s v="Guaranteed"/>
  </r>
  <r>
    <s v="Vaccine"/>
    <s v="Routine"/>
    <x v="12"/>
    <n v="2029"/>
    <s v="Mozambique"/>
    <s v="v23.2"/>
    <s v="Gavi 6.0"/>
    <n v="3670544.5545999999"/>
    <n v="1617985.4400887699"/>
    <n v="3.6705445545999997"/>
    <n v="1.6179854400887699"/>
    <s v="Guaranteed"/>
  </r>
  <r>
    <s v="Vaccine"/>
    <s v="Routine"/>
    <x v="12"/>
    <n v="2029"/>
    <s v="Afghanistan"/>
    <s v="v23.2"/>
    <s v="Gavi 6.0"/>
    <n v="6778789.6941"/>
    <n v="2988107.8579291399"/>
    <n v="6.7787896941000003"/>
    <n v="2.98810785792914"/>
    <s v="Guaranteed"/>
  </r>
  <r>
    <s v="Vaccine"/>
    <s v="Routine"/>
    <x v="12"/>
    <n v="2030"/>
    <s v="Afghanistan"/>
    <s v="v23.2"/>
    <s v="Gavi 6.0"/>
    <n v="6851457.1295999996"/>
    <n v="3047002.3786165998"/>
    <n v="6.8514571296"/>
    <n v="3.0470023786165998"/>
    <s v="Guaranteed"/>
  </r>
  <r>
    <s v="Vaccine"/>
    <s v="Routine"/>
    <x v="12"/>
    <n v="2029"/>
    <s v="Solomon Islands"/>
    <s v="v23.2"/>
    <s v="Gavi 6.0"/>
    <n v="21927.356800000001"/>
    <n v="9665.6350522126995"/>
    <n v="2.1927356800000002E-2"/>
    <n v="9.6656350522127E-3"/>
    <s v="Guaranteed"/>
  </r>
  <r>
    <s v="Vaccine"/>
    <s v="Routine"/>
    <x v="12"/>
    <n v="2030"/>
    <s v="Solomon Islands"/>
    <s v="v23.2"/>
    <s v="Gavi 6.0"/>
    <n v="22053.2706"/>
    <n v="9807.6025074461995"/>
    <n v="2.2053270600000001E-2"/>
    <n v="9.8076025074462E-3"/>
    <s v="Guaranteed"/>
  </r>
  <r>
    <s v="Vaccine"/>
    <s v="Routine"/>
    <x v="12"/>
    <n v="2029"/>
    <s v="Somalia"/>
    <s v="v23.2"/>
    <s v="Gavi 6.0"/>
    <n v="2422269.0759999999"/>
    <n v="1067742.41221793"/>
    <n v="2.4222690760000001"/>
    <n v="1.06774241221793"/>
    <s v="Guaranteed"/>
  </r>
  <r>
    <s v="Vaccine"/>
    <s v="Routine"/>
    <x v="12"/>
    <n v="2026"/>
    <s v="Malawi"/>
    <s v="v23.2"/>
    <s v="Gavi 6.0"/>
    <n v="3185658.4213"/>
    <n v="1496200"/>
    <n v="3.1856584212999999"/>
    <n v="1.4962"/>
    <s v="Guaranteed"/>
  </r>
  <r>
    <s v="Vaccine"/>
    <s v="Routine"/>
    <x v="12"/>
    <n v="2026"/>
    <s v="Cambodia"/>
    <s v="v23.2"/>
    <s v="Gavi 6.0"/>
    <n v="1419940.9177000001"/>
    <n v="666900"/>
    <n v="1.4199409177000002"/>
    <n v="0.66690000000000005"/>
    <s v="Guaranteed"/>
  </r>
  <r>
    <s v="Vaccine"/>
    <s v="Routine"/>
    <x v="12"/>
    <n v="2029"/>
    <s v="Cambodia"/>
    <s v="v23.2"/>
    <s v="Gavi 6.0"/>
    <n v="1077285.605"/>
    <n v="474870.25364794099"/>
    <n v="1.0772856049999999"/>
    <n v="0.474870253647941"/>
    <s v="Guaranteed"/>
  </r>
  <r>
    <s v="Vaccine"/>
    <s v="Routine"/>
    <x v="12"/>
    <n v="2030"/>
    <s v="Pakistan"/>
    <s v="v23.2"/>
    <s v="Gavi 6.0"/>
    <n v="6643384.1670000004"/>
    <n v="2954467.4915182199"/>
    <n v="6.6433841670000007"/>
    <n v="2.9544674915182201"/>
    <s v="Guaranteed"/>
  </r>
  <r>
    <s v="Vaccine"/>
    <s v="Routine"/>
    <x v="12"/>
    <n v="2030"/>
    <s v="Mozambique"/>
    <s v="v23.2"/>
    <s v="Gavi 6.0"/>
    <n v="3719887.3097999999"/>
    <n v="1654320.42654403"/>
    <n v="3.7198873097999998"/>
    <n v="1.6543204265440299"/>
    <s v="Guaranteed"/>
  </r>
  <r>
    <s v="Vaccine"/>
    <s v="Routine"/>
    <x v="12"/>
    <n v="2030"/>
    <s v="Cambodia"/>
    <s v="v23.2"/>
    <s v="Gavi 6.0"/>
    <n v="981329.3297"/>
    <n v="436419.98269009398"/>
    <n v="0.98132932969999997"/>
    <n v="0.43641998269009397"/>
    <s v="Guaranteed"/>
  </r>
  <r>
    <s v="Vaccine"/>
    <s v="Routine"/>
    <x v="12"/>
    <n v="2029"/>
    <s v="Haiti"/>
    <s v="v23.2"/>
    <s v="Gavi 6.0"/>
    <n v="667718.60950000002"/>
    <n v="294332.07311038801"/>
    <n v="0.66771860950000006"/>
    <n v="0.294332073110388"/>
    <s v="Guaranteed"/>
  </r>
  <r>
    <s v="Vaccine"/>
    <s v="Routine"/>
    <x v="12"/>
    <n v="2030"/>
    <s v="Haiti"/>
    <s v="v23.2"/>
    <s v="Gavi 6.0"/>
    <n v="636147.59100000001"/>
    <n v="282909.63312106399"/>
    <n v="0.63614759100000007"/>
    <n v="0.28290963312106399"/>
    <s v="Guaranteed"/>
  </r>
  <r>
    <s v="Vaccine"/>
    <s v="Routine"/>
    <x v="12"/>
    <n v="2026"/>
    <s v="Djibouti"/>
    <s v="v23.2"/>
    <s v="Gavi 6.0"/>
    <n v="27040.410400000001"/>
    <n v="12700"/>
    <n v="2.7040410399999999E-2"/>
    <n v="1.2699999999999999E-2"/>
    <s v="Guaranteed"/>
  </r>
  <r>
    <s v="Vaccine"/>
    <s v="Routine"/>
    <x v="12"/>
    <n v="2026"/>
    <s v="Guinea-Bissau"/>
    <s v="v23.2"/>
    <s v="Gavi 6.0"/>
    <n v="229737.02960000001"/>
    <n v="107900"/>
    <n v="0.2297370296"/>
    <n v="0.1079"/>
    <s v="Guaranteed"/>
  </r>
  <r>
    <s v="Vaccine"/>
    <s v="Routine"/>
    <x v="12"/>
    <n v="2029"/>
    <s v="Guinea-Bissau"/>
    <s v="v23.2"/>
    <s v="Gavi 6.0"/>
    <n v="283147.42790000001"/>
    <n v="124812.111389714"/>
    <n v="0.28314742790000003"/>
    <n v="0.124812111389714"/>
    <s v="Guaranteed"/>
  </r>
  <r>
    <s v="Vaccine"/>
    <s v="Routine"/>
    <x v="12"/>
    <n v="2030"/>
    <s v="Guinea-Bissau"/>
    <s v="v23.2"/>
    <s v="Gavi 6.0"/>
    <n v="247818.4688"/>
    <n v="110210.6383676"/>
    <n v="0.2478184688"/>
    <n v="0.11021063836759999"/>
    <s v="Guaranteed"/>
  </r>
  <r>
    <s v="Vaccine"/>
    <s v="Routine"/>
    <x v="12"/>
    <n v="2030"/>
    <s v="Burundi"/>
    <s v="v23.2"/>
    <s v="Gavi 6.0"/>
    <n v="1729490.9793"/>
    <n v="769144.87358409003"/>
    <n v="1.7294909793"/>
    <n v="0.76914487358409001"/>
    <s v="Guaranteed"/>
  </r>
  <r>
    <s v="Vaccine"/>
    <s v="Routine"/>
    <x v="12"/>
    <n v="2029"/>
    <s v="Burundi"/>
    <s v="v23.2"/>
    <s v="Gavi 6.0"/>
    <n v="1699382.4659"/>
    <n v="749092.14313613495"/>
    <n v="1.6993824658999999"/>
    <n v="0.74909214313613492"/>
    <s v="Guaranteed"/>
  </r>
  <r>
    <s v="Vaccine"/>
    <s v="Routine"/>
    <x v="12"/>
    <n v="2029"/>
    <s v="Côte d’Ivoire"/>
    <s v="v23.2"/>
    <s v="Gavi 6.0"/>
    <n v="428448.02179999999"/>
    <n v="188860.985281031"/>
    <n v="0.42844802179999997"/>
    <n v="0.18886098528103099"/>
    <s v="Guaranteed"/>
  </r>
  <r>
    <s v="Vaccine"/>
    <s v="Routine"/>
    <x v="12"/>
    <n v="2026"/>
    <s v="Burundi"/>
    <s v="v23.2"/>
    <s v="Gavi 6.0"/>
    <n v="1472073.5891"/>
    <n v="690800"/>
    <n v="1.4720735891000001"/>
    <n v="0.69079999999999997"/>
    <s v="Guaranteed"/>
  </r>
  <r>
    <s v="Vaccine"/>
    <s v="Routine"/>
    <x v="12"/>
    <n v="2026"/>
    <s v="Angola"/>
    <s v="v23.2"/>
    <s v="Gavi 6.0"/>
    <n v="82499.775800000003"/>
    <n v="38747.457600000002"/>
    <n v="8.2499775800000008E-2"/>
    <n v="3.87474576E-2"/>
    <s v="Guaranteed"/>
  </r>
  <r>
    <s v="Vaccine"/>
    <s v="Routine"/>
    <x v="12"/>
    <n v="2026"/>
    <s v="Congo, the Democratic Republic of the"/>
    <s v="v23.2"/>
    <s v="Gavi 6.0"/>
    <n v="14808679.0655"/>
    <n v="6955154.2217834201"/>
    <n v="14.8086790655"/>
    <n v="6.9551542217834204"/>
    <s v="Guaranteed"/>
  </r>
  <r>
    <s v="Vaccine"/>
    <s v="Routine"/>
    <x v="12"/>
    <n v="2026"/>
    <s v="Niger"/>
    <s v="v23.2"/>
    <s v="Gavi 6.0"/>
    <n v="4822893.4124999996"/>
    <n v="2265155.9487930201"/>
    <n v="4.8228934125"/>
    <n v="2.2651559487930202"/>
    <s v="Guaranteed"/>
  </r>
  <r>
    <s v="Vaccine"/>
    <s v="Routine"/>
    <x v="12"/>
    <n v="2026"/>
    <s v="Tajikistan"/>
    <s v="v23.2"/>
    <s v="Gavi 6.0"/>
    <n v="684736.15229999996"/>
    <n v="321598.26811136003"/>
    <n v="0.68473615229999996"/>
    <n v="0.32159826811136005"/>
    <s v="Guaranteed"/>
  </r>
  <r>
    <s v="Vaccine"/>
    <s v="Routine"/>
    <x v="12"/>
    <n v="2026"/>
    <s v="Madagascar"/>
    <s v="v23.2"/>
    <s v="Gavi 6.0"/>
    <n v="4062841.3169"/>
    <n v="1908184.2352333399"/>
    <n v="4.0628413169000002"/>
    <n v="1.90818423523334"/>
    <s v="Guaranteed"/>
  </r>
  <r>
    <s v="Vaccine"/>
    <s v="Routine"/>
    <x v="12"/>
    <n v="2026"/>
    <s v="Sierra Leone"/>
    <s v="v23.2"/>
    <s v="Gavi 6.0"/>
    <n v="1071952.8949"/>
    <n v="480912.39194489201"/>
    <n v="1.0719528948999999"/>
    <n v="0.48091239194489199"/>
    <s v="Guaranteed"/>
  </r>
  <r>
    <s v="Vaccine"/>
    <s v="Routine"/>
    <x v="12"/>
    <n v="2026"/>
    <s v="Côte d’Ivoire"/>
    <s v="v23.2"/>
    <s v="Gavi 6.0"/>
    <n v="1521505.8774999999"/>
    <n v="714601.75349471997"/>
    <n v="1.5215058774999999"/>
    <n v="0.71460175349471999"/>
    <s v="Guaranteed"/>
  </r>
  <r>
    <s v="Vaccine"/>
    <s v="Routine"/>
    <x v="12"/>
    <n v="2026"/>
    <s v="Mozambique"/>
    <s v="v23.2"/>
    <s v="Gavi 6.0"/>
    <n v="6398649.0343000004"/>
    <n v="1123217.4772049999"/>
    <n v="6.3986490343"/>
    <n v="1.1232174772049999"/>
    <s v="Guaranteed"/>
  </r>
  <r>
    <s v="Vaccine"/>
    <s v="Routine"/>
    <x v="12"/>
    <n v="2026"/>
    <s v="Liberia"/>
    <s v="v23.2"/>
    <s v="Gavi 6.0"/>
    <n v="628170.37749999994"/>
    <n v="295031.16610743297"/>
    <n v="0.62817037749999993"/>
    <n v="0.29503116610743296"/>
    <s v="Guaranteed"/>
  </r>
  <r>
    <s v="Vaccine"/>
    <s v="Routine"/>
    <x v="12"/>
    <n v="2026"/>
    <s v="Afghanistan"/>
    <s v="v23.2"/>
    <s v="Gavi 6.0"/>
    <n v="7829997.4031999996"/>
    <n v="3265225.8457114398"/>
    <n v="7.8299974031999993"/>
    <n v="3.26522584571144"/>
    <s v="Guaranteed"/>
  </r>
  <r>
    <s v="Vaccine"/>
    <s v="Routine"/>
    <x v="12"/>
    <n v="2026"/>
    <s v="Yemen"/>
    <s v="v23.2"/>
    <s v="Gavi 6.0"/>
    <n v="5268958.6464"/>
    <n v="2274853.0190801299"/>
    <n v="5.2689586463999998"/>
    <n v="2.2748530190801297"/>
    <s v="Guaranteed"/>
  </r>
  <r>
    <s v="Vaccine"/>
    <s v="Routine"/>
    <x v="12"/>
    <n v="2027"/>
    <s v="Djibouti"/>
    <s v="v23.2"/>
    <s v="Gavi 6.0"/>
    <n v="18647.2045"/>
    <n v="8676.4833698090006"/>
    <n v="1.86472045E-2"/>
    <n v="8.6764833698089999E-3"/>
    <s v="Guaranteed"/>
  </r>
  <r>
    <s v="Vaccine"/>
    <s v="Routine"/>
    <x v="12"/>
    <n v="2028"/>
    <s v="Djibouti"/>
    <s v="v23.2"/>
    <s v="Gavi 6.0"/>
    <n v="12482.4254"/>
    <n v="5864.1772838921997"/>
    <n v="1.24824254E-2"/>
    <n v="5.8641772838921996E-3"/>
    <s v="Guaranteed"/>
  </r>
  <r>
    <s v="Vaccine"/>
    <s v="Routine"/>
    <x v="12"/>
    <n v="2027"/>
    <s v="Senegal"/>
    <s v="v23.2"/>
    <s v="Gavi 6.0"/>
    <n v="2051831.7004"/>
    <n v="954710.58987482102"/>
    <n v="2.0518317004000002"/>
    <n v="0.95471058987482105"/>
    <s v="Guaranteed"/>
  </r>
  <r>
    <s v="Vaccine"/>
    <s v="Routine"/>
    <x v="12"/>
    <n v="2028"/>
    <s v="Senegal"/>
    <s v="v23.2"/>
    <s v="Gavi 6.0"/>
    <n v="1972144.5893000001"/>
    <n v="926503.07572963706"/>
    <n v="1.9721445893"/>
    <n v="0.92650307572963708"/>
    <s v="Guaranteed"/>
  </r>
  <r>
    <s v="Vaccine"/>
    <s v="Routine"/>
    <x v="12"/>
    <n v="2027"/>
    <s v="Lesotho"/>
    <s v="v23.2"/>
    <s v="Gavi 6.0"/>
    <n v="91471.906099999993"/>
    <n v="42561.579207609197"/>
    <n v="9.1471906099999986E-2"/>
    <n v="4.2561579207609196E-2"/>
    <s v="Guaranteed"/>
  </r>
  <r>
    <s v="Vaccine"/>
    <s v="Routine"/>
    <x v="12"/>
    <n v="2028"/>
    <s v="Lesotho"/>
    <s v="v23.2"/>
    <s v="Gavi 6.0"/>
    <n v="86730.483399999997"/>
    <n v="40745.521445147402"/>
    <n v="8.6730483400000002E-2"/>
    <n v="4.0745521445147405E-2"/>
    <s v="Guaranteed"/>
  </r>
  <r>
    <s v="Vaccine"/>
    <s v="Routine"/>
    <x v="12"/>
    <n v="2027"/>
    <s v="Eritrea"/>
    <s v="v23.2"/>
    <s v="Gavi 6.0"/>
    <n v="312043.5233"/>
    <n v="145192.83237564101"/>
    <n v="0.31204352330000001"/>
    <n v="0.14519283237564101"/>
    <s v="Guaranteed"/>
  </r>
  <r>
    <s v="Vaccine"/>
    <s v="Routine"/>
    <x v="12"/>
    <n v="2027"/>
    <s v="Nepal"/>
    <s v="v23.2"/>
    <s v="Gavi 6.0"/>
    <n v="1595381.2482"/>
    <n v="742325.68498189596"/>
    <n v="1.5953812482"/>
    <n v="0.74232568498189599"/>
    <s v="Guaranteed"/>
  </r>
  <r>
    <s v="Vaccine"/>
    <s v="Routine"/>
    <x v="12"/>
    <n v="2028"/>
    <s v="Nepal"/>
    <s v="v23.2"/>
    <s v="Gavi 6.0"/>
    <n v="1465944.6819"/>
    <n v="688693.04204377602"/>
    <n v="1.4659446818999999"/>
    <n v="0.68869304204377602"/>
    <s v="Guaranteed"/>
  </r>
  <r>
    <s v="Vaccine"/>
    <s v="Routine"/>
    <x v="12"/>
    <n v="2028"/>
    <s v="Eritrea"/>
    <s v="v23.2"/>
    <s v="Gavi 6.0"/>
    <n v="319220.44500000001"/>
    <n v="149968.073203698"/>
    <n v="0.31922044500000002"/>
    <n v="0.14996807320369801"/>
    <s v="Guaranteed"/>
  </r>
  <r>
    <s v="Vaccine"/>
    <s v="Routine"/>
    <x v="12"/>
    <n v="2028"/>
    <s v="Gambia"/>
    <s v="v23.2"/>
    <s v="Gavi 6.0"/>
    <n v="262365.47480000003"/>
    <n v="123257.909519061"/>
    <n v="0.2623654748"/>
    <n v="0.123257909519061"/>
    <s v="Guaranteed"/>
  </r>
  <r>
    <s v="Vaccine"/>
    <s v="Routine"/>
    <x v="12"/>
    <n v="2027"/>
    <s v="Mauritania"/>
    <s v="v23.2"/>
    <s v="Gavi 6.0"/>
    <n v="421779.49599999998"/>
    <n v="196252.62218155299"/>
    <n v="0.42177949599999998"/>
    <n v="0.19625262218155298"/>
    <s v="Guaranteed"/>
  </r>
  <r>
    <s v="Vaccine"/>
    <s v="Routine"/>
    <x v="12"/>
    <n v="2028"/>
    <s v="Tajikistan"/>
    <s v="v23.2"/>
    <s v="Gavi 6.0"/>
    <n v="799040.91579999996"/>
    <n v="375385.18735224498"/>
    <n v="0.79904091579999992"/>
    <n v="0.37538518735224496"/>
    <s v="Guaranteed"/>
  </r>
  <r>
    <s v="Vaccine"/>
    <s v="Routine"/>
    <x v="12"/>
    <n v="2028"/>
    <s v="United Republic of Tanzania"/>
    <s v="v23.2"/>
    <s v="Gavi 6.0"/>
    <n v="7984134.0998999998"/>
    <n v="3750903.8843022599"/>
    <n v="7.9841340998999994"/>
    <n v="3.75090388430226"/>
    <s v="Guaranteed"/>
  </r>
  <r>
    <s v="Vaccine"/>
    <s v="Routine"/>
    <x v="12"/>
    <n v="2027"/>
    <s v="Togo"/>
    <s v="v23.2"/>
    <s v="Gavi 6.0"/>
    <n v="1055619.159"/>
    <n v="491176.14751163998"/>
    <n v="1.0556191589999999"/>
    <n v="0.49117614751163996"/>
    <s v="Guaranteed"/>
  </r>
  <r>
    <s v="Vaccine"/>
    <s v="Routine"/>
    <x v="12"/>
    <n v="2027"/>
    <s v="Myanmar"/>
    <s v="v23.2"/>
    <s v="Gavi 6.0"/>
    <n v="1279545.1934"/>
    <n v="595368.20010351797"/>
    <n v="1.2795451933999999"/>
    <n v="0.59536820010351799"/>
    <s v="Guaranteed"/>
  </r>
  <r>
    <s v="Vaccine"/>
    <s v="Routine"/>
    <x v="12"/>
    <n v="2028"/>
    <s v="Myanmar"/>
    <s v="v23.2"/>
    <s v="Gavi 6.0"/>
    <n v="1198254.8831"/>
    <n v="562933.79335318902"/>
    <n v="1.1982548830999999"/>
    <n v="0.56293379335318905"/>
    <s v="Guaranteed"/>
  </r>
  <r>
    <s v="Vaccine"/>
    <s v="Routine"/>
    <x v="12"/>
    <n v="2027"/>
    <s v="Gambia"/>
    <s v="v23.2"/>
    <s v="Gavi 6.0"/>
    <n v="261264.84220000001"/>
    <n v="121565.677912365"/>
    <n v="0.26126484220000001"/>
    <n v="0.121565677912365"/>
    <s v="Guaranteed"/>
  </r>
  <r>
    <s v="Vaccine"/>
    <s v="Routine"/>
    <x v="12"/>
    <n v="2028"/>
    <s v="Togo"/>
    <s v="v23.2"/>
    <s v="Gavi 6.0"/>
    <n v="1061111.4227"/>
    <n v="498504.52252644999"/>
    <n v="1.0611114227"/>
    <n v="0.49850452252645"/>
    <s v="Guaranteed"/>
  </r>
  <r>
    <s v="Vaccine"/>
    <s v="Routine"/>
    <x v="12"/>
    <n v="2028"/>
    <s v="Mauritania"/>
    <s v="v23.2"/>
    <s v="Gavi 6.0"/>
    <n v="391531.10560000001"/>
    <n v="183939.23828615999"/>
    <n v="0.39153110559999998"/>
    <n v="0.18393923828615999"/>
    <s v="Guaranteed"/>
  </r>
  <r>
    <s v="Vaccine"/>
    <s v="Routine"/>
    <x v="12"/>
    <n v="2027"/>
    <s v="Rwanda"/>
    <s v="v23.2"/>
    <s v="Gavi 6.0"/>
    <n v="1457576.3308999999"/>
    <n v="678205.50698814297"/>
    <n v="1.4575763309000001"/>
    <n v="0.67820550698814297"/>
    <s v="Guaranteed"/>
  </r>
  <r>
    <s v="Vaccine"/>
    <s v="Routine"/>
    <x v="12"/>
    <n v="2028"/>
    <s v="Rwanda"/>
    <s v="v23.2"/>
    <s v="Gavi 6.0"/>
    <n v="1476828.8071999999"/>
    <n v="693806.34646568901"/>
    <n v="1.4768288072"/>
    <n v="0.69380634646568906"/>
    <s v="Guaranteed"/>
  </r>
  <r>
    <s v="Vaccine"/>
    <s v="Routine"/>
    <x v="12"/>
    <n v="2027"/>
    <s v="Pakistan"/>
    <s v="v23.2"/>
    <s v="Gavi 6.0"/>
    <n v="9704106.8313999996"/>
    <n v="4515289.2195053501"/>
    <n v="9.704106831399999"/>
    <n v="4.51528921950535"/>
    <s v="Guaranteed"/>
  </r>
  <r>
    <s v="Vaccine"/>
    <s v="Routine"/>
    <x v="12"/>
    <n v="2028"/>
    <s v="Pakistan"/>
    <s v="v23.2"/>
    <s v="Gavi 6.0"/>
    <n v="6676857.7083999999"/>
    <n v="3136752.3641345198"/>
    <n v="6.6768577084"/>
    <n v="3.1367523641345199"/>
    <s v="Guaranteed"/>
  </r>
  <r>
    <s v="Vaccine"/>
    <s v="Routine"/>
    <x v="12"/>
    <n v="2027"/>
    <s v="Solomon Islands"/>
    <s v="v23.2"/>
    <s v="Gavi 6.0"/>
    <n v="20263.334599999998"/>
    <n v="9428.4634246366004"/>
    <n v="2.0263334599999999E-2"/>
    <n v="9.4284634246366E-3"/>
    <s v="Guaranteed"/>
  </r>
  <r>
    <s v="Vaccine"/>
    <s v="Routine"/>
    <x v="12"/>
    <n v="2028"/>
    <s v="Solomon Islands"/>
    <s v="v23.2"/>
    <s v="Gavi 6.0"/>
    <n v="20322.417000000001"/>
    <n v="9547.3637896549008"/>
    <n v="2.0322417000000002E-2"/>
    <n v="9.5473637896549002E-3"/>
    <s v="Guaranteed"/>
  </r>
  <r>
    <s v="Vaccine"/>
    <s v="Routine"/>
    <x v="12"/>
    <n v="2027"/>
    <s v="Somalia"/>
    <s v="v23.2"/>
    <s v="Gavi 6.0"/>
    <n v="2179371.5452999999"/>
    <n v="1014054.46320539"/>
    <n v="2.1793715453"/>
    <n v="1.0140544632053901"/>
    <s v="Guaranteed"/>
  </r>
  <r>
    <s v="Vaccine"/>
    <s v="Routine"/>
    <x v="12"/>
    <n v="2028"/>
    <s v="Somalia"/>
    <s v="v23.2"/>
    <s v="Gavi 6.0"/>
    <n v="2212689.7118000002"/>
    <n v="1039509.89937305"/>
    <n v="2.2126897118"/>
    <n v="1.0395098993730501"/>
    <s v="Guaranteed"/>
  </r>
  <r>
    <s v="Vaccine"/>
    <s v="Routine"/>
    <x v="12"/>
    <n v="2027"/>
    <s v="Malawi"/>
    <s v="v23.2"/>
    <s v="Gavi 6.0"/>
    <n v="3271463.1351000001"/>
    <n v="1522201.1136704199"/>
    <n v="3.2714631350999999"/>
    <n v="1.5222011136704199"/>
    <s v="Guaranteed"/>
  </r>
  <r>
    <s v="Vaccine"/>
    <s v="Routine"/>
    <x v="12"/>
    <n v="2028"/>
    <s v="Malawi"/>
    <s v="v23.2"/>
    <s v="Gavi 6.0"/>
    <n v="3280458.5413000002"/>
    <n v="1541142.0363316999"/>
    <n v="3.2804585413000003"/>
    <n v="1.5411420363316999"/>
    <s v="Guaranteed"/>
  </r>
  <r>
    <s v="Vaccine"/>
    <s v="Routine"/>
    <x v="12"/>
    <n v="2027"/>
    <s v="Cambodia"/>
    <s v="v23.2"/>
    <s v="Gavi 6.0"/>
    <n v="1152241.4575"/>
    <n v="536134.18746937998"/>
    <n v="1.1522414575"/>
    <n v="0.53613418746938002"/>
    <s v="Guaranteed"/>
  </r>
  <r>
    <s v="Vaccine"/>
    <s v="Routine"/>
    <x v="12"/>
    <n v="2028"/>
    <s v="Cambodia"/>
    <s v="v23.2"/>
    <s v="Gavi 6.0"/>
    <n v="1080061.1783"/>
    <n v="507407.01724186901"/>
    <n v="1.0800611783"/>
    <n v="0.50740701724186899"/>
    <s v="Guaranteed"/>
  </r>
  <r>
    <s v="Vaccine"/>
    <s v="Routine"/>
    <x v="12"/>
    <n v="2027"/>
    <s v="Guinea-Bissau"/>
    <s v="v23.2"/>
    <s v="Gavi 6.0"/>
    <n v="235656.01139999999"/>
    <n v="109649.972540021"/>
    <n v="0.23565601139999998"/>
    <n v="0.109649972540021"/>
    <s v="Guaranteed"/>
  </r>
  <r>
    <s v="Vaccine"/>
    <s v="Routine"/>
    <x v="12"/>
    <n v="2028"/>
    <s v="Guinea-Bissau"/>
    <s v="v23.2"/>
    <s v="Gavi 6.0"/>
    <n v="237184.03570000001"/>
    <n v="111427.80290699399"/>
    <n v="0.23718403570000002"/>
    <n v="0.111427802906994"/>
    <s v="Guaranteed"/>
  </r>
  <r>
    <s v="Vaccine"/>
    <s v="Routine"/>
    <x v="12"/>
    <n v="2028"/>
    <s v="Burundi"/>
    <s v="v23.2"/>
    <s v="Gavi 6.0"/>
    <n v="1543020.7888"/>
    <n v="724902.988567136"/>
    <n v="1.5430207888"/>
    <n v="0.72490298856713598"/>
    <s v="Guaranteed"/>
  </r>
  <r>
    <s v="Vaccine"/>
    <s v="Routine"/>
    <x v="12"/>
    <n v="2027"/>
    <s v="Burundi"/>
    <s v="v23.2"/>
    <s v="Gavi 6.0"/>
    <n v="1512691.7246000001"/>
    <n v="703850.51967752504"/>
    <n v="1.5126917246"/>
    <n v="0.70385051967752499"/>
    <s v="Guaranteed"/>
  </r>
  <r>
    <s v="Vaccine"/>
    <s v="Routine"/>
    <x v="12"/>
    <n v="2027"/>
    <s v="Angola"/>
    <s v="v23.2"/>
    <s v="Gavi 6.0"/>
    <n v="717549.37250000006"/>
    <n v="333873.37984000001"/>
    <n v="0.71754937250000006"/>
    <n v="0.33387337983999998"/>
    <s v="Guaranteed"/>
  </r>
  <r>
    <s v="Vaccine"/>
    <s v="Routine"/>
    <x v="12"/>
    <n v="2028"/>
    <s v="Angola"/>
    <s v="v23.2"/>
    <s v="Gavi 6.0"/>
    <n v="746183.68200000003"/>
    <n v="350553.13903999998"/>
    <n v="0.74618368200000007"/>
    <n v="0.35055313903999996"/>
    <s v="Guaranteed"/>
  </r>
  <r>
    <s v="Vaccine"/>
    <s v="Routine"/>
    <x v="12"/>
    <n v="2027"/>
    <s v="Congo, the Democratic Republic of the"/>
    <s v="v23.2"/>
    <s v="Gavi 6.0"/>
    <n v="15503609.7996"/>
    <n v="7213779.0120892897"/>
    <n v="15.5036097996"/>
    <n v="7.2137790120892893"/>
    <s v="Guaranteed"/>
  </r>
  <r>
    <s v="Vaccine"/>
    <s v="Routine"/>
    <x v="12"/>
    <n v="2028"/>
    <s v="Congo, the Democratic Republic of the"/>
    <s v="v23.2"/>
    <s v="Gavi 6.0"/>
    <n v="15721017.3873"/>
    <n v="7385650.6473264499"/>
    <n v="15.7210173873"/>
    <n v="7.3856506473264503"/>
    <s v="Guaranteed"/>
  </r>
  <r>
    <s v="Vaccine"/>
    <s v="Routine"/>
    <x v="12"/>
    <n v="2027"/>
    <s v="Haiti"/>
    <s v="v23.2"/>
    <s v="Gavi 6.0"/>
    <n v="672207.11129999999"/>
    <n v="312775.77377760003"/>
    <n v="0.67220711129999999"/>
    <n v="0.31277577377760002"/>
    <s v="Guaranteed"/>
  </r>
  <r>
    <s v="Vaccine"/>
    <s v="Routine"/>
    <x v="12"/>
    <n v="2028"/>
    <s v="Haiti"/>
    <s v="v23.2"/>
    <s v="Gavi 6.0"/>
    <n v="640807.53709999996"/>
    <n v="301047.98463791999"/>
    <n v="0.64080753709999994"/>
    <n v="0.30104798463791999"/>
    <s v="Guaranteed"/>
  </r>
  <r>
    <s v="Vaccine"/>
    <s v="Routine"/>
    <x v="12"/>
    <n v="2027"/>
    <s v="Niger"/>
    <s v="v23.2"/>
    <s v="Gavi 6.0"/>
    <n v="4350356.6198000005"/>
    <n v="2024206.72893713"/>
    <n v="4.3503566198000003"/>
    <n v="2.0242067289371302"/>
    <s v="Guaranteed"/>
  </r>
  <r>
    <s v="Vaccine"/>
    <s v="Routine"/>
    <x v="12"/>
    <n v="2028"/>
    <s v="Niger"/>
    <s v="v23.2"/>
    <s v="Gavi 6.0"/>
    <n v="4413413.9974999996"/>
    <n v="2073398.5049996099"/>
    <n v="4.4134139974999993"/>
    <n v="2.0733985049996098"/>
    <s v="Guaranteed"/>
  </r>
  <r>
    <s v="Vaccine"/>
    <s v="Routine"/>
    <x v="12"/>
    <n v="2027"/>
    <s v="Tajikistan"/>
    <s v="v23.2"/>
    <s v="Gavi 6.0"/>
    <n v="862593.41189999995"/>
    <n v="401361.89773680002"/>
    <n v="0.86259341189999994"/>
    <n v="0.40136189773680003"/>
    <s v="Guaranteed"/>
  </r>
  <r>
    <s v="Vaccine"/>
    <s v="Routine"/>
    <x v="12"/>
    <n v="2027"/>
    <s v="Madagascar"/>
    <s v="v23.2"/>
    <s v="Gavi 6.0"/>
    <n v="3055823.6282000002"/>
    <n v="1421864.7553059501"/>
    <n v="3.0558236282000002"/>
    <n v="1.42186475530595"/>
    <s v="Guaranteed"/>
  </r>
  <r>
    <s v="Vaccine"/>
    <s v="Routine"/>
    <x v="12"/>
    <n v="2028"/>
    <s v="Madagascar"/>
    <s v="v23.2"/>
    <s v="Gavi 6.0"/>
    <n v="3038727.1455000001"/>
    <n v="1427577.90774678"/>
    <n v="3.0387271455000002"/>
    <n v="1.4275779077467801"/>
    <s v="Guaranteed"/>
  </r>
  <r>
    <s v="Vaccine"/>
    <s v="Routine"/>
    <x v="12"/>
    <n v="2027"/>
    <s v="Sierra Leone"/>
    <s v="v23.2"/>
    <s v="Gavi 6.0"/>
    <n v="990485.88190000004"/>
    <n v="460869.84638640401"/>
    <n v="0.99048588190000009"/>
    <n v="0.46086984638640399"/>
    <s v="Guaranteed"/>
  </r>
  <r>
    <s v="Vaccine"/>
    <s v="Routine"/>
    <x v="12"/>
    <n v="2028"/>
    <s v="Sierra Leone"/>
    <s v="v23.2"/>
    <s v="Gavi 6.0"/>
    <n v="1056900.3108999999"/>
    <n v="496526.16451656702"/>
    <n v="1.0569003108999999"/>
    <n v="0.496526164516567"/>
    <s v="Guaranteed"/>
  </r>
  <r>
    <s v="Vaccine"/>
    <s v="Routine"/>
    <x v="12"/>
    <n v="2027"/>
    <s v="United Republic of Tanzania"/>
    <s v="v23.2"/>
    <s v="Gavi 6.0"/>
    <n v="10077303.011399999"/>
    <n v="4688936.1833600001"/>
    <n v="10.0773030114"/>
    <n v="4.6889361833600001"/>
    <s v="Guaranteed"/>
  </r>
  <r>
    <s v="Vaccine"/>
    <s v="Routine"/>
    <x v="12"/>
    <n v="2027"/>
    <s v="Côte d’Ivoire"/>
    <s v="v23.2"/>
    <s v="Gavi 6.0"/>
    <n v="1175465.1307000001"/>
    <n v="546940.08679648"/>
    <n v="1.1754651307000001"/>
    <n v="0.54694008679647999"/>
    <s v="Guaranteed"/>
  </r>
  <r>
    <s v="Vaccine"/>
    <s v="Routine"/>
    <x v="12"/>
    <n v="2028"/>
    <s v="Côte d’Ivoire"/>
    <s v="v23.2"/>
    <s v="Gavi 6.0"/>
    <n v="788828.25490000006"/>
    <n v="370587.33339263999"/>
    <n v="0.78882825490000008"/>
    <n v="0.37058733339263999"/>
    <s v="Guaranteed"/>
  </r>
  <r>
    <s v="Vaccine"/>
    <s v="Routine"/>
    <x v="12"/>
    <n v="2028"/>
    <s v="Mozambique"/>
    <s v="v23.2"/>
    <s v="Gavi 6.0"/>
    <n v="4195659.5957000004"/>
    <n v="1971098.64113111"/>
    <n v="4.1956595957000005"/>
    <n v="1.97109864113111"/>
    <s v="Guaranteed"/>
  </r>
  <r>
    <s v="Vaccine"/>
    <s v="Routine"/>
    <x v="12"/>
    <n v="2027"/>
    <s v="Mozambique"/>
    <s v="v23.2"/>
    <s v="Gavi 6.0"/>
    <n v="4079652.2234"/>
    <n v="1898248.85728629"/>
    <n v="4.0796522234000001"/>
    <n v="1.8982488572862901"/>
    <s v="Guaranteed"/>
  </r>
  <r>
    <s v="Vaccine"/>
    <s v="Routine"/>
    <x v="12"/>
    <n v="2027"/>
    <s v="Liberia"/>
    <s v="v23.2"/>
    <s v="Gavi 6.0"/>
    <n v="650257.63540000003"/>
    <n v="302562.75431335397"/>
    <n v="0.65025763540000003"/>
    <n v="0.302562754313354"/>
    <s v="Guaranteed"/>
  </r>
  <r>
    <s v="Vaccine"/>
    <s v="Routine"/>
    <x v="12"/>
    <n v="2028"/>
    <s v="Liberia"/>
    <s v="v23.2"/>
    <s v="Gavi 6.0"/>
    <n v="653680.28749999998"/>
    <n v="307095.53458203498"/>
    <n v="0.65368028749999996"/>
    <n v="0.30709553458203498"/>
    <s v="Guaranteed"/>
  </r>
  <r>
    <s v="Vaccine"/>
    <s v="Routine"/>
    <x v="12"/>
    <n v="2028"/>
    <s v="Afghanistan"/>
    <s v="v23.2"/>
    <s v="Gavi 6.0"/>
    <n v="6198562.1752000004"/>
    <n v="2912051.65760194"/>
    <n v="6.1985621752000002"/>
    <n v="2.91205165760194"/>
    <s v="Guaranteed"/>
  </r>
  <r>
    <s v="Vaccine"/>
    <s v="Routine"/>
    <x v="12"/>
    <n v="2027"/>
    <s v="Afghanistan"/>
    <s v="v23.2"/>
    <s v="Gavi 6.0"/>
    <n v="6236627.1624999996"/>
    <n v="2901882.2527445299"/>
    <n v="6.2366271624999996"/>
    <n v="2.9018822527445298"/>
    <s v="Guaranteed"/>
  </r>
  <r>
    <s v="Vaccine"/>
    <s v="Routine"/>
    <x v="12"/>
    <n v="2027"/>
    <s v="Yemen"/>
    <s v="v23.2"/>
    <s v="Gavi 6.0"/>
    <n v="4652421.0258999998"/>
    <n v="2164756.31067796"/>
    <n v="4.6524210258999998"/>
    <n v="2.1647563106779599"/>
    <s v="Guaranteed"/>
  </r>
  <r>
    <s v="Vaccine"/>
    <s v="Routine"/>
    <x v="12"/>
    <n v="2028"/>
    <s v="Yemen"/>
    <s v="v23.2"/>
    <s v="Gavi 6.0"/>
    <n v="4560537.9682"/>
    <n v="2142516.5666581299"/>
    <n v="4.5605379682000002"/>
    <n v="2.1425165666581298"/>
    <s v="Guaranteed"/>
  </r>
  <r>
    <s v="Vaccine"/>
    <s v="Routine"/>
    <x v="7"/>
    <n v="2030"/>
    <s v="Liberia"/>
    <s v="v23.2"/>
    <s v="Gavi 6.0"/>
    <n v="797109.17310000001"/>
    <n v="370527.16384777799"/>
    <n v="0.79710917310000007"/>
    <n v="0.37052716384777801"/>
    <s v="Guaranteed"/>
  </r>
  <r>
    <s v="Vaccine"/>
    <s v="Routine"/>
    <x v="7"/>
    <n v="2026"/>
    <s v="Sao Tome and Principe"/>
    <s v="v23.2"/>
    <s v="Gavi 6.0"/>
    <n v="8423.5452999999998"/>
    <n v="2370.6432"/>
    <n v="8.4235452999999998E-3"/>
    <n v="2.3706432E-3"/>
    <s v="Guaranteed"/>
  </r>
  <r>
    <s v="Vaccine"/>
    <s v="Routine"/>
    <x v="7"/>
    <n v="2027"/>
    <s v="Sao Tome and Principe"/>
    <s v="v23.2"/>
    <s v="Gavi 6.0"/>
    <n v="6882.9114"/>
    <n v="1937.0583360000001"/>
    <n v="6.8829114000000004E-3"/>
    <n v="1.9370583360000001E-3"/>
    <s v="Guaranteed"/>
  </r>
  <r>
    <s v="Vaccine"/>
    <s v="Routine"/>
    <x v="7"/>
    <n v="2028"/>
    <s v="Sao Tome and Principe"/>
    <s v="v23.2"/>
    <s v="Gavi 6.0"/>
    <n v="5285.152"/>
    <n v="1507.6367161380001"/>
    <n v="5.2851520000000004E-3"/>
    <n v="1.5076367161380002E-3"/>
    <s v="Guaranteed"/>
  </r>
  <r>
    <s v="Vaccine"/>
    <s v="Routine"/>
    <x v="7"/>
    <n v="2026"/>
    <s v="Haiti"/>
    <s v="v23.2"/>
    <s v="Gavi 6.0"/>
    <n v="1789067.6902000001"/>
    <n v="503641.9759584"/>
    <n v="1.7890676902"/>
    <n v="0.50364197595839999"/>
    <s v="Guaranteed"/>
  </r>
  <r>
    <s v="Vaccine"/>
    <s v="Routine"/>
    <x v="7"/>
    <n v="2027"/>
    <s v="Haiti"/>
    <s v="v23.2"/>
    <s v="Gavi 6.0"/>
    <n v="1546767.1414999999"/>
    <n v="435431.74120991997"/>
    <n v="1.5467671414999999"/>
    <n v="0.43543174120991995"/>
    <s v="Guaranteed"/>
  </r>
  <r>
    <s v="Vaccine"/>
    <s v="Routine"/>
    <x v="7"/>
    <n v="2026"/>
    <s v="Madagascar"/>
    <s v="v23.2"/>
    <s v="Gavi 6.0"/>
    <n v="7263039.5252999999"/>
    <n v="2440220.6936328001"/>
    <n v="7.2630395253"/>
    <n v="2.4402206936328001"/>
    <s v="Guaranteed"/>
  </r>
  <r>
    <s v="Vaccine"/>
    <s v="Routine"/>
    <x v="7"/>
    <n v="2028"/>
    <s v="Haiti"/>
    <s v="v23.2"/>
    <s v="Gavi 6.0"/>
    <n v="1468402.5508999999"/>
    <n v="418992.81149606401"/>
    <n v="1.4684025508999998"/>
    <n v="0.41899281149606399"/>
    <s v="Guaranteed"/>
  </r>
  <r>
    <s v="Vaccine"/>
    <s v="Routine"/>
    <x v="7"/>
    <n v="2026"/>
    <s v="Papua New Guinea"/>
    <s v="v23.2"/>
    <s v="Gavi 6.0"/>
    <n v="239.11949999999999"/>
    <n v="0"/>
    <n v="2.3911949999999999E-4"/>
    <n v="0"/>
    <s v="Guaranteed"/>
  </r>
  <r>
    <s v="Vaccine"/>
    <s v="Routine"/>
    <x v="7"/>
    <n v="2027"/>
    <s v="Papua New Guinea"/>
    <s v="v23.2"/>
    <s v="Gavi 6.0"/>
    <n v="491427.05310000002"/>
    <n v="138342.050110685"/>
    <n v="0.49142705310000001"/>
    <n v="0.13834205011068501"/>
    <s v="Guaranteed"/>
  </r>
  <r>
    <s v="Vaccine"/>
    <s v="Routine"/>
    <x v="7"/>
    <n v="2028"/>
    <s v="Papua New Guinea"/>
    <s v="v23.2"/>
    <s v="Gavi 6.0"/>
    <n v="393641.43229999999"/>
    <n v="112321.332015543"/>
    <n v="0.39364143229999998"/>
    <n v="0.11232133201554299"/>
    <s v="Guaranteed"/>
  </r>
  <r>
    <s v="Vaccine"/>
    <s v="Routine"/>
    <x v="7"/>
    <n v="2026"/>
    <s v="Cambodia"/>
    <s v="v23.2"/>
    <s v="Gavi 6.0"/>
    <n v="2789057.6217999998"/>
    <n v="785150"/>
    <n v="2.7890576218000001"/>
    <n v="0.78515000000000001"/>
    <s v="Guaranteed"/>
  </r>
  <r>
    <s v="Vaccine"/>
    <s v="Routine"/>
    <x v="7"/>
    <n v="2027"/>
    <s v="Cambodia"/>
    <s v="v23.2"/>
    <s v="Gavi 6.0"/>
    <n v="2658868.7596999998"/>
    <n v="748500.41909734602"/>
    <n v="2.6588687596999998"/>
    <n v="0.74850041909734599"/>
    <s v="Guaranteed"/>
  </r>
  <r>
    <s v="Vaccine"/>
    <s v="Routine"/>
    <x v="7"/>
    <n v="2028"/>
    <s v="Cambodia"/>
    <s v="v23.2"/>
    <s v="Gavi 6.0"/>
    <n v="2482257.0661999998"/>
    <n v="708285.24941773003"/>
    <n v="2.4822570661999999"/>
    <n v="0.70828524941773008"/>
    <s v="Guaranteed"/>
  </r>
  <r>
    <s v="Vaccine"/>
    <s v="Routine"/>
    <x v="7"/>
    <n v="2030"/>
    <s v="Burundi"/>
    <s v="v23.2"/>
    <s v="Gavi 6.0"/>
    <n v="2587382.659"/>
    <n v="1202715.5009647899"/>
    <n v="2.5873826590000002"/>
    <n v="1.2027155009647899"/>
    <s v="Guaranteed"/>
  </r>
  <r>
    <s v="Vaccine"/>
    <s v="Routine"/>
    <x v="7"/>
    <n v="2026"/>
    <s v="Uganda"/>
    <s v="v23.2"/>
    <s v="Gavi 6.0"/>
    <n v="15719957.8423"/>
    <n v="5281600"/>
    <n v="15.719957842299999"/>
    <n v="5.2816000000000001"/>
    <s v="Guaranteed"/>
  </r>
  <r>
    <s v="Vaccine"/>
    <s v="Routine"/>
    <x v="7"/>
    <n v="2027"/>
    <s v="Uganda"/>
    <s v="v23.2"/>
    <s v="Gavi 6.0"/>
    <n v="17745409.326900002"/>
    <n v="5962065.1802717596"/>
    <n v="17.745409326900003"/>
    <n v="5.9620651802717592"/>
    <s v="Guaranteed"/>
  </r>
  <r>
    <s v="Vaccine"/>
    <s v="Routine"/>
    <x v="7"/>
    <n v="2029"/>
    <s v="Guinea"/>
    <s v="v23.2"/>
    <s v="Gavi 6.0"/>
    <n v="832419.23580000002"/>
    <n v="387591.56959686702"/>
    <n v="0.83241923579999999"/>
    <n v="0.38759156959686702"/>
    <s v="Guaranteed"/>
  </r>
  <r>
    <s v="Vaccine"/>
    <s v="Routine"/>
    <x v="7"/>
    <n v="2030"/>
    <s v="Guinea"/>
    <s v="v23.2"/>
    <s v="Gavi 6.0"/>
    <n v="673131.81610000005"/>
    <n v="313424.06079485401"/>
    <n v="0.67313181610000006"/>
    <n v="0.31342406079485402"/>
    <s v="Guaranteed"/>
  </r>
  <r>
    <s v="Vaccine"/>
    <s v="Routine"/>
    <x v="7"/>
    <n v="2030"/>
    <s v="Malawi"/>
    <s v="v23.2"/>
    <s v="Gavi 6.0"/>
    <n v="5468969.0257000001"/>
    <n v="2542188.2606260702"/>
    <n v="5.4689690256999999"/>
    <n v="2.5421882606260704"/>
    <s v="Guaranteed"/>
  </r>
  <r>
    <s v="Vaccine"/>
    <s v="Routine"/>
    <x v="7"/>
    <n v="2026"/>
    <s v="Nepal"/>
    <s v="v23.2"/>
    <s v="Gavi 6.0"/>
    <n v="3746334.6466000001"/>
    <n v="1260800"/>
    <n v="3.7463346466000003"/>
    <n v="1.2607999999999999"/>
    <s v="Guaranteed"/>
  </r>
  <r>
    <s v="Vaccine"/>
    <s v="Routine"/>
    <x v="7"/>
    <n v="2027"/>
    <s v="Nepal"/>
    <s v="v23.2"/>
    <s v="Gavi 6.0"/>
    <n v="3518736.8873999999"/>
    <n v="1184203.6796476799"/>
    <n v="3.5187368873999998"/>
    <n v="1.1842036796476798"/>
    <s v="Guaranteed"/>
  </r>
  <r>
    <s v="Vaccine"/>
    <s v="Routine"/>
    <x v="7"/>
    <n v="2026"/>
    <s v="Djibouti"/>
    <s v="v23.2"/>
    <s v="Gavi 6.0"/>
    <n v="65716.784100000004"/>
    <n v="18500"/>
    <n v="6.5716784100000009E-2"/>
    <n v="1.8499999999999999E-2"/>
    <s v="Guaranteed"/>
  </r>
  <r>
    <s v="Vaccine"/>
    <s v="Routine"/>
    <x v="7"/>
    <n v="2027"/>
    <s v="Djibouti"/>
    <s v="v23.2"/>
    <s v="Gavi 6.0"/>
    <n v="49756.334600000002"/>
    <n v="14006.9483269543"/>
    <n v="4.97563346E-2"/>
    <n v="1.40069483269543E-2"/>
    <s v="Guaranteed"/>
  </r>
  <r>
    <s v="Vaccine"/>
    <s v="Routine"/>
    <x v="7"/>
    <n v="2028"/>
    <s v="Djibouti"/>
    <s v="v23.2"/>
    <s v="Gavi 6.0"/>
    <n v="33187.966800000002"/>
    <n v="9469.8279367218001"/>
    <n v="3.3187966800000003E-2"/>
    <n v="9.4698279367218009E-3"/>
    <s v="Guaranteed"/>
  </r>
  <r>
    <s v="Vaccine"/>
    <s v="Routine"/>
    <x v="7"/>
    <n v="2030"/>
    <s v="Cameroon"/>
    <s v="v23.2"/>
    <s v="Gavi 6.0"/>
    <n v="836277.46140000003"/>
    <n v="389388.03902778402"/>
    <n v="0.83627746140000003"/>
    <n v="0.38938803902778402"/>
    <s v="Guaranteed"/>
  </r>
  <r>
    <s v="Vaccine"/>
    <s v="Routine"/>
    <x v="7"/>
    <n v="2030"/>
    <s v="Sierra Leone"/>
    <s v="v23.2"/>
    <s v="Gavi 6.0"/>
    <n v="1370205.1769000001"/>
    <n v="636924.34516195103"/>
    <n v="1.3702051769000001"/>
    <n v="0.63692434516195107"/>
    <s v="Guaranteed"/>
  </r>
  <r>
    <s v="Vaccine"/>
    <s v="Routine"/>
    <x v="7"/>
    <n v="2030"/>
    <s v="Togo"/>
    <s v="v23.2"/>
    <s v="Gavi 6.0"/>
    <n v="1705987.4722"/>
    <n v="794342.96283329302"/>
    <n v="1.7059874721999999"/>
    <n v="0.79434296283329298"/>
    <s v="Guaranteed"/>
  </r>
  <r>
    <s v="Vaccine"/>
    <s v="Routine"/>
    <x v="7"/>
    <n v="2029"/>
    <s v="Nepal"/>
    <s v="v23.2"/>
    <s v="Gavi 6.0"/>
    <n v="2127788.4156999998"/>
    <n v="990742.18417569005"/>
    <n v="2.1277884157"/>
    <n v="0.99074218417569004"/>
    <s v="Guaranteed"/>
  </r>
  <r>
    <s v="Vaccine"/>
    <s v="Routine"/>
    <x v="7"/>
    <n v="2030"/>
    <s v="Nepal"/>
    <s v="v23.2"/>
    <s v="Gavi 6.0"/>
    <n v="1907987.372"/>
    <n v="888398.28356750205"/>
    <n v="1.907987372"/>
    <n v="0.88839828356750206"/>
    <s v="Guaranteed"/>
  </r>
  <r>
    <s v="Vaccine"/>
    <s v="Routine"/>
    <x v="7"/>
    <n v="2030"/>
    <s v="Congo, the Democratic Republic of the"/>
    <s v="v23.2"/>
    <s v="Gavi 6.0"/>
    <n v="24904985.973900001"/>
    <n v="11576800.431041799"/>
    <n v="24.904985973900001"/>
    <n v="11.5768004310418"/>
    <s v="Guaranteed"/>
  </r>
  <r>
    <s v="Vaccine"/>
    <s v="Routine"/>
    <x v="7"/>
    <n v="2030"/>
    <s v="Guinea-Bissau"/>
    <s v="v23.2"/>
    <s v="Gavi 6.0"/>
    <n v="373130.87310000003"/>
    <n v="173737.43247505801"/>
    <n v="0.37313087310000004"/>
    <n v="0.17373743247505802"/>
    <s v="Guaranteed"/>
  </r>
  <r>
    <s v="Vaccine"/>
    <s v="Routine"/>
    <x v="7"/>
    <n v="2030"/>
    <s v="Eritrea"/>
    <s v="v23.2"/>
    <s v="Gavi 6.0"/>
    <n v="527845.16540000006"/>
    <n v="245362.84198455"/>
    <n v="0.52784516540000004"/>
    <n v="0.24536284198455"/>
    <s v="Guaranteed"/>
  </r>
  <r>
    <s v="Vaccine"/>
    <s v="Routine"/>
    <x v="7"/>
    <n v="2026"/>
    <s v="Solomon Islands"/>
    <s v="v23.2"/>
    <s v="Gavi 6.0"/>
    <n v="49376.388400000003"/>
    <n v="13900"/>
    <n v="4.9376388400000006E-2"/>
    <n v="1.3899999999999999E-2"/>
    <s v="Guaranteed"/>
  </r>
  <r>
    <s v="Vaccine"/>
    <s v="Routine"/>
    <x v="7"/>
    <n v="2027"/>
    <s v="Solomon Islands"/>
    <s v="v23.2"/>
    <s v="Gavi 6.0"/>
    <n v="49761.530200000001"/>
    <n v="14008.4109609071"/>
    <n v="4.9761530200000001E-2"/>
    <n v="1.4008410960907099E-2"/>
    <s v="Guaranteed"/>
  </r>
  <r>
    <s v="Vaccine"/>
    <s v="Routine"/>
    <x v="7"/>
    <n v="2028"/>
    <s v="Solomon Islands"/>
    <s v="v23.2"/>
    <s v="Gavi 6.0"/>
    <n v="49713.001199999999"/>
    <n v="14185.068078993299"/>
    <n v="4.9713001199999995E-2"/>
    <n v="1.41850680789933E-2"/>
    <s v="Guaranteed"/>
  </r>
  <r>
    <s v="Vaccine"/>
    <s v="Routine"/>
    <x v="7"/>
    <n v="2030"/>
    <s v="Mozambique"/>
    <s v="v23.2"/>
    <s v="Gavi 6.0"/>
    <n v="5579398.3398000002"/>
    <n v="2593520.0755735398"/>
    <n v="5.5793983398"/>
    <n v="2.5935200755735397"/>
    <s v="Guaranteed"/>
  </r>
  <r>
    <s v="Vaccine"/>
    <s v="Routine"/>
    <x v="7"/>
    <n v="2030"/>
    <s v="Gambia"/>
    <s v="v23.2"/>
    <s v="Gavi 6.0"/>
    <n v="432055.7254"/>
    <n v="200836.20659706899"/>
    <n v="0.43205572539999998"/>
    <n v="0.20083620659706899"/>
    <s v="Guaranteed"/>
  </r>
  <r>
    <s v="Vaccine"/>
    <s v="Routine"/>
    <x v="7"/>
    <n v="2027"/>
    <s v="Zambia"/>
    <s v="v23.2"/>
    <s v="Gavi 6.0"/>
    <n v="4331951.5025000004"/>
    <n v="1457223.46796988"/>
    <n v="4.3319515025000008"/>
    <n v="1.4572234679698799"/>
    <s v="Guaranteed"/>
  </r>
  <r>
    <s v="Vaccine"/>
    <s v="Routine"/>
    <x v="7"/>
    <n v="2026"/>
    <s v="Zambia"/>
    <s v="v23.2"/>
    <s v="Gavi 6.0"/>
    <n v="2505382.1143999998"/>
    <n v="842785.48112879996"/>
    <n v="2.5053821143999997"/>
    <n v="0.84278548112879992"/>
    <s v="Guaranteed"/>
  </r>
  <r>
    <s v="Vaccine"/>
    <s v="Routine"/>
    <x v="7"/>
    <n v="2026"/>
    <s v="Bangladesh"/>
    <s v="v23.2"/>
    <s v="Gavi 6.0"/>
    <n v="18793085.768199999"/>
    <n v="6321806.05891906"/>
    <n v="18.793085768199997"/>
    <n v="6.3218060589190603"/>
    <s v="Guaranteed"/>
  </r>
  <r>
    <s v="Vaccine"/>
    <s v="Routine"/>
    <x v="7"/>
    <n v="2027"/>
    <s v="Bangladesh"/>
    <s v="v23.2"/>
    <s v="Gavi 6.0"/>
    <n v="11514791.4605"/>
    <n v="3873460.6610523602"/>
    <n v="11.5147914605"/>
    <n v="3.8734606610523601"/>
    <s v="Guaranteed"/>
  </r>
  <r>
    <s v="Vaccine"/>
    <s v="Routine"/>
    <x v="7"/>
    <n v="2026"/>
    <s v="Tajikistan"/>
    <s v="v23.2"/>
    <s v="Gavi 6.0"/>
    <n v="1125112.4572999999"/>
    <n v="378476.57575808"/>
    <n v="1.1251124573"/>
    <n v="0.37847657575808002"/>
    <s v="Guaranteed"/>
  </r>
  <r>
    <s v="Vaccine"/>
    <s v="Routine"/>
    <x v="7"/>
    <n v="2027"/>
    <s v="Tajikistan"/>
    <s v="v23.2"/>
    <s v="Gavi 6.0"/>
    <n v="1858552.429"/>
    <n v="625198.34070539998"/>
    <n v="1.858552429"/>
    <n v="0.62519834070540004"/>
    <s v="Guaranteed"/>
  </r>
  <r>
    <s v="Vaccine"/>
    <s v="Routine"/>
    <x v="7"/>
    <n v="2029"/>
    <s v="Haiti"/>
    <s v="v23.2"/>
    <s v="Gavi 6.0"/>
    <n v="904014.96719999996"/>
    <n v="410058.34655361099"/>
    <n v="0.90401496719999996"/>
    <n v="0.41005834655361101"/>
    <s v="Guaranteed"/>
  </r>
  <r>
    <s v="Vaccine"/>
    <s v="Routine"/>
    <x v="7"/>
    <n v="2030"/>
    <s v="Haiti"/>
    <s v="v23.2"/>
    <s v="Gavi 6.0"/>
    <n v="869519.85880000005"/>
    <n v="394411.47382767498"/>
    <n v="0.86951985880000005"/>
    <n v="0.394411473827675"/>
    <s v="Guaranteed"/>
  </r>
  <r>
    <s v="Vaccine"/>
    <s v="Routine"/>
    <x v="7"/>
    <n v="2029"/>
    <s v="Papua New Guinea"/>
    <s v="v23.2"/>
    <s v="Gavi 6.0"/>
    <n v="187560.17689999999"/>
    <n v="85076.706494666505"/>
    <n v="0.18756017689999999"/>
    <n v="8.5076706494666504E-2"/>
    <s v="Guaranteed"/>
  </r>
  <r>
    <s v="Vaccine"/>
    <s v="Routine"/>
    <x v="7"/>
    <n v="2029"/>
    <s v="Cambodia"/>
    <s v="v23.2"/>
    <s v="Gavi 6.0"/>
    <n v="1461134.7797000001"/>
    <n v="662766.14167325199"/>
    <n v="1.4611347797000001"/>
    <n v="0.66276614167325199"/>
    <s v="Guaranteed"/>
  </r>
  <r>
    <s v="Vaccine"/>
    <s v="Routine"/>
    <x v="7"/>
    <n v="2030"/>
    <s v="Papua New Guinea"/>
    <s v="v23.2"/>
    <s v="Gavi 6.0"/>
    <n v="126522.8971"/>
    <n v="57390.388269304"/>
    <n v="0.1265228971"/>
    <n v="5.7390388269303996E-2"/>
    <s v="Guaranteed"/>
  </r>
  <r>
    <s v="Vaccine"/>
    <s v="Routine"/>
    <x v="7"/>
    <n v="2030"/>
    <s v="Cambodia"/>
    <s v="v23.2"/>
    <s v="Gavi 6.0"/>
    <n v="1342820.4164"/>
    <n v="609099.11850935302"/>
    <n v="1.3428204163999999"/>
    <n v="0.60909911850935305"/>
    <s v="Guaranteed"/>
  </r>
  <r>
    <s v="Vaccine"/>
    <s v="Routine"/>
    <x v="7"/>
    <n v="2029"/>
    <s v="Djibouti"/>
    <s v="v23.2"/>
    <s v="Gavi 6.0"/>
    <n v="10575.939200000001"/>
    <n v="4797.2127718604997"/>
    <n v="1.05759392E-2"/>
    <n v="4.7972127718604995E-3"/>
    <s v="Guaranteed"/>
  </r>
  <r>
    <s v="Vaccine"/>
    <s v="Routine"/>
    <x v="7"/>
    <n v="2029"/>
    <s v="Sao Tome and Principe"/>
    <s v="v23.2"/>
    <s v="Gavi 6.0"/>
    <n v="3144.7197999999999"/>
    <n v="1426.4350233492"/>
    <n v="3.1447197999999997E-3"/>
    <n v="1.4264350233491999E-3"/>
    <s v="Guaranteed"/>
  </r>
  <r>
    <s v="Vaccine"/>
    <s v="Routine"/>
    <x v="7"/>
    <n v="2030"/>
    <s v="Sao Tome and Principe"/>
    <s v="v23.2"/>
    <s v="Gavi 6.0"/>
    <n v="1598.5063"/>
    <n v="725.0774509762"/>
    <n v="1.5985063000000001E-3"/>
    <n v="7.2507745097620004E-4"/>
    <s v="Guaranteed"/>
  </r>
  <r>
    <s v="Vaccine"/>
    <s v="Routine"/>
    <x v="7"/>
    <n v="2030"/>
    <s v="Solomon Islands"/>
    <s v="v23.2"/>
    <s v="Gavi 6.0"/>
    <n v="32124.8253"/>
    <n v="14571.7197254572"/>
    <n v="3.21248253E-2"/>
    <n v="1.45717197254572E-2"/>
    <s v="Guaranteed"/>
  </r>
  <r>
    <s v="Vaccine"/>
    <s v="Routine"/>
    <x v="7"/>
    <n v="2029"/>
    <s v="Solomon Islands"/>
    <s v="v23.2"/>
    <s v="Gavi 6.0"/>
    <n v="31659.8105"/>
    <n v="14360.790503333101"/>
    <n v="3.1659810499999996E-2"/>
    <n v="1.4360790503333101E-2"/>
    <s v="Guaranteed"/>
  </r>
  <r>
    <s v="Vaccine"/>
    <s v="Routine"/>
    <x v="7"/>
    <n v="2029"/>
    <s v="Bangladesh"/>
    <s v="v23.2"/>
    <s v="Gavi 6.0"/>
    <n v="2246408.7377999998"/>
    <n v="1080831.2910208399"/>
    <n v="2.2464087377999999"/>
    <n v="1.08083129102084"/>
    <s v="Guaranteed"/>
  </r>
  <r>
    <s v="Vaccine"/>
    <s v="Routine"/>
    <x v="7"/>
    <n v="2028"/>
    <s v="Madagascar"/>
    <s v="v23.2"/>
    <s v="Gavi 6.0"/>
    <n v="4698863.2428000001"/>
    <n v="2256839.5419756002"/>
    <n v="4.6988632427999999"/>
    <n v="2.2568395419756002"/>
    <s v="Guaranteed"/>
  </r>
  <r>
    <s v="Vaccine"/>
    <s v="Routine"/>
    <x v="7"/>
    <n v="2026"/>
    <s v="Nigeria"/>
    <s v="v23.2"/>
    <s v="Gavi 6.0"/>
    <n v="5323723.3789999997"/>
    <n v="2550250"/>
    <n v="5.3237233789999996"/>
    <n v="2.5502500000000001"/>
    <s v="Guaranteed"/>
  </r>
  <r>
    <s v="Vaccine"/>
    <s v="Routine"/>
    <x v="7"/>
    <n v="2027"/>
    <s v="Nigeria"/>
    <s v="v23.2"/>
    <s v="Gavi 6.0"/>
    <n v="8149898.1728999997"/>
    <n v="3903555.7580181099"/>
    <n v="8.1498981729000004"/>
    <n v="3.9035557580181099"/>
    <s v="Guaranteed"/>
  </r>
  <r>
    <s v="Vaccine"/>
    <s v="Routine"/>
    <x v="7"/>
    <n v="2028"/>
    <s v="Nigeria"/>
    <s v="v23.2"/>
    <s v="Gavi 6.0"/>
    <n v="8251836.5454000002"/>
    <n v="3971950.55674111"/>
    <n v="8.2518365453999998"/>
    <n v="3.9719505567411102"/>
    <s v="Guaranteed"/>
  </r>
  <r>
    <s v="Vaccine"/>
    <s v="Routine"/>
    <x v="7"/>
    <n v="2029"/>
    <s v="Nigeria"/>
    <s v="v23.2"/>
    <s v="Gavi 6.0"/>
    <n v="8411530.3381999992"/>
    <n v="4048817.7905564001"/>
    <n v="8.4115303381999986"/>
    <n v="4.0488177905564005"/>
    <s v="Guaranteed"/>
  </r>
  <r>
    <s v="Vaccine"/>
    <s v="Routine"/>
    <x v="7"/>
    <n v="2030"/>
    <s v="Nigeria"/>
    <s v="v23.2"/>
    <s v="Gavi 6.0"/>
    <n v="8527349.2129999995"/>
    <n v="4104566.2099186699"/>
    <n v="8.527349212999999"/>
    <n v="4.1045662099186702"/>
    <s v="Guaranteed"/>
  </r>
  <r>
    <s v="Vaccine"/>
    <s v="Routine"/>
    <x v="7"/>
    <n v="2029"/>
    <s v="Tajikistan"/>
    <s v="v23.2"/>
    <s v="Gavi 6.0"/>
    <n v="1144398.1457"/>
    <n v="550612.76447633503"/>
    <n v="1.1443981457000001"/>
    <n v="0.550612764476335"/>
    <s v="Guaranteed"/>
  </r>
  <r>
    <s v="Vaccine"/>
    <s v="Routine"/>
    <x v="7"/>
    <n v="2030"/>
    <s v="Tajikistan"/>
    <s v="v23.2"/>
    <s v="Gavi 6.0"/>
    <n v="1067610.4276999999"/>
    <n v="513667.32040308299"/>
    <n v="1.0676104276999998"/>
    <n v="0.51366732040308305"/>
    <s v="Guaranteed"/>
  </r>
  <r>
    <s v="Vaccine"/>
    <s v="Routine"/>
    <x v="7"/>
    <n v="2029"/>
    <s v="Kyrgyzstan"/>
    <s v="v23.2"/>
    <s v="Gavi 6.0"/>
    <n v="324152.75760000001"/>
    <n v="155962.01955734601"/>
    <n v="0.32415275760000001"/>
    <n v="0.15596201955734601"/>
    <s v="Guaranteed"/>
  </r>
  <r>
    <s v="Vaccine"/>
    <s v="Routine"/>
    <x v="7"/>
    <n v="2029"/>
    <s v="Uganda"/>
    <s v="v23.2"/>
    <s v="Gavi 6.0"/>
    <n v="12520513.8376"/>
    <n v="6024087.6505816896"/>
    <n v="12.520513837599999"/>
    <n v="6.0240876505816896"/>
    <s v="Guaranteed"/>
  </r>
  <r>
    <s v="Vaccine"/>
    <s v="Routine"/>
    <x v="7"/>
    <n v="2030"/>
    <s v="Uganda"/>
    <s v="v23.2"/>
    <s v="Gavi 6.0"/>
    <n v="12442410.5745"/>
    <n v="5986509.2485246696"/>
    <n v="12.4424105745"/>
    <n v="5.9865092485246691"/>
    <s v="Guaranteed"/>
  </r>
  <r>
    <s v="Vaccine"/>
    <s v="Routine"/>
    <x v="7"/>
    <n v="2026"/>
    <s v="Kyrgyzstan"/>
    <s v="v23.2"/>
    <s v="Gavi 6.0"/>
    <n v="533667.51870000002"/>
    <n v="255500"/>
    <n v="0.53366751870000007"/>
    <n v="0.2555"/>
    <s v="Guaranteed"/>
  </r>
  <r>
    <s v="Vaccine"/>
    <s v="Routine"/>
    <x v="7"/>
    <n v="2027"/>
    <s v="Kyrgyzstan"/>
    <s v="v23.2"/>
    <s v="Gavi 6.0"/>
    <n v="472556.88809999998"/>
    <n v="226242.46670863099"/>
    <n v="0.47255688809999996"/>
    <n v="0.22624246670863099"/>
    <s v="Guaranteed"/>
  </r>
  <r>
    <s v="Vaccine"/>
    <s v="Routine"/>
    <x v="7"/>
    <n v="2028"/>
    <s v="Kyrgyzstan"/>
    <s v="v23.2"/>
    <s v="Gavi 6.0"/>
    <n v="401605.1275"/>
    <n v="193227.25251632999"/>
    <n v="0.40160512749999999"/>
    <n v="0.19322725251632999"/>
    <s v="Guaranteed"/>
  </r>
  <r>
    <s v="Vaccine"/>
    <s v="Routine"/>
    <x v="7"/>
    <n v="2030"/>
    <s v="Kyrgyzstan"/>
    <s v="v23.2"/>
    <s v="Gavi 6.0"/>
    <n v="285330.81880000001"/>
    <n v="137283.33232771099"/>
    <n v="0.2853308188"/>
    <n v="0.13728333232771098"/>
    <s v="Guaranteed"/>
  </r>
  <r>
    <s v="Vaccine"/>
    <s v="Routine"/>
    <x v="7"/>
    <n v="2026"/>
    <s v="Lao People’s Democratic Republic"/>
    <s v="v23.2"/>
    <s v="Gavi 6.0"/>
    <n v="128832.2573"/>
    <n v="61680.039839999998"/>
    <n v="0.1288322573"/>
    <n v="6.1680039839999999E-2"/>
    <s v="Guaranteed"/>
  </r>
  <r>
    <s v="Vaccine"/>
    <s v="Routine"/>
    <x v="7"/>
    <n v="2027"/>
    <s v="Lao People’s Democratic Republic"/>
    <s v="v23.2"/>
    <s v="Gavi 6.0"/>
    <n v="166643.5729"/>
    <n v="79782.615959999996"/>
    <n v="0.16664357290000001"/>
    <n v="7.9782615959999997E-2"/>
    <s v="Guaranteed"/>
  </r>
  <r>
    <s v="Vaccine"/>
    <s v="Routine"/>
    <x v="7"/>
    <n v="2028"/>
    <s v="Lao People’s Democratic Republic"/>
    <s v="v23.2"/>
    <s v="Gavi 6.0"/>
    <n v="164926.58110000001"/>
    <n v="79352.348759999993"/>
    <n v="0.1649265811"/>
    <n v="7.9352348759999997E-2"/>
    <s v="Guaranteed"/>
  </r>
  <r>
    <s v="Vaccine"/>
    <s v="Routine"/>
    <x v="7"/>
    <n v="2026"/>
    <s v="Timor-Leste"/>
    <s v="v23.2"/>
    <s v="Gavi 6.0"/>
    <n v="39.917999999999999"/>
    <n v="0"/>
    <n v="3.9918E-5"/>
    <n v="0"/>
    <s v="Guaranteed"/>
  </r>
  <r>
    <s v="Vaccine"/>
    <s v="Routine"/>
    <x v="7"/>
    <n v="2027"/>
    <s v="Timor-Leste"/>
    <s v="v23.2"/>
    <s v="Gavi 6.0"/>
    <n v="51182.893400000001"/>
    <n v="24504.4445433726"/>
    <n v="5.1182893399999999E-2"/>
    <n v="2.4504444543372601E-2"/>
    <s v="Guaranteed"/>
  </r>
  <r>
    <s v="Vaccine"/>
    <s v="Routine"/>
    <x v="7"/>
    <n v="2029"/>
    <s v="Zambia"/>
    <s v="v23.2"/>
    <s v="Gavi 6.0"/>
    <n v="2574035.4605999999"/>
    <n v="1238464.7652000799"/>
    <n v="2.5740354605999998"/>
    <n v="1.23846476520008"/>
    <s v="Guaranteed"/>
  </r>
  <r>
    <s v="Vaccine"/>
    <s v="Routine"/>
    <x v="7"/>
    <n v="2030"/>
    <s v="Zambia"/>
    <s v="v23.2"/>
    <s v="Gavi 6.0"/>
    <n v="2276720.8632"/>
    <n v="1095415.5886776701"/>
    <n v="2.2767208632"/>
    <n v="1.0954155886776702"/>
    <s v="Guaranteed"/>
  </r>
  <r>
    <s v="Vaccine"/>
    <s v="Routine"/>
    <x v="7"/>
    <n v="2028"/>
    <s v="Timor-Leste"/>
    <s v="v23.2"/>
    <s v="Gavi 6.0"/>
    <n v="51801.036699999997"/>
    <n v="24923.416838330901"/>
    <n v="5.1801036699999997E-2"/>
    <n v="2.4923416838330902E-2"/>
    <s v="Guaranteed"/>
  </r>
  <r>
    <s v="Vaccine"/>
    <s v="Routine"/>
    <x v="7"/>
    <n v="2029"/>
    <s v="Timor-Leste"/>
    <s v="v23.2"/>
    <s v="Gavi 6.0"/>
    <n v="52568.002500000002"/>
    <n v="25292.432771022199"/>
    <n v="5.2568002500000002E-2"/>
    <n v="2.5292432771022198E-2"/>
    <s v="Guaranteed"/>
  </r>
  <r>
    <s v="Vaccine"/>
    <s v="Routine"/>
    <x v="7"/>
    <n v="2030"/>
    <s v="Timor-Leste"/>
    <s v="v23.2"/>
    <s v="Gavi 6.0"/>
    <n v="53096.224399999999"/>
    <n v="25546.580122912499"/>
    <n v="5.3096224399999996E-2"/>
    <n v="2.5546580122912499E-2"/>
    <s v="Guaranteed"/>
  </r>
  <r>
    <s v="Vaccine"/>
    <s v="Routine"/>
    <x v="7"/>
    <n v="2029"/>
    <s v="Madagascar"/>
    <s v="v23.2"/>
    <s v="Gavi 6.0"/>
    <n v="4787769.6630999995"/>
    <n v="2299540.8325751899"/>
    <n v="4.7877696630999997"/>
    <n v="2.29954083257519"/>
    <s v="Guaranteed"/>
  </r>
  <r>
    <s v="Vaccine"/>
    <s v="Routine"/>
    <x v="7"/>
    <n v="2030"/>
    <s v="Madagascar"/>
    <s v="v23.2"/>
    <s v="Gavi 6.0"/>
    <n v="4870324.2758999998"/>
    <n v="2339191.3831617301"/>
    <n v="4.8703242758999998"/>
    <n v="2.3391913831617299"/>
    <s v="Guaranteed"/>
  </r>
  <r>
    <s v="Vaccine"/>
    <s v="Routine"/>
    <x v="7"/>
    <n v="2029"/>
    <s v="Lao People’s Democratic Republic"/>
    <s v="v23.2"/>
    <s v="Gavi 6.0"/>
    <n v="166648.9797"/>
    <n v="80181.059137484204"/>
    <n v="0.16664897970000001"/>
    <n v="8.0181059137484204E-2"/>
    <s v="Guaranteed"/>
  </r>
  <r>
    <s v="Vaccine"/>
    <s v="Routine"/>
    <x v="7"/>
    <n v="2030"/>
    <s v="Lao People’s Democratic Republic"/>
    <s v="v23.2"/>
    <s v="Gavi 6.0"/>
    <n v="166738.96780000001"/>
    <n v="80224.355799726807"/>
    <n v="0.16673896780000003"/>
    <n v="8.022435579972681E-2"/>
    <s v="Guaranteed"/>
  </r>
  <r>
    <s v="Vaccine"/>
    <s v="Routine"/>
    <x v="7"/>
    <n v="2026"/>
    <s v="Kenya"/>
    <s v="v23.2"/>
    <s v="Gavi 6.0"/>
    <n v="3783044.5046999999"/>
    <n v="1811250"/>
    <n v="3.7830445046999999"/>
    <n v="1.81125"/>
    <s v="Guaranteed"/>
  </r>
  <r>
    <s v="Vaccine"/>
    <s v="Routine"/>
    <x v="7"/>
    <n v="2027"/>
    <s v="Kenya"/>
    <s v="v23.2"/>
    <s v="Gavi 6.0"/>
    <n v="3042448.2629"/>
    <n v="1456609.8120297301"/>
    <n v="3.0424482628999998"/>
    <n v="1.4566098120297302"/>
    <s v="Guaranteed"/>
  </r>
  <r>
    <s v="Vaccine"/>
    <s v="Routine"/>
    <x v="7"/>
    <n v="2028"/>
    <s v="Kenya"/>
    <s v="v23.2"/>
    <s v="Gavi 6.0"/>
    <n v="2421306.8749000002"/>
    <n v="1164981.3284378201"/>
    <n v="2.4213068749"/>
    <n v="1.1649813284378201"/>
    <s v="Guaranteed"/>
  </r>
  <r>
    <s v="Vaccine"/>
    <s v="Routine"/>
    <x v="7"/>
    <n v="2029"/>
    <s v="Kenya"/>
    <s v="v23.2"/>
    <s v="Gavi 6.0"/>
    <n v="1664979.85"/>
    <n v="801084.099513622"/>
    <n v="1.6649798500000001"/>
    <n v="0.80108409951362203"/>
    <s v="Guaranteed"/>
  </r>
  <r>
    <s v="Vaccine"/>
    <s v="Routine"/>
    <x v="7"/>
    <n v="2030"/>
    <s v="Kenya"/>
    <s v="v23.2"/>
    <s v="Gavi 6.0"/>
    <n v="1594564.209"/>
    <n v="767204.500075049"/>
    <n v="1.5945642090000001"/>
    <n v="0.76720450007504903"/>
    <s v="Guaranteed"/>
  </r>
  <r>
    <s v="Vaccine"/>
    <s v="Routine"/>
    <x v="7"/>
    <n v="2026"/>
    <s v="Rwanda"/>
    <s v="v23.2"/>
    <s v="Gavi 6.0"/>
    <n v="2971977.6132999999"/>
    <n v="1041000"/>
    <n v="2.9719776133"/>
    <n v="1.0409999999999999"/>
    <s v="Guaranteed"/>
  </r>
  <r>
    <s v="Vaccine"/>
    <s v="Routine"/>
    <x v="7"/>
    <n v="2026"/>
    <s v="Burkina Faso"/>
    <s v="v23.2"/>
    <s v="Gavi 6.0"/>
    <n v="7487898.4840000002"/>
    <n v="2622800"/>
    <n v="7.4878984840000005"/>
    <n v="2.6227999999999998"/>
    <s v="Guaranteed"/>
  </r>
  <r>
    <s v="Vaccine"/>
    <s v="Routine"/>
    <x v="7"/>
    <n v="2026"/>
    <s v="Myanmar"/>
    <s v="v23.2"/>
    <s v="Gavi 6.0"/>
    <n v="5205973.3935000002"/>
    <n v="1825800"/>
    <n v="5.2059733934999999"/>
    <n v="1.8258000000000001"/>
    <s v="Guaranteed"/>
  </r>
  <r>
    <s v="Vaccine"/>
    <s v="Routine"/>
    <x v="7"/>
    <n v="2026"/>
    <s v="Ghana"/>
    <s v="v23.2"/>
    <s v="Gavi 6.0"/>
    <n v="3862984.6302"/>
    <n v="1354800"/>
    <n v="3.8629846302000002"/>
    <n v="1.3548"/>
    <s v="Guaranteed"/>
  </r>
  <r>
    <s v="Vaccine"/>
    <s v="Routine"/>
    <x v="7"/>
    <n v="2026"/>
    <s v="Lesotho"/>
    <s v="v23.2"/>
    <s v="Gavi 6.0"/>
    <n v="192750.4669"/>
    <n v="67600"/>
    <n v="0.1927504669"/>
    <n v="6.7599999999999993E-2"/>
    <s v="Guaranteed"/>
  </r>
  <r>
    <s v="Vaccine"/>
    <s v="Routine"/>
    <x v="7"/>
    <n v="2026"/>
    <s v="Central African Republic"/>
    <s v="v23.2"/>
    <s v="Gavi 6.0"/>
    <n v="1770047.7396"/>
    <n v="620000"/>
    <n v="1.7700477396000001"/>
    <n v="0.62"/>
    <s v="Guaranteed"/>
  </r>
  <r>
    <s v="Vaccine"/>
    <s v="Routine"/>
    <x v="7"/>
    <n v="2026"/>
    <s v="Burundi"/>
    <s v="v23.2"/>
    <s v="Gavi 6.0"/>
    <n v="3075901.0995"/>
    <n v="1077400"/>
    <n v="3.0759010994999998"/>
    <n v="1.0773999999999999"/>
    <s v="Guaranteed"/>
  </r>
  <r>
    <s v="Vaccine"/>
    <s v="Routine"/>
    <x v="7"/>
    <n v="2026"/>
    <s v="Liberia"/>
    <s v="v23.2"/>
    <s v="Gavi 6.0"/>
    <n v="1266214.1462000001"/>
    <n v="443509.97675903997"/>
    <n v="1.2662141462000001"/>
    <n v="0.44350997675903997"/>
    <s v="Guaranteed"/>
  </r>
  <r>
    <s v="Vaccine"/>
    <s v="Routine"/>
    <x v="7"/>
    <n v="2026"/>
    <s v="Côte d’Ivoire"/>
    <s v="v23.2"/>
    <s v="Gavi 6.0"/>
    <n v="3663242.7132000001"/>
    <n v="1284745.0524325101"/>
    <n v="3.6632427132000003"/>
    <n v="1.2847450524325101"/>
    <s v="Guaranteed"/>
  </r>
  <r>
    <s v="Vaccine"/>
    <s v="Routine"/>
    <x v="7"/>
    <n v="2026"/>
    <s v="Yemen"/>
    <s v="v23.2"/>
    <s v="Gavi 6.0"/>
    <n v="10181901.888800001"/>
    <n v="3566359.6743096001"/>
    <n v="10.181901888800001"/>
    <n v="3.5663596743096"/>
    <s v="Guaranteed"/>
  </r>
  <r>
    <s v="Vaccine"/>
    <s v="Routine"/>
    <x v="7"/>
    <n v="2026"/>
    <s v="South Sudan"/>
    <s v="v23.2"/>
    <s v="Gavi 6.0"/>
    <n v="3842906.6595000001"/>
    <n v="1346265.1854666001"/>
    <n v="3.8429066595000001"/>
    <n v="1.3462651854666001"/>
    <s v="Guaranteed"/>
  </r>
  <r>
    <s v="Vaccine"/>
    <s v="Routine"/>
    <x v="7"/>
    <n v="2026"/>
    <s v="Afghanistan"/>
    <s v="v23.2"/>
    <s v="Gavi 6.0"/>
    <n v="15768407.8431"/>
    <n v="5525908.9327530004"/>
    <n v="15.7684078431"/>
    <n v="5.5259089327530004"/>
    <s v="Guaranteed"/>
  </r>
  <r>
    <s v="Vaccine"/>
    <s v="Routine"/>
    <x v="7"/>
    <n v="2026"/>
    <s v="Pakistan"/>
    <s v="v23.2"/>
    <s v="Gavi 6.0"/>
    <n v="24372002.1424"/>
    <n v="8551600"/>
    <n v="24.3720021424"/>
    <n v="8.5516000000000005"/>
    <s v="Guaranteed"/>
  </r>
  <r>
    <s v="Vaccine"/>
    <s v="Routine"/>
    <x v="7"/>
    <n v="2026"/>
    <s v="Malawi"/>
    <s v="v23.2"/>
    <s v="Gavi 6.0"/>
    <n v="6878085.7193"/>
    <n v="2409200"/>
    <n v="6.8780857192999996"/>
    <n v="2.4091999999999998"/>
    <s v="Guaranteed"/>
  </r>
  <r>
    <s v="Vaccine"/>
    <s v="Routine"/>
    <x v="7"/>
    <n v="2026"/>
    <s v="Zimbabwe"/>
    <s v="v23.2"/>
    <s v="Gavi 6.0"/>
    <n v="3661118.4994000001"/>
    <n v="1284000"/>
    <n v="3.6611184994000001"/>
    <n v="1.284"/>
    <s v="Guaranteed"/>
  </r>
  <r>
    <s v="Vaccine"/>
    <s v="Routine"/>
    <x v="7"/>
    <n v="2026"/>
    <s v="Senegal"/>
    <s v="v23.2"/>
    <s v="Gavi 6.0"/>
    <n v="3255657.9972000001"/>
    <n v="1141800"/>
    <n v="3.2556579972000002"/>
    <n v="1.1417999999999999"/>
    <s v="Guaranteed"/>
  </r>
  <r>
    <s v="Vaccine"/>
    <s v="Routine"/>
    <x v="7"/>
    <n v="2026"/>
    <s v="Somalia"/>
    <s v="v23.2"/>
    <s v="Gavi 6.0"/>
    <n v="4367179.9801000003"/>
    <n v="1528600"/>
    <n v="4.3671799801000004"/>
    <n v="1.5286"/>
    <s v="Guaranteed"/>
  </r>
  <r>
    <s v="Vaccine"/>
    <s v="Routine"/>
    <x v="7"/>
    <n v="2026"/>
    <s v="Congo, the Democratic Republic of the"/>
    <s v="v23.2"/>
    <s v="Gavi 6.0"/>
    <n v="29942829.708999999"/>
    <n v="10491481.59279"/>
    <n v="29.942829708999998"/>
    <n v="10.49148159279"/>
    <s v="Guaranteed"/>
  </r>
  <r>
    <s v="Vaccine"/>
    <s v="Routine"/>
    <x v="7"/>
    <n v="2026"/>
    <s v="Sierra Leone"/>
    <s v="v23.2"/>
    <s v="Gavi 6.0"/>
    <n v="2453622.7055000002"/>
    <n v="859417.14705599996"/>
    <n v="2.4536227054999999"/>
    <n v="0.85941714705599992"/>
    <s v="Guaranteed"/>
  </r>
  <r>
    <s v="Vaccine"/>
    <s v="Routine"/>
    <x v="7"/>
    <n v="2026"/>
    <s v="Angola"/>
    <s v="v23.2"/>
    <s v="Gavi 6.0"/>
    <n v="590761.24159999995"/>
    <n v="207187.3587904"/>
    <n v="0.59076124159999999"/>
    <n v="0.20718735879040001"/>
    <s v="Guaranteed"/>
  </r>
  <r>
    <s v="Vaccine"/>
    <s v="Routine"/>
    <x v="7"/>
    <n v="2026"/>
    <s v="Chad"/>
    <s v="v23.2"/>
    <s v="Gavi 6.0"/>
    <n v="7507060.7549000001"/>
    <n v="2630787.7432499998"/>
    <n v="7.5070607549000004"/>
    <n v="2.63078774325"/>
    <s v="Guaranteed"/>
  </r>
  <r>
    <s v="Vaccine"/>
    <s v="Routine"/>
    <x v="7"/>
    <n v="2026"/>
    <s v="Mauritania"/>
    <s v="v23.2"/>
    <s v="Gavi 6.0"/>
    <n v="895320.09380000003"/>
    <n v="314000"/>
    <n v="0.89532009379999999"/>
    <n v="0.314"/>
    <s v="Guaranteed"/>
  </r>
  <r>
    <s v="Vaccine"/>
    <s v="Routine"/>
    <x v="7"/>
    <n v="2026"/>
    <s v="Togo"/>
    <s v="v23.2"/>
    <s v="Gavi 6.0"/>
    <n v="2204575.8511000001"/>
    <n v="772200"/>
    <n v="2.2045758511"/>
    <n v="0.7722"/>
    <s v="Guaranteed"/>
  </r>
  <r>
    <s v="Vaccine"/>
    <s v="Routine"/>
    <x v="7"/>
    <n v="2026"/>
    <s v="Guinea-Bissau"/>
    <s v="v23.2"/>
    <s v="Gavi 6.0"/>
    <n v="494473.41720000003"/>
    <n v="173200"/>
    <n v="0.49447341720000004"/>
    <n v="0.17319999999999999"/>
    <s v="Guaranteed"/>
  </r>
  <r>
    <s v="Vaccine"/>
    <s v="Routine"/>
    <x v="7"/>
    <n v="2026"/>
    <s v="Benin"/>
    <s v="v23.2"/>
    <s v="Gavi 6.0"/>
    <n v="2658017.4756999998"/>
    <n v="932200"/>
    <n v="2.6580174756999999"/>
    <n v="0.93220000000000003"/>
    <s v="Guaranteed"/>
  </r>
  <r>
    <s v="Vaccine"/>
    <s v="Routine"/>
    <x v="7"/>
    <n v="2026"/>
    <s v="Eritrea"/>
    <s v="v23.2"/>
    <s v="Gavi 6.0"/>
    <n v="624659.70790000004"/>
    <n v="218800"/>
    <n v="0.62465970790000003"/>
    <n v="0.21879999999999999"/>
    <s v="Guaranteed"/>
  </r>
  <r>
    <s v="Vaccine"/>
    <s v="Routine"/>
    <x v="7"/>
    <n v="2026"/>
    <s v="Gambia"/>
    <s v="v23.2"/>
    <s v="Gavi 6.0"/>
    <n v="542436.68550000002"/>
    <n v="190000"/>
    <n v="0.54243668550000002"/>
    <n v="0.19"/>
    <s v="Guaranteed"/>
  </r>
  <r>
    <s v="Vaccine"/>
    <s v="Routine"/>
    <x v="7"/>
    <n v="2026"/>
    <s v="Sudan"/>
    <s v="v23.2"/>
    <s v="Gavi 6.0"/>
    <n v="13975789.186799999"/>
    <n v="4895224.047216"/>
    <n v="13.9757891868"/>
    <n v="4.8952240472159998"/>
    <s v="Guaranteed"/>
  </r>
  <r>
    <s v="Vaccine"/>
    <s v="Routine"/>
    <x v="7"/>
    <n v="2026"/>
    <s v="Mozambique"/>
    <s v="v23.2"/>
    <s v="Gavi 6.0"/>
    <n v="5954256.5919000003"/>
    <n v="2085565.2344225999"/>
    <n v="5.9542565919000001"/>
    <n v="2.0855652344225999"/>
    <s v="Guaranteed"/>
  </r>
  <r>
    <s v="Vaccine"/>
    <s v="Routine"/>
    <x v="7"/>
    <n v="2026"/>
    <s v="United Republic of Tanzania"/>
    <s v="v23.2"/>
    <s v="Gavi 6.0"/>
    <n v="11171221.4936"/>
    <n v="3917887.14728858"/>
    <n v="11.171221493599999"/>
    <n v="3.9178871472885799"/>
    <s v="Guaranteed"/>
  </r>
  <r>
    <s v="Vaccine"/>
    <s v="Routine"/>
    <x v="7"/>
    <n v="2026"/>
    <s v="Cameroon"/>
    <s v="v23.2"/>
    <s v="Gavi 6.0"/>
    <n v="3124418.5564999999"/>
    <n v="1095772.67914064"/>
    <n v="3.1244185564999998"/>
    <n v="1.0957726791406399"/>
    <s v="Guaranteed"/>
  </r>
  <r>
    <s v="Vaccine"/>
    <s v="Routine"/>
    <x v="7"/>
    <n v="2026"/>
    <s v="Ethiopia"/>
    <s v="v23.2"/>
    <s v="Gavi 6.0"/>
    <n v="27970351.6547"/>
    <n v="9797023.7100388799"/>
    <n v="27.9703516547"/>
    <n v="9.7970237100388804"/>
    <s v="Guaranteed"/>
  </r>
  <r>
    <s v="Vaccine"/>
    <s v="Routine"/>
    <x v="7"/>
    <n v="2026"/>
    <s v="Mali"/>
    <s v="v23.2"/>
    <s v="Gavi 6.0"/>
    <n v="7987316.7093000002"/>
    <n v="2797674.1996828802"/>
    <n v="7.9873167092999999"/>
    <n v="2.7976741996828802"/>
    <s v="Guaranteed"/>
  </r>
  <r>
    <s v="Vaccine"/>
    <s v="Routine"/>
    <x v="7"/>
    <n v="2026"/>
    <s v="Niger"/>
    <s v="v23.2"/>
    <s v="Gavi 6.0"/>
    <n v="10335759.2609"/>
    <n v="3620250.463434"/>
    <n v="10.3357592609"/>
    <n v="3.620250463434"/>
    <s v="Guaranteed"/>
  </r>
  <r>
    <s v="Vaccine"/>
    <s v="Routine"/>
    <x v="7"/>
    <n v="2029"/>
    <s v="Côte d’Ivoire"/>
    <s v="v23.2"/>
    <s v="Gavi 6.0"/>
    <n v="652826.14509999997"/>
    <n v="312638.89067223499"/>
    <n v="0.65282614509999992"/>
    <n v="0.31263889067223499"/>
    <s v="Guaranteed"/>
  </r>
  <r>
    <s v="Vaccine"/>
    <s v="Routine"/>
    <x v="7"/>
    <n v="2029"/>
    <s v="Rwanda"/>
    <s v="v23.2"/>
    <s v="Gavi 6.0"/>
    <n v="2301042.6592999999"/>
    <n v="1100049.9744659101"/>
    <n v="2.3010426592999997"/>
    <n v="1.10004997446591"/>
    <s v="Guaranteed"/>
  </r>
  <r>
    <s v="Vaccine"/>
    <s v="Routine"/>
    <x v="7"/>
    <n v="2029"/>
    <s v="Myanmar"/>
    <s v="v23.2"/>
    <s v="Gavi 6.0"/>
    <n v="1686258.8439"/>
    <n v="807550.522124868"/>
    <n v="1.6862588438999999"/>
    <n v="0.807550522124868"/>
    <s v="Guaranteed"/>
  </r>
  <r>
    <s v="Vaccine"/>
    <s v="Routine"/>
    <x v="7"/>
    <n v="2029"/>
    <s v="Burkina Faso"/>
    <s v="v23.2"/>
    <s v="Gavi 6.0"/>
    <n v="5638558.0261000004"/>
    <n v="2695602.1816613702"/>
    <n v="5.6385580261000001"/>
    <n v="2.69560218166137"/>
    <s v="Guaranteed"/>
  </r>
  <r>
    <s v="Vaccine"/>
    <s v="Routine"/>
    <x v="7"/>
    <n v="2030"/>
    <s v="Burkina Faso"/>
    <s v="v23.2"/>
    <s v="Gavi 6.0"/>
    <n v="5713142.1898999996"/>
    <n v="2736027.7309496701"/>
    <n v="5.7131421898999992"/>
    <n v="2.7360277309496701"/>
    <s v="Guaranteed"/>
  </r>
  <r>
    <s v="Vaccine"/>
    <s v="Routine"/>
    <x v="7"/>
    <n v="2030"/>
    <s v="Myanmar"/>
    <s v="v23.2"/>
    <s v="Gavi 6.0"/>
    <n v="1552173.8273"/>
    <n v="743337.11530128296"/>
    <n v="1.5521738273000001"/>
    <n v="0.74333711530128299"/>
    <s v="Guaranteed"/>
  </r>
  <r>
    <s v="Vaccine"/>
    <s v="Routine"/>
    <x v="7"/>
    <n v="2029"/>
    <s v="United Republic of Tanzania"/>
    <s v="v23.2"/>
    <s v="Gavi 6.0"/>
    <n v="11910595.5342"/>
    <n v="5703992.4073977498"/>
    <n v="11.910595534200001"/>
    <n v="5.7039924073977497"/>
    <s v="Guaranteed"/>
  </r>
  <r>
    <s v="Vaccine"/>
    <s v="Routine"/>
    <x v="7"/>
    <n v="2030"/>
    <s v="United Republic of Tanzania"/>
    <s v="v23.2"/>
    <s v="Gavi 6.0"/>
    <n v="11583911.1351"/>
    <n v="5547543.0235723499"/>
    <n v="11.583911135099999"/>
    <n v="5.5475430235723495"/>
    <s v="Guaranteed"/>
  </r>
  <r>
    <s v="Vaccine"/>
    <s v="Routine"/>
    <x v="7"/>
    <n v="2029"/>
    <s v="Ghana"/>
    <s v="v23.2"/>
    <s v="Gavi 6.0"/>
    <n v="623820.66020000004"/>
    <n v="298748.14395892399"/>
    <n v="0.62382066020000004"/>
    <n v="0.29874814395892396"/>
    <s v="Guaranteed"/>
  </r>
  <r>
    <s v="Vaccine"/>
    <s v="Routine"/>
    <x v="7"/>
    <n v="2029"/>
    <s v="Pakistan"/>
    <s v="v23.2"/>
    <s v="Gavi 6.0"/>
    <n v="9149427.773"/>
    <n v="4384416.4016749002"/>
    <n v="9.1494277729999993"/>
    <n v="4.3844164016749003"/>
    <s v="Guaranteed"/>
  </r>
  <r>
    <s v="Vaccine"/>
    <s v="Routine"/>
    <x v="7"/>
    <n v="2029"/>
    <s v="Central African Republic"/>
    <s v="v23.2"/>
    <s v="Gavi 6.0"/>
    <n v="1391755.7722"/>
    <n v="665350.94232356304"/>
    <n v="1.3917557722"/>
    <n v="0.66535094232356307"/>
    <s v="Guaranteed"/>
  </r>
  <r>
    <s v="Vaccine"/>
    <s v="Routine"/>
    <x v="7"/>
    <n v="2030"/>
    <s v="Pakistan"/>
    <s v="v23.2"/>
    <s v="Gavi 6.0"/>
    <n v="9310196.0072000008"/>
    <n v="4461456.7260205802"/>
    <n v="9.3101960072000001"/>
    <n v="4.4614567260205797"/>
    <s v="Guaranteed"/>
  </r>
  <r>
    <s v="Vaccine"/>
    <s v="Routine"/>
    <x v="7"/>
    <n v="2030"/>
    <s v="Rwanda"/>
    <s v="v23.2"/>
    <s v="Gavi 6.0"/>
    <n v="2333959.4174000002"/>
    <n v="1115786.3532515501"/>
    <n v="2.3339594174"/>
    <n v="1.1157863532515502"/>
    <s v="Guaranteed"/>
  </r>
  <r>
    <s v="Vaccine"/>
    <s v="Routine"/>
    <x v="7"/>
    <n v="2029"/>
    <s v="Chad"/>
    <s v="v23.2"/>
    <s v="Gavi 6.0"/>
    <n v="4652411.1147999996"/>
    <n v="2224158.9947180999"/>
    <n v="4.6524111147999996"/>
    <n v="2.2241589947181"/>
    <s v="Guaranteed"/>
  </r>
  <r>
    <s v="Vaccine"/>
    <s v="Routine"/>
    <x v="7"/>
    <n v="2030"/>
    <s v="Chad"/>
    <s v="v23.2"/>
    <s v="Gavi 6.0"/>
    <n v="4738256.7193999998"/>
    <n v="2265198.8488731198"/>
    <n v="4.7382567193999998"/>
    <n v="2.2651988488731196"/>
    <s v="Guaranteed"/>
  </r>
  <r>
    <s v="Vaccine"/>
    <s v="Routine"/>
    <x v="7"/>
    <n v="2029"/>
    <s v="Yemen"/>
    <s v="v23.2"/>
    <s v="Gavi 6.0"/>
    <n v="6907430.8244000003"/>
    <n v="3302206.9674426802"/>
    <n v="6.9074308244000004"/>
    <n v="3.3022069674426802"/>
    <s v="Guaranteed"/>
  </r>
  <r>
    <s v="Vaccine"/>
    <s v="Routine"/>
    <x v="7"/>
    <n v="2030"/>
    <s v="Yemen"/>
    <s v="v23.2"/>
    <s v="Gavi 6.0"/>
    <n v="6962031.3633000003"/>
    <n v="3328309.6218755199"/>
    <n v="6.9620313633000004"/>
    <n v="3.3283096218755199"/>
    <s v="Guaranteed"/>
  </r>
  <r>
    <s v="Vaccine"/>
    <s v="Routine"/>
    <x v="7"/>
    <n v="2030"/>
    <s v="Central African Republic"/>
    <s v="v23.2"/>
    <s v="Gavi 6.0"/>
    <n v="1423592.6991000001"/>
    <n v="680571.09063713998"/>
    <n v="1.4235926991000001"/>
    <n v="0.68057109063713994"/>
    <s v="Guaranteed"/>
  </r>
  <r>
    <s v="Vaccine"/>
    <s v="Routine"/>
    <x v="7"/>
    <n v="2029"/>
    <s v="Lesotho"/>
    <s v="v23.2"/>
    <s v="Gavi 6.0"/>
    <n v="124244.6312"/>
    <n v="59500.839487136102"/>
    <n v="0.1242446312"/>
    <n v="5.9500839487136102E-2"/>
    <s v="Guaranteed"/>
  </r>
  <r>
    <s v="Vaccine"/>
    <s v="Routine"/>
    <x v="7"/>
    <n v="2030"/>
    <s v="Lesotho"/>
    <s v="v23.2"/>
    <s v="Gavi 6.0"/>
    <n v="115650.8569"/>
    <n v="55385.275028388802"/>
    <n v="0.1156508569"/>
    <n v="5.5385275028388803E-2"/>
    <s v="Guaranteed"/>
  </r>
  <r>
    <s v="Vaccine"/>
    <s v="Routine"/>
    <x v="7"/>
    <n v="2029"/>
    <s v="Zimbabwe"/>
    <s v="v23.2"/>
    <s v="Gavi 6.0"/>
    <n v="2554181.1139000002"/>
    <n v="1223199.09518207"/>
    <n v="2.5541811139000004"/>
    <n v="1.2231990951820702"/>
    <s v="Guaranteed"/>
  </r>
  <r>
    <s v="Vaccine"/>
    <s v="Routine"/>
    <x v="7"/>
    <n v="2030"/>
    <s v="Zimbabwe"/>
    <s v="v23.2"/>
    <s v="Gavi 6.0"/>
    <n v="2482004.4882999999"/>
    <n v="1188633.65948803"/>
    <n v="2.4820044882999999"/>
    <n v="1.18863365948803"/>
    <s v="Guaranteed"/>
  </r>
  <r>
    <s v="Vaccine"/>
    <s v="Routine"/>
    <x v="7"/>
    <n v="2029"/>
    <s v="Senegal"/>
    <s v="v23.2"/>
    <s v="Gavi 6.0"/>
    <n v="2234840.3158999998"/>
    <n v="1070266.5670102199"/>
    <n v="2.2348403158999997"/>
    <n v="1.0702665670102198"/>
    <s v="Guaranteed"/>
  </r>
  <r>
    <s v="Vaccine"/>
    <s v="Routine"/>
    <x v="7"/>
    <n v="2030"/>
    <s v="Senegal"/>
    <s v="v23.2"/>
    <s v="Gavi 6.0"/>
    <n v="2133475.0263"/>
    <n v="1021722.65998703"/>
    <n v="2.1334750263000002"/>
    <n v="1.0217226599870299"/>
    <s v="Guaranteed"/>
  </r>
  <r>
    <s v="Vaccine"/>
    <s v="Routine"/>
    <x v="7"/>
    <n v="2029"/>
    <s v="Somalia"/>
    <s v="v23.2"/>
    <s v="Gavi 6.0"/>
    <n v="3555980.557"/>
    <n v="1699992.95975268"/>
    <n v="3.5559805569999998"/>
    <n v="1.6999929597526799"/>
    <s v="Guaranteed"/>
  </r>
  <r>
    <s v="Vaccine"/>
    <s v="Routine"/>
    <x v="7"/>
    <n v="2029"/>
    <s v="Ethiopia"/>
    <s v="v23.2"/>
    <s v="Gavi 6.0"/>
    <n v="13301681.994999999"/>
    <n v="6359080.2541292002"/>
    <n v="13.301681994999999"/>
    <n v="6.3590802541292"/>
    <s v="Guaranteed"/>
  </r>
  <r>
    <s v="Vaccine"/>
    <s v="Routine"/>
    <x v="7"/>
    <n v="2030"/>
    <s v="Ethiopia"/>
    <s v="v23.2"/>
    <s v="Gavi 6.0"/>
    <n v="13514840.8806"/>
    <n v="6472266.6090500401"/>
    <n v="13.5148408806"/>
    <n v="6.47226660905004"/>
    <s v="Guaranteed"/>
  </r>
  <r>
    <s v="Vaccine"/>
    <s v="Routine"/>
    <x v="7"/>
    <n v="2029"/>
    <s v="Mali"/>
    <s v="v23.2"/>
    <s v="Gavi 6.0"/>
    <n v="5233446.7187000001"/>
    <n v="2506301.239296"/>
    <n v="5.2334467186999998"/>
    <n v="2.506301239296"/>
    <s v="Guaranteed"/>
  </r>
  <r>
    <s v="Vaccine"/>
    <s v="Routine"/>
    <x v="7"/>
    <n v="2030"/>
    <s v="Mali"/>
    <s v="v23.2"/>
    <s v="Gavi 6.0"/>
    <n v="5242257.9239999996"/>
    <n v="2510520.9315629499"/>
    <n v="5.2422579239999996"/>
    <n v="2.51052093156295"/>
    <s v="Guaranteed"/>
  </r>
  <r>
    <s v="Vaccine"/>
    <s v="Routine"/>
    <x v="7"/>
    <n v="2029"/>
    <s v="Sudan"/>
    <s v="v23.2"/>
    <s v="Gavi 6.0"/>
    <n v="7861190.6484000003"/>
    <n v="3758166.9930859301"/>
    <n v="7.8611906484"/>
    <n v="3.7581669930859301"/>
    <s v="Guaranteed"/>
  </r>
  <r>
    <s v="Vaccine"/>
    <s v="Routine"/>
    <x v="7"/>
    <n v="2030"/>
    <s v="Sudan"/>
    <s v="v23.2"/>
    <s v="Gavi 6.0"/>
    <n v="7956591.7171"/>
    <n v="3803774.98857449"/>
    <n v="7.9565917171000002"/>
    <n v="3.80377498857449"/>
    <s v="Guaranteed"/>
  </r>
  <r>
    <s v="Vaccine"/>
    <s v="Routine"/>
    <x v="7"/>
    <n v="2029"/>
    <s v="Niger"/>
    <s v="v23.2"/>
    <s v="Gavi 6.0"/>
    <n v="4850685.3992999997"/>
    <n v="2318947.1642418499"/>
    <n v="4.8506853992999996"/>
    <n v="2.31894716424185"/>
    <s v="Guaranteed"/>
  </r>
  <r>
    <s v="Vaccine"/>
    <s v="Routine"/>
    <x v="7"/>
    <n v="2030"/>
    <s v="Niger"/>
    <s v="v23.2"/>
    <s v="Gavi 6.0"/>
    <n v="4964965.1912000002"/>
    <n v="2373580.43301755"/>
    <n v="4.9649651912000001"/>
    <n v="2.3735804330175498"/>
    <s v="Guaranteed"/>
  </r>
  <r>
    <s v="Vaccine"/>
    <s v="Routine"/>
    <x v="7"/>
    <n v="2029"/>
    <s v="Angola"/>
    <s v="v23.2"/>
    <s v="Gavi 6.0"/>
    <n v="1356665.8104999999"/>
    <n v="649708.19133673003"/>
    <n v="1.3566658105"/>
    <n v="0.64970819133673008"/>
    <s v="Guaranteed"/>
  </r>
  <r>
    <s v="Vaccine"/>
    <s v="Routine"/>
    <x v="7"/>
    <n v="2030"/>
    <s v="Angola"/>
    <s v="v23.2"/>
    <s v="Gavi 6.0"/>
    <n v="1384492.3951000001"/>
    <n v="663034.36189171497"/>
    <n v="1.3844923951000001"/>
    <n v="0.66303436189171494"/>
    <s v="Guaranteed"/>
  </r>
  <r>
    <s v="Vaccine"/>
    <s v="Routine"/>
    <x v="7"/>
    <n v="2029"/>
    <s v="South Sudan"/>
    <s v="v23.2"/>
    <s v="Gavi 6.0"/>
    <n v="3095118.9380000001"/>
    <n v="1480008.8760714601"/>
    <n v="3.0951189380000002"/>
    <n v="1.48000887607146"/>
    <s v="Guaranteed"/>
  </r>
  <r>
    <s v="Vaccine"/>
    <s v="Routine"/>
    <x v="7"/>
    <n v="2030"/>
    <s v="South Sudan"/>
    <s v="v23.2"/>
    <s v="Gavi 6.0"/>
    <n v="3171585.7636000002"/>
    <n v="1516573.4097302901"/>
    <n v="3.1715857636"/>
    <n v="1.5165734097302901"/>
    <s v="Guaranteed"/>
  </r>
  <r>
    <s v="Vaccine"/>
    <s v="Routine"/>
    <x v="7"/>
    <n v="2030"/>
    <s v="Somalia"/>
    <s v="v23.2"/>
    <s v="Gavi 6.0"/>
    <n v="3626192.6263000001"/>
    <n v="1733558.95413299"/>
    <n v="3.6261926262999999"/>
    <n v="1.7335589541329899"/>
    <s v="Guaranteed"/>
  </r>
  <r>
    <s v="Vaccine"/>
    <s v="Routine"/>
    <x v="7"/>
    <n v="2029"/>
    <s v="Benin"/>
    <s v="v23.2"/>
    <s v="Gavi 6.0"/>
    <n v="1720475.3071999999"/>
    <n v="823936.80999874498"/>
    <n v="1.7204753071999999"/>
    <n v="0.82393680999874497"/>
    <s v="Guaranteed"/>
  </r>
  <r>
    <s v="Vaccine"/>
    <s v="Routine"/>
    <x v="7"/>
    <n v="2030"/>
    <s v="Benin"/>
    <s v="v23.2"/>
    <s v="Gavi 6.0"/>
    <n v="1600861.3356000001"/>
    <n v="766653.59658166103"/>
    <n v="1.6008613356000001"/>
    <n v="0.76665359658166099"/>
    <s v="Guaranteed"/>
  </r>
  <r>
    <s v="Vaccine"/>
    <s v="Routine"/>
    <x v="7"/>
    <n v="2029"/>
    <s v="Afghanistan"/>
    <s v="v23.2"/>
    <s v="Gavi 6.0"/>
    <n v="10736003.0198"/>
    <n v="5135973.42800886"/>
    <n v="10.7360030198"/>
    <n v="5.1359734280088603"/>
    <s v="Guaranteed"/>
  </r>
  <r>
    <s v="Vaccine"/>
    <s v="Routine"/>
    <x v="7"/>
    <n v="2030"/>
    <s v="Afghanistan"/>
    <s v="v23.2"/>
    <s v="Gavi 6.0"/>
    <n v="10949601.742799999"/>
    <n v="5238156.4623737996"/>
    <n v="10.949601742799999"/>
    <n v="5.2381564623737997"/>
    <s v="Guaranteed"/>
  </r>
  <r>
    <s v="Vaccine"/>
    <s v="Routine"/>
    <x v="7"/>
    <n v="2029"/>
    <s v="Mauritania"/>
    <s v="v23.2"/>
    <s v="Gavi 6.0"/>
    <n v="535458.50540000002"/>
    <n v="256431.447129665"/>
    <n v="0.53545850540000006"/>
    <n v="0.25643144712966498"/>
    <s v="Guaranteed"/>
  </r>
  <r>
    <s v="Vaccine"/>
    <s v="Routine"/>
    <x v="7"/>
    <n v="2030"/>
    <s v="Mauritania"/>
    <s v="v23.2"/>
    <s v="Gavi 6.0"/>
    <n v="474265.01209999999"/>
    <n v="227125.84106751101"/>
    <n v="0.47426501209999999"/>
    <n v="0.22712584106751102"/>
    <s v="Guaranteed"/>
  </r>
  <r>
    <s v="Vaccine"/>
    <s v="Routine"/>
    <x v="7"/>
    <n v="2029"/>
    <s v="Republic of Syria"/>
    <s v="v23.2"/>
    <s v="Gavi 6.0"/>
    <n v="4435941.9837999996"/>
    <n v="2120672.4900000002"/>
    <n v="4.4359419837999994"/>
    <n v="2.12067249"/>
    <s v="Guaranteed"/>
  </r>
  <r>
    <s v="Vaccine"/>
    <s v="Routine"/>
    <x v="7"/>
    <n v="2030"/>
    <s v="Republic of Syria"/>
    <s v="v23.2"/>
    <s v="Gavi 6.0"/>
    <n v="4491882.1403999999"/>
    <n v="2147415.5699999998"/>
    <n v="4.4918821403999996"/>
    <n v="2.1474155699999997"/>
    <s v="Guaranteed"/>
  </r>
  <r>
    <s v="Vaccine"/>
    <s v="Routine"/>
    <x v="7"/>
    <n v="2027"/>
    <s v="Burkina Faso"/>
    <s v="v23.2"/>
    <s v="Gavi 6.0"/>
    <n v="6472417.5115999999"/>
    <n v="2636439.1676886501"/>
    <n v="6.4724175115999998"/>
    <n v="2.6364391676886503"/>
    <s v="Guaranteed"/>
  </r>
  <r>
    <s v="Vaccine"/>
    <s v="Routine"/>
    <x v="7"/>
    <n v="2027"/>
    <s v="Ghana"/>
    <s v="v23.2"/>
    <s v="Gavi 6.0"/>
    <n v="2162938.1022000001"/>
    <n v="882349.91627969802"/>
    <n v="2.1629381022"/>
    <n v="0.88234991627969805"/>
    <s v="Guaranteed"/>
  </r>
  <r>
    <s v="Vaccine"/>
    <s v="Routine"/>
    <x v="7"/>
    <n v="2027"/>
    <s v="Lesotho"/>
    <s v="v23.2"/>
    <s v="Gavi 6.0"/>
    <n v="160628.19940000001"/>
    <n v="65526.737966123503"/>
    <n v="0.1606281994"/>
    <n v="6.5526737966123502E-2"/>
    <s v="Guaranteed"/>
  </r>
  <r>
    <s v="Vaccine"/>
    <s v="Routine"/>
    <x v="7"/>
    <n v="2027"/>
    <s v="Rwanda"/>
    <s v="v23.2"/>
    <s v="Gavi 6.0"/>
    <n v="2602057.2678999999"/>
    <n v="1059907.7833604901"/>
    <n v="2.6020572678999998"/>
    <n v="1.0599077833604902"/>
    <s v="Guaranteed"/>
  </r>
  <r>
    <s v="Vaccine"/>
    <s v="Routine"/>
    <x v="7"/>
    <n v="2028"/>
    <s v="Rwanda"/>
    <s v="v23.2"/>
    <s v="Gavi 6.0"/>
    <n v="2648138.0419000001"/>
    <n v="1084519.34145363"/>
    <n v="2.6481380419000002"/>
    <n v="1.08451934145363"/>
    <s v="Guaranteed"/>
  </r>
  <r>
    <s v="Vaccine"/>
    <s v="Routine"/>
    <x v="7"/>
    <n v="2028"/>
    <s v="Lesotho"/>
    <s v="v23.2"/>
    <s v="Gavi 6.0"/>
    <n v="152957.3659"/>
    <n v="62735.895621764997"/>
    <n v="0.1529573659"/>
    <n v="6.2735895621765E-2"/>
    <s v="Guaranteed"/>
  </r>
  <r>
    <s v="Vaccine"/>
    <s v="Routine"/>
    <x v="7"/>
    <n v="2027"/>
    <s v="Central African Republic"/>
    <s v="v23.2"/>
    <s v="Gavi 6.0"/>
    <n v="1641246.6924000001"/>
    <n v="668536.45579390496"/>
    <n v="1.6412466924"/>
    <n v="0.66853645579390497"/>
    <s v="Guaranteed"/>
  </r>
  <r>
    <s v="Vaccine"/>
    <s v="Routine"/>
    <x v="7"/>
    <n v="2028"/>
    <s v="Chad"/>
    <s v="v23.2"/>
    <s v="Gavi 6.0"/>
    <n v="5304814.8712999998"/>
    <n v="2172535.6607532902"/>
    <n v="5.3048148712999996"/>
    <n v="2.1725356607532902"/>
    <s v="Guaranteed"/>
  </r>
  <r>
    <s v="Vaccine"/>
    <s v="Routine"/>
    <x v="7"/>
    <n v="2027"/>
    <s v="Burundi"/>
    <s v="v23.2"/>
    <s v="Gavi 6.0"/>
    <n v="2690086.2998000002"/>
    <n v="1095765.0479987599"/>
    <n v="2.6900862998000004"/>
    <n v="1.09576504799876"/>
    <s v="Guaranteed"/>
  </r>
  <r>
    <s v="Vaccine"/>
    <s v="Routine"/>
    <x v="7"/>
    <n v="2028"/>
    <s v="Ghana"/>
    <s v="v23.2"/>
    <s v="Gavi 6.0"/>
    <n v="1446468.2446000001"/>
    <n v="593273.03592946101"/>
    <n v="1.4464682446000001"/>
    <n v="0.59327303592946101"/>
    <s v="Guaranteed"/>
  </r>
  <r>
    <s v="Vaccine"/>
    <s v="Routine"/>
    <x v="7"/>
    <n v="2028"/>
    <s v="Burkina Faso"/>
    <s v="v23.2"/>
    <s v="Gavi 6.0"/>
    <n v="6520211.9776999997"/>
    <n v="2670289.7991798702"/>
    <n v="6.5202119776999998"/>
    <n v="2.6702897991798702"/>
    <s v="Guaranteed"/>
  </r>
  <r>
    <s v="Vaccine"/>
    <s v="Routine"/>
    <x v="7"/>
    <n v="2027"/>
    <s v="Myanmar"/>
    <s v="v23.2"/>
    <s v="Gavi 6.0"/>
    <n v="2234845.3410999998"/>
    <n v="911683.78680513101"/>
    <n v="2.2348453410999998"/>
    <n v="0.91168378680513096"/>
    <s v="Guaranteed"/>
  </r>
  <r>
    <s v="Vaccine"/>
    <s v="Routine"/>
    <x v="7"/>
    <n v="2027"/>
    <s v="Liberia"/>
    <s v="v23.2"/>
    <s v="Gavi 6.0"/>
    <n v="1113836.5517"/>
    <n v="453704.09217336"/>
    <n v="1.1138365517"/>
    <n v="0.45370409217336"/>
    <s v="Guaranteed"/>
  </r>
  <r>
    <s v="Vaccine"/>
    <s v="Routine"/>
    <x v="7"/>
    <n v="2028"/>
    <s v="Liberia"/>
    <s v="v23.2"/>
    <s v="Gavi 6.0"/>
    <n v="1140214.1857"/>
    <n v="466963.69986575999"/>
    <n v="1.1402141857000001"/>
    <n v="0.46696369986575997"/>
    <s v="Guaranteed"/>
  </r>
  <r>
    <s v="Vaccine"/>
    <s v="Routine"/>
    <x v="7"/>
    <n v="2027"/>
    <s v="Côte d’Ivoire"/>
    <s v="v23.2"/>
    <s v="Gavi 6.0"/>
    <n v="2231647.7223"/>
    <n v="910379.34878087998"/>
    <n v="2.2316477223"/>
    <n v="0.91037934878088"/>
    <s v="Guaranteed"/>
  </r>
  <r>
    <s v="Vaccine"/>
    <s v="Routine"/>
    <x v="7"/>
    <n v="2028"/>
    <s v="Côte d’Ivoire"/>
    <s v="v23.2"/>
    <s v="Gavi 6.0"/>
    <n v="1496816.8714999999"/>
    <n v="613923.66744192003"/>
    <n v="1.4968168714999999"/>
    <n v="0.61392366744192006"/>
    <s v="Guaranteed"/>
  </r>
  <r>
    <s v="Vaccine"/>
    <s v="Routine"/>
    <x v="7"/>
    <n v="2027"/>
    <s v="Afghanistan"/>
    <s v="v23.2"/>
    <s v="Gavi 6.0"/>
    <n v="12346479.4824"/>
    <n v="5032106.3938859999"/>
    <n v="12.346479482399999"/>
    <n v="5.032106393886"/>
    <s v="Guaranteed"/>
  </r>
  <r>
    <s v="Vaccine"/>
    <s v="Routine"/>
    <x v="7"/>
    <n v="2027"/>
    <s v="Yemen"/>
    <s v="v23.2"/>
    <s v="Gavi 6.0"/>
    <n v="8276575.2362000002"/>
    <n v="3371334.9127944"/>
    <n v="8.2765752361999994"/>
    <n v="3.3713349127944001"/>
    <s v="Guaranteed"/>
  </r>
  <r>
    <s v="Vaccine"/>
    <s v="Routine"/>
    <x v="7"/>
    <n v="2027"/>
    <s v="South Sudan"/>
    <s v="v23.2"/>
    <s v="Gavi 6.0"/>
    <n v="3379661.2985"/>
    <n v="1376927.5932036"/>
    <n v="3.3796612984999999"/>
    <n v="1.3769275932036"/>
    <s v="Guaranteed"/>
  </r>
  <r>
    <s v="Vaccine"/>
    <s v="Routine"/>
    <x v="7"/>
    <n v="2028"/>
    <s v="Myanmar"/>
    <s v="v23.2"/>
    <s v="Gavi 6.0"/>
    <n v="2101995.2359000002"/>
    <n v="862139.28290424997"/>
    <n v="2.1019952359"/>
    <n v="0.86213928290425001"/>
    <s v="Guaranteed"/>
  </r>
  <r>
    <s v="Vaccine"/>
    <s v="Routine"/>
    <x v="7"/>
    <n v="2028"/>
    <s v="United Republic of Tanzania"/>
    <s v="v23.2"/>
    <s v="Gavi 6.0"/>
    <n v="14164406.5569"/>
    <n v="5809571.3553395299"/>
    <n v="14.1644065569"/>
    <n v="5.8095713553395303"/>
    <s v="Guaranteed"/>
  </r>
  <r>
    <s v="Vaccine"/>
    <s v="Routine"/>
    <x v="7"/>
    <n v="2028"/>
    <s v="Burundi"/>
    <s v="v23.2"/>
    <s v="Gavi 6.0"/>
    <n v="2756398.1850999999"/>
    <n v="1128856.2367743501"/>
    <n v="2.7563981850999997"/>
    <n v="1.12885623677435"/>
    <s v="Guaranteed"/>
  </r>
  <r>
    <s v="Vaccine"/>
    <s v="Routine"/>
    <x v="7"/>
    <n v="2027"/>
    <s v="Pakistan"/>
    <s v="v23.2"/>
    <s v="Gavi 6.0"/>
    <n v="16706048.9098"/>
    <n v="6818814.2749717804"/>
    <n v="16.7060489098"/>
    <n v="6.8188142749717802"/>
    <s v="Guaranteed"/>
  </r>
  <r>
    <s v="Vaccine"/>
    <s v="Routine"/>
    <x v="7"/>
    <n v="2028"/>
    <s v="Pakistan"/>
    <s v="v23.2"/>
    <s v="Gavi 6.0"/>
    <n v="11533796.4816"/>
    <n v="4733160.9726731898"/>
    <n v="11.5337964816"/>
    <n v="4.7331609726731898"/>
    <s v="Guaranteed"/>
  </r>
  <r>
    <s v="Vaccine"/>
    <s v="Routine"/>
    <x v="7"/>
    <n v="2027"/>
    <s v="Malawi"/>
    <s v="v23.2"/>
    <s v="Gavi 6.0"/>
    <n v="5976814.8321000002"/>
    <n v="2434563.0814440702"/>
    <n v="5.9768148321000005"/>
    <n v="2.4345630814440704"/>
    <s v="Guaranteed"/>
  </r>
  <r>
    <s v="Vaccine"/>
    <s v="Routine"/>
    <x v="7"/>
    <n v="2028"/>
    <s v="Malawi"/>
    <s v="v23.2"/>
    <s v="Gavi 6.0"/>
    <n v="6018593.0820000004"/>
    <n v="2464856.6284829602"/>
    <n v="6.0185930820000006"/>
    <n v="2.4648566284829601"/>
    <s v="Guaranteed"/>
  </r>
  <r>
    <s v="Vaccine"/>
    <s v="Routine"/>
    <x v="7"/>
    <n v="2028"/>
    <s v="Central African Republic"/>
    <s v="v23.2"/>
    <s v="Gavi 6.0"/>
    <n v="1584286.4919"/>
    <n v="648829.22100568702"/>
    <n v="1.5842864918999999"/>
    <n v="0.64882922100568707"/>
    <s v="Guaranteed"/>
  </r>
  <r>
    <s v="Vaccine"/>
    <s v="Routine"/>
    <x v="7"/>
    <n v="2028"/>
    <s v="Yemen"/>
    <s v="v23.2"/>
    <s v="Gavi 6.0"/>
    <n v="7970116.3015000001"/>
    <n v="3264084.1020051199"/>
    <n v="7.9701163015000001"/>
    <n v="3.2640841020051199"/>
    <s v="Guaranteed"/>
  </r>
  <r>
    <s v="Vaccine"/>
    <s v="Routine"/>
    <x v="7"/>
    <n v="2027"/>
    <s v="Zimbabwe"/>
    <s v="v23.2"/>
    <s v="Gavi 6.0"/>
    <n v="3104327.5737000001"/>
    <n v="1266380.74941102"/>
    <n v="3.1043275737"/>
    <n v="1.26638074941102"/>
    <s v="Guaranteed"/>
  </r>
  <r>
    <s v="Vaccine"/>
    <s v="Routine"/>
    <x v="7"/>
    <n v="2028"/>
    <s v="Zimbabwe"/>
    <s v="v23.2"/>
    <s v="Gavi 6.0"/>
    <n v="3045833.9953000001"/>
    <n v="1249257.41583606"/>
    <n v="3.0458339953000002"/>
    <n v="1.2492574158360599"/>
    <s v="Guaranteed"/>
  </r>
  <r>
    <s v="Vaccine"/>
    <s v="Routine"/>
    <x v="7"/>
    <n v="2027"/>
    <s v="Senegal"/>
    <s v="v23.2"/>
    <s v="Gavi 6.0"/>
    <n v="2757972.3813999998"/>
    <n v="1125088.4606183199"/>
    <n v="2.7579723813999997"/>
    <n v="1.12508846061832"/>
    <s v="Guaranteed"/>
  </r>
  <r>
    <s v="Vaccine"/>
    <s v="Routine"/>
    <x v="7"/>
    <n v="2028"/>
    <s v="Senegal"/>
    <s v="v23.2"/>
    <s v="Gavi 6.0"/>
    <n v="2700490.5337999999"/>
    <n v="1107613.8197022299"/>
    <n v="2.7004905338"/>
    <n v="1.1076138197022298"/>
    <s v="Guaranteed"/>
  </r>
  <r>
    <s v="Vaccine"/>
    <s v="Routine"/>
    <x v="7"/>
    <n v="2028"/>
    <s v="Afghanistan"/>
    <s v="v23.2"/>
    <s v="Gavi 6.0"/>
    <n v="12323156.888499999"/>
    <n v="5049741.3386984998"/>
    <n v="12.3231568885"/>
    <n v="5.0497413386984995"/>
    <s v="Guaranteed"/>
  </r>
  <r>
    <s v="Vaccine"/>
    <s v="Routine"/>
    <x v="7"/>
    <n v="2027"/>
    <s v="Sierra Leone"/>
    <s v="v23.2"/>
    <s v="Gavi 6.0"/>
    <n v="1847006.9639999999"/>
    <n v="752349.72004799999"/>
    <n v="1.847006964"/>
    <n v="0.75234972004799994"/>
    <s v="Guaranteed"/>
  </r>
  <r>
    <s v="Vaccine"/>
    <s v="Routine"/>
    <x v="7"/>
    <n v="2028"/>
    <s v="Sierra Leone"/>
    <s v="v23.2"/>
    <s v="Gavi 6.0"/>
    <n v="1978770.6609"/>
    <n v="810386.39980799996"/>
    <n v="1.9787706609"/>
    <n v="0.81038639980799998"/>
    <s v="Guaranteed"/>
  </r>
  <r>
    <s v="Vaccine"/>
    <s v="Routine"/>
    <x v="7"/>
    <n v="2027"/>
    <s v="Congo, the Democratic Republic of the"/>
    <s v="v23.2"/>
    <s v="Gavi 6.0"/>
    <n v="26913438.673"/>
    <n v="10967111.257779"/>
    <n v="26.913438673000002"/>
    <n v="10.967111257779001"/>
    <s v="Guaranteed"/>
  </r>
  <r>
    <s v="Vaccine"/>
    <s v="Routine"/>
    <x v="7"/>
    <n v="2028"/>
    <s v="Congo, the Democratic Republic of the"/>
    <s v="v23.2"/>
    <s v="Gavi 6.0"/>
    <n v="27179403.159400001"/>
    <n v="11135381.0192378"/>
    <n v="27.1794031594"/>
    <n v="11.1353810192378"/>
    <s v="Guaranteed"/>
  </r>
  <r>
    <s v="Vaccine"/>
    <s v="Routine"/>
    <x v="7"/>
    <n v="2027"/>
    <s v="Angola"/>
    <s v="v23.2"/>
    <s v="Gavi 6.0"/>
    <n v="1576294.2174"/>
    <n v="643031.87446079997"/>
    <n v="1.5762942173999999"/>
    <n v="0.64303187446080001"/>
    <s v="Guaranteed"/>
  </r>
  <r>
    <s v="Vaccine"/>
    <s v="Routine"/>
    <x v="7"/>
    <n v="2028"/>
    <s v="Angola"/>
    <s v="v23.2"/>
    <s v="Gavi 6.0"/>
    <n v="1639272.9247000001"/>
    <n v="672352.4200248"/>
    <n v="1.6392729247000002"/>
    <n v="0.6723524200248"/>
    <s v="Guaranteed"/>
  </r>
  <r>
    <s v="Vaccine"/>
    <s v="Routine"/>
    <x v="7"/>
    <n v="2027"/>
    <s v="Chad"/>
    <s v="v23.2"/>
    <s v="Gavi 6.0"/>
    <n v="5396173.9511000002"/>
    <n v="2199341.235756"/>
    <n v="5.3961739510999998"/>
    <n v="2.199341235756"/>
    <s v="Guaranteed"/>
  </r>
  <r>
    <s v="Vaccine"/>
    <s v="Routine"/>
    <x v="7"/>
    <n v="2027"/>
    <s v="Somalia"/>
    <s v="v23.2"/>
    <s v="Gavi 6.0"/>
    <n v="4025020.2864999999"/>
    <n v="1639529.7607346899"/>
    <n v="4.0250202865000002"/>
    <n v="1.6395297607346899"/>
    <s v="Guaranteed"/>
  </r>
  <r>
    <s v="Vaccine"/>
    <s v="Routine"/>
    <x v="7"/>
    <n v="2028"/>
    <s v="Somalia"/>
    <s v="v23.2"/>
    <s v="Gavi 6.0"/>
    <n v="4067167.2548000002"/>
    <n v="1665669.04099305"/>
    <n v="4.0671672548000002"/>
    <n v="1.6656690409930499"/>
    <s v="Guaranteed"/>
  </r>
  <r>
    <s v="Vaccine"/>
    <s v="Routine"/>
    <x v="7"/>
    <n v="2027"/>
    <s v="Togo"/>
    <s v="v23.2"/>
    <s v="Gavi 6.0"/>
    <n v="1931802.1949"/>
    <n v="786889.74590066099"/>
    <n v="1.9318021948999999"/>
    <n v="0.78688974590066096"/>
    <s v="Guaranteed"/>
  </r>
  <r>
    <s v="Vaccine"/>
    <s v="Routine"/>
    <x v="7"/>
    <n v="2028"/>
    <s v="Togo"/>
    <s v="v23.2"/>
    <s v="Gavi 6.0"/>
    <n v="1954421.3496999999"/>
    <n v="801611.43666034797"/>
    <n v="1.9544213496999998"/>
    <n v="0.80161143666034795"/>
    <s v="Guaranteed"/>
  </r>
  <r>
    <s v="Vaccine"/>
    <s v="Routine"/>
    <x v="7"/>
    <n v="2027"/>
    <s v="Guinea-Bissau"/>
    <s v="v23.2"/>
    <s v="Gavi 6.0"/>
    <n v="431605.3591"/>
    <n v="175807.76759973101"/>
    <n v="0.43160535909999997"/>
    <n v="0.17580776759973102"/>
    <s v="Guaranteed"/>
  </r>
  <r>
    <s v="Vaccine"/>
    <s v="Routine"/>
    <x v="7"/>
    <n v="2028"/>
    <s v="Guinea-Bissau"/>
    <s v="v23.2"/>
    <s v="Gavi 6.0"/>
    <n v="436231.65159999998"/>
    <n v="178654.45682917701"/>
    <n v="0.43623165159999999"/>
    <n v="0.17865445682917702"/>
    <s v="Guaranteed"/>
  </r>
  <r>
    <s v="Vaccine"/>
    <s v="Routine"/>
    <x v="7"/>
    <n v="2027"/>
    <s v="Benin"/>
    <s v="v23.2"/>
    <s v="Gavi 6.0"/>
    <n v="2216526.4284999999"/>
    <n v="904210.76157313201"/>
    <n v="2.2165264284999999"/>
    <n v="0.90421076157313196"/>
    <s v="Guaranteed"/>
  </r>
  <r>
    <s v="Vaccine"/>
    <s v="Routine"/>
    <x v="7"/>
    <n v="2028"/>
    <s v="Benin"/>
    <s v="v23.2"/>
    <s v="Gavi 6.0"/>
    <n v="2109938.9172"/>
    <n v="865397.40619958495"/>
    <n v="2.1099389172"/>
    <n v="0.86539740619958494"/>
    <s v="Guaranteed"/>
  </r>
  <r>
    <s v="Vaccine"/>
    <s v="Routine"/>
    <x v="7"/>
    <n v="2028"/>
    <s v="South Sudan"/>
    <s v="v23.2"/>
    <s v="Gavi 6.0"/>
    <n v="3514818.3314999999"/>
    <n v="1439741.6594445801"/>
    <n v="3.5148183314999999"/>
    <n v="1.43974165944458"/>
    <s v="Guaranteed"/>
  </r>
  <r>
    <s v="Vaccine"/>
    <s v="Routine"/>
    <x v="7"/>
    <n v="2027"/>
    <s v="Mauritania"/>
    <s v="v23.2"/>
    <s v="Gavi 6.0"/>
    <n v="734855.11580000003"/>
    <n v="299777.11760414799"/>
    <n v="0.73485511580000007"/>
    <n v="0.29977711760414799"/>
    <s v="Guaranteed"/>
  </r>
  <r>
    <s v="Vaccine"/>
    <s v="Routine"/>
    <x v="7"/>
    <n v="2028"/>
    <s v="Mauritania"/>
    <s v="v23.2"/>
    <s v="Gavi 6.0"/>
    <n v="685131.00679999997"/>
    <n v="281008.41750667198"/>
    <n v="0.68513100679999994"/>
    <n v="0.28100841750667199"/>
    <s v="Guaranteed"/>
  </r>
  <r>
    <s v="Vaccine"/>
    <s v="Routine"/>
    <x v="7"/>
    <n v="2027"/>
    <s v="Eritrea"/>
    <s v="v23.2"/>
    <s v="Gavi 6.0"/>
    <n v="551424.45519999997"/>
    <n v="224614.223215598"/>
    <n v="0.55142445519999994"/>
    <n v="0.22461422321559801"/>
    <s v="Guaranteed"/>
  </r>
  <r>
    <s v="Vaccine"/>
    <s v="Routine"/>
    <x v="7"/>
    <n v="2028"/>
    <s v="Eritrea"/>
    <s v="v23.2"/>
    <s v="Gavi 6.0"/>
    <n v="566706.14020000002"/>
    <n v="232089.02264241799"/>
    <n v="0.56670614019999999"/>
    <n v="0.23208902264241799"/>
    <s v="Guaranteed"/>
  </r>
  <r>
    <s v="Vaccine"/>
    <s v="Routine"/>
    <x v="7"/>
    <n v="2027"/>
    <s v="Gambia"/>
    <s v="v23.2"/>
    <s v="Gavi 6.0"/>
    <n v="471115.52250000002"/>
    <n v="191901.62158514399"/>
    <n v="0.47111552249999999"/>
    <n v="0.19190162158514398"/>
    <s v="Guaranteed"/>
  </r>
  <r>
    <s v="Vaccine"/>
    <s v="Routine"/>
    <x v="7"/>
    <n v="2028"/>
    <s v="Gambia"/>
    <s v="v23.2"/>
    <s v="Gavi 6.0"/>
    <n v="475174.43780000001"/>
    <n v="194603.09856573201"/>
    <n v="0.47517443780000002"/>
    <n v="0.19460309856573202"/>
    <s v="Guaranteed"/>
  </r>
  <r>
    <s v="Vaccine"/>
    <s v="Routine"/>
    <x v="7"/>
    <n v="2027"/>
    <s v="Mozambique"/>
    <s v="v23.2"/>
    <s v="Gavi 6.0"/>
    <n v="7312556.8084000004"/>
    <n v="2978656.9162559998"/>
    <n v="7.3125568084000001"/>
    <n v="2.9786569162559999"/>
    <s v="Guaranteed"/>
  </r>
  <r>
    <s v="Vaccine"/>
    <s v="Routine"/>
    <x v="7"/>
    <n v="2028"/>
    <s v="Mozambique"/>
    <s v="v23.2"/>
    <s v="Gavi 6.0"/>
    <n v="7554542.9757000003"/>
    <n v="3093890.06283525"/>
    <n v="7.5545429757000004"/>
    <n v="3.0938900628352499"/>
    <s v="Guaranteed"/>
  </r>
  <r>
    <s v="Vaccine"/>
    <s v="Routine"/>
    <x v="7"/>
    <n v="2027"/>
    <s v="United Republic of Tanzania"/>
    <s v="v23.2"/>
    <s v="Gavi 6.0"/>
    <n v="14513373.5495"/>
    <n v="5920587.2633351004"/>
    <n v="14.513373549499999"/>
    <n v="5.9205872633351007"/>
    <s v="Guaranteed"/>
  </r>
  <r>
    <s v="Vaccine"/>
    <s v="Routine"/>
    <x v="7"/>
    <n v="2027"/>
    <s v="Cameroon"/>
    <s v="v23.2"/>
    <s v="Gavi 6.0"/>
    <n v="2572043.7892"/>
    <n v="1049238.66570793"/>
    <n v="2.5720437891999999"/>
    <n v="1.04923866570793"/>
    <s v="Guaranteed"/>
  </r>
  <r>
    <s v="Vaccine"/>
    <s v="Routine"/>
    <x v="7"/>
    <n v="2028"/>
    <s v="Cameroon"/>
    <s v="v23.2"/>
    <s v="Gavi 6.0"/>
    <n v="2068371.3130000001"/>
    <n v="848348.33595062396"/>
    <n v="2.0683713130000001"/>
    <n v="0.84834833595062398"/>
    <s v="Guaranteed"/>
  </r>
  <r>
    <s v="Vaccine"/>
    <s v="Routine"/>
    <x v="7"/>
    <n v="2027"/>
    <s v="Ethiopia"/>
    <s v="v23.2"/>
    <s v="Gavi 6.0"/>
    <n v="24568859.890299998"/>
    <n v="10007745.0819811"/>
    <n v="24.568859890299997"/>
    <n v="10.007745081981101"/>
    <s v="Guaranteed"/>
  </r>
  <r>
    <s v="Vaccine"/>
    <s v="Routine"/>
    <x v="7"/>
    <n v="2028"/>
    <s v="Ethiopia"/>
    <s v="v23.2"/>
    <s v="Gavi 6.0"/>
    <n v="25055305.878199998"/>
    <n v="10261158.368854299"/>
    <n v="25.055305878199999"/>
    <n v="10.2611583688543"/>
    <s v="Guaranteed"/>
  </r>
  <r>
    <s v="Vaccine"/>
    <s v="Routine"/>
    <x v="7"/>
    <n v="2027"/>
    <s v="Sudan"/>
    <s v="v23.2"/>
    <s v="Gavi 6.0"/>
    <n v="11437250.909700001"/>
    <n v="4658787.2637695996"/>
    <n v="11.437250909700001"/>
    <n v="4.6587872637695993"/>
    <s v="Guaranteed"/>
  </r>
  <r>
    <s v="Vaccine"/>
    <s v="Routine"/>
    <x v="7"/>
    <n v="2028"/>
    <s v="Sudan"/>
    <s v="v23.2"/>
    <s v="Gavi 6.0"/>
    <n v="11448567.244200001"/>
    <n v="4688650.0671785995"/>
    <n v="11.448567244200001"/>
    <n v="4.6886500671785996"/>
    <s v="Guaranteed"/>
  </r>
  <r>
    <s v="Vaccine"/>
    <s v="Routine"/>
    <x v="7"/>
    <n v="2027"/>
    <s v="Mali"/>
    <s v="v23.2"/>
    <s v="Gavi 6.0"/>
    <n v="6580003.2922"/>
    <n v="2680262.5714425598"/>
    <n v="6.5800032921999998"/>
    <n v="2.6802625714425599"/>
    <s v="Guaranteed"/>
  </r>
  <r>
    <s v="Vaccine"/>
    <s v="Routine"/>
    <x v="7"/>
    <n v="2027"/>
    <s v="Niger"/>
    <s v="v23.2"/>
    <s v="Gavi 6.0"/>
    <n v="7801919.7219000002"/>
    <n v="3177991.3303212002"/>
    <n v="7.8019197219"/>
    <n v="3.1779913303212002"/>
    <s v="Guaranteed"/>
  </r>
  <r>
    <s v="Vaccine"/>
    <s v="Routine"/>
    <x v="7"/>
    <n v="2028"/>
    <s v="Niger"/>
    <s v="v23.2"/>
    <s v="Gavi 6.0"/>
    <n v="7949989.3733000001"/>
    <n v="3255841.3130703"/>
    <n v="7.9499893733000002"/>
    <n v="3.2558413130703001"/>
    <s v="Guaranteed"/>
  </r>
  <r>
    <s v="Vaccine"/>
    <s v="Routine"/>
    <x v="7"/>
    <n v="2028"/>
    <s v="Mali"/>
    <s v="v23.2"/>
    <s v="Gavi 6.0"/>
    <n v="6744952.0477"/>
    <n v="2766461.1328227599"/>
    <n v="6.7449520477"/>
    <n v="2.76646113282276"/>
    <s v="Guaranteed"/>
  </r>
  <r>
    <s v="Vaccine"/>
    <s v="Routine"/>
    <x v="7"/>
    <n v="2028"/>
    <s v="Republic of Syria"/>
    <s v="v23.2"/>
    <s v="Gavi 6.0"/>
    <n v="5114082.9358999999"/>
    <n v="2094423.24"/>
    <n v="5.1140829359"/>
    <n v="2.0944232399999998"/>
    <s v="Guaranteed"/>
  </r>
  <r>
    <s v="Vaccine"/>
    <s v="Routine"/>
    <x v="11"/>
    <n v="2030"/>
    <s v="Uganda"/>
    <s v="v23.2"/>
    <s v="Gavi 6.0"/>
    <n v="12791509.784"/>
    <n v="4011129.9724358399"/>
    <n v="12.791509784"/>
    <n v="4.0111299724358398"/>
    <s v="Discretionary"/>
  </r>
  <r>
    <s v="Vaccine"/>
    <s v="Routine"/>
    <x v="11"/>
    <n v="2028"/>
    <s v="Mozambique"/>
    <s v="v23.2"/>
    <s v="Gavi 6.0"/>
    <n v="12308641.964"/>
    <n v="3855641.18464409"/>
    <n v="12.308641964"/>
    <n v="3.8556411846440901"/>
    <s v="Discretionary"/>
  </r>
  <r>
    <s v="Vaccine"/>
    <s v="Routine"/>
    <x v="11"/>
    <n v="2027"/>
    <s v="Zambia"/>
    <s v="v23.2"/>
    <s v="Gavi 6.0"/>
    <n v="2283360.9276999999"/>
    <n v="706080.38654219802"/>
    <n v="2.2833609277"/>
    <n v="0.70608038654219807"/>
    <s v="Discretionary"/>
  </r>
  <r>
    <s v="Vaccine"/>
    <s v="Routine"/>
    <x v="11"/>
    <n v="2029"/>
    <s v="Madagascar"/>
    <s v="v23.2"/>
    <s v="Gavi 6.0"/>
    <n v="551107.36640000006"/>
    <n v="172632.55078450899"/>
    <n v="0.55110736640000002"/>
    <n v="0.17263255078450898"/>
    <s v="Discretionary"/>
  </r>
  <r>
    <s v="Vaccine"/>
    <s v="Routine"/>
    <x v="11"/>
    <n v="2030"/>
    <s v="Madagascar"/>
    <s v="v23.2"/>
    <s v="Gavi 6.0"/>
    <n v="602990.73479999998"/>
    <n v="188884.84349461101"/>
    <n v="0.60299073479999998"/>
    <n v="0.18888484349461102"/>
    <s v="Discretionary"/>
  </r>
  <r>
    <s v="Vaccine"/>
    <s v="Routine"/>
    <x v="11"/>
    <n v="2028"/>
    <s v="Zambia"/>
    <s v="v23.2"/>
    <s v="Gavi 6.0"/>
    <n v="1345649.6221"/>
    <n v="421965.47732690099"/>
    <n v="1.3456496221000001"/>
    <n v="0.42196547732690098"/>
    <s v="Discretionary"/>
  </r>
  <r>
    <s v="Vaccine"/>
    <s v="Routine"/>
    <x v="11"/>
    <n v="2027"/>
    <s v="Ethiopia"/>
    <s v="v23.2"/>
    <s v="Gavi 6.0"/>
    <n v="2099004.5994000002"/>
    <n v="648396.81385455502"/>
    <n v="2.0990045994000002"/>
    <n v="0.64839681385455505"/>
    <s v="Discretionary"/>
  </r>
  <r>
    <s v="Vaccine"/>
    <s v="Routine"/>
    <x v="11"/>
    <n v="2029"/>
    <s v="Zambia"/>
    <s v="v23.2"/>
    <s v="Gavi 6.0"/>
    <n v="918420.6936"/>
    <n v="287996.08752316702"/>
    <n v="0.9184206936"/>
    <n v="0.28799608752316702"/>
    <s v="Discretionary"/>
  </r>
  <r>
    <s v="Vaccine"/>
    <s v="Routine"/>
    <x v="11"/>
    <n v="2030"/>
    <s v="Zambia"/>
    <s v="v23.2"/>
    <s v="Gavi 6.0"/>
    <n v="953993.70909999998"/>
    <n v="299150.98565888801"/>
    <n v="0.95399370910000003"/>
    <n v="0.29915098565888798"/>
    <s v="Discretionary"/>
  </r>
  <r>
    <s v="Vaccine"/>
    <s v="Routine"/>
    <x v="11"/>
    <n v="2029"/>
    <s v="Mali"/>
    <s v="v23.2"/>
    <s v="Gavi 6.0"/>
    <n v="6460660.1262999997"/>
    <n v="2025917.80889514"/>
    <n v="6.4606601262999996"/>
    <n v="2.0259178088951399"/>
    <s v="Discretionary"/>
  </r>
  <r>
    <s v="Vaccine"/>
    <s v="Routine"/>
    <x v="11"/>
    <n v="2030"/>
    <s v="Mali"/>
    <s v="v23.2"/>
    <s v="Gavi 6.0"/>
    <n v="6305012.3833999997"/>
    <n v="1977110.1750088001"/>
    <n v="6.3050123833999994"/>
    <n v="1.9771101750088"/>
    <s v="Discretionary"/>
  </r>
  <r>
    <s v="Vaccine"/>
    <s v="Routine"/>
    <x v="11"/>
    <n v="2028"/>
    <s v="Ethiopia"/>
    <s v="v23.2"/>
    <s v="Gavi 6.0"/>
    <n v="1842663.4765000001"/>
    <n v="577208.20951722295"/>
    <n v="1.8426634765000001"/>
    <n v="0.57720820951722296"/>
    <s v="Discretionary"/>
  </r>
  <r>
    <s v="Vaccine"/>
    <s v="Routine"/>
    <x v="11"/>
    <n v="2029"/>
    <s v="Mozambique"/>
    <s v="v23.2"/>
    <s v="Gavi 6.0"/>
    <n v="11656103.565099999"/>
    <n v="3651235.7000601399"/>
    <n v="11.656103565099999"/>
    <n v="3.6512357000601399"/>
    <s v="Discretionary"/>
  </r>
  <r>
    <s v="Vaccine"/>
    <s v="Routine"/>
    <x v="11"/>
    <n v="2030"/>
    <s v="Mozambique"/>
    <s v="v23.2"/>
    <s v="Gavi 6.0"/>
    <n v="11998034.533299999"/>
    <n v="3758344.4393593399"/>
    <n v="11.998034533299998"/>
    <n v="3.7583444393593397"/>
    <s v="Discretionary"/>
  </r>
  <r>
    <s v="Vaccine"/>
    <s v="Routine"/>
    <x v="11"/>
    <n v="2027"/>
    <s v="Sudan"/>
    <s v="v23.2"/>
    <s v="Gavi 6.0"/>
    <n v="10895310.467"/>
    <n v="3365635.5944995098"/>
    <n v="10.895310467"/>
    <n v="3.3656355944995098"/>
    <s v="Discretionary"/>
  </r>
  <r>
    <s v="Vaccine"/>
    <s v="Routine"/>
    <x v="11"/>
    <n v="2028"/>
    <s v="Sudan"/>
    <s v="v23.2"/>
    <s v="Gavi 6.0"/>
    <n v="10903364.385"/>
    <n v="3415442.6537863598"/>
    <n v="10.903364385"/>
    <n v="3.4154426537863598"/>
    <s v="Discretionary"/>
  </r>
  <r>
    <s v="Vaccine"/>
    <s v="Routine"/>
    <x v="11"/>
    <n v="2028"/>
    <s v="Chad"/>
    <s v="v23.2"/>
    <s v="Gavi 6.0"/>
    <n v="2602458.8487"/>
    <n v="815211.58448530303"/>
    <n v="2.6024588487"/>
    <n v="0.81521158448530306"/>
    <s v="Discretionary"/>
  </r>
  <r>
    <s v="Vaccine"/>
    <s v="Routine"/>
    <x v="11"/>
    <n v="2027"/>
    <s v="Mozambique"/>
    <s v="v23.2"/>
    <s v="Gavi 6.0"/>
    <n v="13121607.7524"/>
    <n v="4053353.9858635399"/>
    <n v="13.121607752399999"/>
    <n v="4.0533539858635397"/>
    <s v="Discretionary"/>
  </r>
  <r>
    <s v="Vaccine"/>
    <s v="Routine"/>
    <x v="11"/>
    <n v="2027"/>
    <s v="Burkina Faso"/>
    <s v="v23.2"/>
    <s v="Gavi 6.0"/>
    <n v="7440246.6782999998"/>
    <n v="2298342.8630315498"/>
    <n v="7.4402466782999994"/>
    <n v="2.2983428630315497"/>
    <s v="Discretionary"/>
  </r>
  <r>
    <s v="Vaccine"/>
    <s v="Routine"/>
    <x v="11"/>
    <n v="2028"/>
    <s v="Burkina Faso"/>
    <s v="v23.2"/>
    <s v="Gavi 6.0"/>
    <n v="6979666.2712000003"/>
    <n v="2186357.2609346602"/>
    <n v="6.9796662712000002"/>
    <n v="2.1863572609346602"/>
    <s v="Discretionary"/>
  </r>
  <r>
    <s v="Vaccine"/>
    <s v="Routine"/>
    <x v="11"/>
    <n v="2029"/>
    <s v="Sudan"/>
    <s v="v23.2"/>
    <s v="Gavi 6.0"/>
    <n v="11091524.577099999"/>
    <n v="3474383.20858665"/>
    <n v="11.0915245771"/>
    <n v="3.4743832085866502"/>
    <s v="Discretionary"/>
  </r>
  <r>
    <s v="Vaccine"/>
    <s v="Routine"/>
    <x v="11"/>
    <n v="2030"/>
    <s v="Sudan"/>
    <s v="v23.2"/>
    <s v="Gavi 6.0"/>
    <n v="11336537.1086"/>
    <n v="3551132.5697089001"/>
    <n v="11.3365371086"/>
    <n v="3.5511325697089"/>
    <s v="Discretionary"/>
  </r>
  <r>
    <s v="Vaccine"/>
    <s v="Routine"/>
    <x v="11"/>
    <n v="2027"/>
    <s v="Côte d’Ivoire"/>
    <s v="v23.2"/>
    <s v="Gavi 6.0"/>
    <n v="3613395.9024999999"/>
    <n v="1117365.1719605799"/>
    <n v="3.6133959024999998"/>
    <n v="1.1173651719605799"/>
    <s v="Discretionary"/>
  </r>
  <r>
    <s v="Vaccine"/>
    <s v="Routine"/>
    <x v="11"/>
    <n v="2028"/>
    <s v="Côte d’Ivoire"/>
    <s v="v23.2"/>
    <s v="Gavi 6.0"/>
    <n v="2283464.1543000001"/>
    <n v="716043.03675669897"/>
    <n v="2.2834641543000003"/>
    <n v="0.716043036756699"/>
    <s v="Discretionary"/>
  </r>
  <r>
    <s v="Vaccine"/>
    <s v="Routine"/>
    <x v="11"/>
    <n v="2029"/>
    <s v="Burkina Faso"/>
    <s v="v23.2"/>
    <s v="Gavi 6.0"/>
    <n v="6638079.7100999998"/>
    <n v="2079356.4060209601"/>
    <n v="6.6380797100999995"/>
    <n v="2.0793564060209602"/>
    <s v="Discretionary"/>
  </r>
  <r>
    <s v="Vaccine"/>
    <s v="Routine"/>
    <x v="11"/>
    <n v="2030"/>
    <s v="Burkina Faso"/>
    <s v="v23.2"/>
    <s v="Gavi 6.0"/>
    <n v="6846372.1491"/>
    <n v="2146868.43018502"/>
    <n v="6.8463721491000005"/>
    <n v="2.14686843018502"/>
    <s v="Discretionary"/>
  </r>
  <r>
    <s v="Vaccine"/>
    <s v="Routine"/>
    <x v="11"/>
    <n v="2027"/>
    <s v="Central African Republic"/>
    <s v="v23.2"/>
    <s v="Gavi 6.0"/>
    <n v="870088.59770000004"/>
    <n v="268776.29268301302"/>
    <n v="0.87008859770000002"/>
    <n v="0.26877629268301301"/>
    <s v="Discretionary"/>
  </r>
  <r>
    <s v="Vaccine"/>
    <s v="Routine"/>
    <x v="11"/>
    <n v="2028"/>
    <s v="Central African Republic"/>
    <s v="v23.2"/>
    <s v="Gavi 6.0"/>
    <n v="787966.15110000002"/>
    <n v="246827.777848164"/>
    <n v="0.78796615110000001"/>
    <n v="0.24682777784816401"/>
    <s v="Discretionary"/>
  </r>
  <r>
    <s v="Vaccine"/>
    <s v="Routine"/>
    <x v="11"/>
    <n v="2029"/>
    <s v="Central African Republic"/>
    <s v="v23.2"/>
    <s v="Gavi 6.0"/>
    <n v="708678.05980000005"/>
    <n v="221991.046794561"/>
    <n v="0.70867805980000009"/>
    <n v="0.221991046794561"/>
    <s v="Discretionary"/>
  </r>
  <r>
    <s v="Vaccine"/>
    <s v="Routine"/>
    <x v="11"/>
    <n v="2027"/>
    <s v="Congo, the Democratic Republic of the"/>
    <s v="v23.2"/>
    <s v="Gavi 6.0"/>
    <n v="26239402.522100002"/>
    <n v="8105530.11543559"/>
    <n v="26.239402522100001"/>
    <n v="8.1055301154355899"/>
    <s v="Discretionary"/>
  </r>
  <r>
    <s v="Vaccine"/>
    <s v="Routine"/>
    <x v="11"/>
    <n v="2028"/>
    <s v="Congo, the Democratic Republic of the"/>
    <s v="v23.2"/>
    <s v="Gavi 6.0"/>
    <n v="24708759.209399998"/>
    <n v="7739936.6971811801"/>
    <n v="24.708759209399997"/>
    <n v="7.7399366971811805"/>
    <s v="Discretionary"/>
  </r>
  <r>
    <s v="Vaccine"/>
    <s v="Routine"/>
    <x v="11"/>
    <n v="2030"/>
    <s v="Central African Republic"/>
    <s v="v23.2"/>
    <s v="Gavi 6.0"/>
    <n v="754835.77549999999"/>
    <n v="236449.797798771"/>
    <n v="0.75483577550000003"/>
    <n v="0.23644979779877101"/>
    <s v="Discretionary"/>
  </r>
  <r>
    <s v="Vaccine"/>
    <s v="Routine"/>
    <x v="11"/>
    <n v="2027"/>
    <s v="South Sudan"/>
    <s v="v23.2"/>
    <s v="Gavi 6.0"/>
    <n v="3772079.8473"/>
    <n v="1165221.1506771599"/>
    <n v="3.7720798473000001"/>
    <n v="1.1652211506771599"/>
    <s v="Discretionary"/>
  </r>
  <r>
    <s v="Vaccine"/>
    <s v="Routine"/>
    <x v="11"/>
    <n v="2027"/>
    <s v="Chad"/>
    <s v="v23.2"/>
    <s v="Gavi 6.0"/>
    <n v="2815511.9001000002"/>
    <n v="869730.798072804"/>
    <n v="2.8155119001000002"/>
    <n v="0.86973079807280396"/>
    <s v="Discretionary"/>
  </r>
  <r>
    <s v="Vaccine"/>
    <s v="Routine"/>
    <x v="11"/>
    <n v="2027"/>
    <s v="Mali"/>
    <s v="v23.2"/>
    <s v="Gavi 6.0"/>
    <n v="6329752.3076999998"/>
    <n v="1955303.5900960099"/>
    <n v="6.3297523076999997"/>
    <n v="1.9553035900960098"/>
    <s v="Discretionary"/>
  </r>
  <r>
    <s v="Vaccine"/>
    <s v="Routine"/>
    <x v="11"/>
    <n v="2028"/>
    <s v="Mali"/>
    <s v="v23.2"/>
    <s v="Gavi 6.0"/>
    <n v="5861758.9181000004"/>
    <n v="1838115.8506481401"/>
    <n v="5.8617589181000005"/>
    <n v="1.8381158506481401"/>
    <s v="Discretionary"/>
  </r>
  <r>
    <s v="Vaccine"/>
    <s v="Routine"/>
    <x v="11"/>
    <n v="2029"/>
    <s v="Chad"/>
    <s v="v23.2"/>
    <s v="Gavi 6.0"/>
    <n v="2058883.6645"/>
    <n v="644938.46474825405"/>
    <n v="2.0588836645000002"/>
    <n v="0.644938464748254"/>
    <s v="Discretionary"/>
  </r>
  <r>
    <s v="Vaccine"/>
    <s v="Routine"/>
    <x v="11"/>
    <n v="2030"/>
    <s v="Chad"/>
    <s v="v23.2"/>
    <s v="Gavi 6.0"/>
    <n v="2107126.0529999998"/>
    <n v="660050.23258789"/>
    <n v="2.107126053"/>
    <n v="0.66005023258788997"/>
    <s v="Discretionary"/>
  </r>
  <r>
    <s v="Vaccine"/>
    <s v="Routine"/>
    <x v="11"/>
    <n v="2027"/>
    <s v="Togo"/>
    <s v="v23.2"/>
    <s v="Gavi 6.0"/>
    <n v="2619658.4824999999"/>
    <n v="809230.34373398696"/>
    <n v="2.6196584824999998"/>
    <n v="0.80923034373398695"/>
    <s v="Discretionary"/>
  </r>
  <r>
    <s v="Vaccine"/>
    <s v="Routine"/>
    <x v="11"/>
    <n v="2028"/>
    <s v="Togo"/>
    <s v="v23.2"/>
    <s v="Gavi 6.0"/>
    <n v="2469037.7327000001"/>
    <n v="774234.74007528403"/>
    <n v="2.4690377326999999"/>
    <n v="0.77423474007528403"/>
    <s v="Discretionary"/>
  </r>
  <r>
    <s v="Vaccine"/>
    <s v="Routine"/>
    <x v="11"/>
    <n v="2029"/>
    <s v="Togo"/>
    <s v="v23.2"/>
    <s v="Gavi 6.0"/>
    <n v="2303322.33"/>
    <n v="722270.11430913699"/>
    <n v="2.3033223299999999"/>
    <n v="0.72227011430913701"/>
    <s v="Discretionary"/>
  </r>
  <r>
    <s v="Vaccine"/>
    <s v="Routine"/>
    <x v="11"/>
    <n v="2030"/>
    <s v="Togo"/>
    <s v="v23.2"/>
    <s v="Gavi 6.0"/>
    <n v="2329633.5743999998"/>
    <n v="730520.72919721401"/>
    <n v="2.3296335743999999"/>
    <n v="0.730520729197214"/>
    <s v="Discretionary"/>
  </r>
  <r>
    <s v="Vaccine"/>
    <s v="Routine"/>
    <x v="11"/>
    <n v="2030"/>
    <s v="Congo"/>
    <s v="v23.2"/>
    <s v="Gavi 6.0"/>
    <n v="282625.42910000001"/>
    <n v="88624.982416281797"/>
    <n v="0.28262542909999999"/>
    <n v="8.8624982416281792E-2"/>
    <s v="Discretionary"/>
  </r>
  <r>
    <s v="Vaccine"/>
    <s v="Routine"/>
    <x v="11"/>
    <n v="2029"/>
    <s v="Ethiopia"/>
    <s v="v23.2"/>
    <s v="Gavi 6.0"/>
    <n v="1866731.6876999999"/>
    <n v="584747.49667810299"/>
    <n v="1.8667316877"/>
    <n v="0.584747496678103"/>
    <s v="Discretionary"/>
  </r>
  <r>
    <s v="Vaccine"/>
    <s v="Routine"/>
    <x v="11"/>
    <n v="2030"/>
    <s v="Ethiopia"/>
    <s v="v23.2"/>
    <s v="Gavi 6.0"/>
    <n v="1886232.9283"/>
    <n v="591480.25223738805"/>
    <n v="1.8862329283000001"/>
    <n v="0.59148025223738809"/>
    <s v="Discretionary"/>
  </r>
  <r>
    <s v="Vaccine"/>
    <s v="Routine"/>
    <x v="11"/>
    <n v="2030"/>
    <s v="Congo, the Democratic Republic of the"/>
    <s v="v23.2"/>
    <s v="Gavi 6.0"/>
    <n v="25812864.3116"/>
    <n v="8085793.9507046798"/>
    <n v="25.812864311599999"/>
    <n v="8.0857939507046801"/>
    <s v="Discretionary"/>
  </r>
  <r>
    <s v="Vaccine"/>
    <s v="Routine"/>
    <x v="11"/>
    <n v="2028"/>
    <s v="Congo"/>
    <s v="v23.2"/>
    <s v="Gavi 6.0"/>
    <n v="525213.17570000002"/>
    <n v="164695.047471211"/>
    <n v="0.52521317570000003"/>
    <n v="0.164695047471211"/>
    <s v="Discretionary"/>
  </r>
  <r>
    <s v="Vaccine"/>
    <s v="Routine"/>
    <x v="11"/>
    <n v="2029"/>
    <s v="Congo"/>
    <s v="v23.2"/>
    <s v="Gavi 6.0"/>
    <n v="434932.10450000002"/>
    <n v="136384.93265769401"/>
    <n v="0.43493210450000003"/>
    <n v="0.136384932657694"/>
    <s v="Discretionary"/>
  </r>
  <r>
    <s v="Vaccine"/>
    <s v="Routine"/>
    <x v="11"/>
    <n v="2027"/>
    <s v="Uganda"/>
    <s v="v23.2"/>
    <s v="Gavi 6.0"/>
    <n v="14934317.9891"/>
    <n v="4613312.5215761904"/>
    <n v="14.9343179891"/>
    <n v="4.6133125215761908"/>
    <s v="Discretionary"/>
  </r>
  <r>
    <s v="Vaccine"/>
    <s v="Routine"/>
    <x v="11"/>
    <n v="2028"/>
    <s v="Uganda"/>
    <s v="v23.2"/>
    <s v="Gavi 6.0"/>
    <n v="13951131.0887"/>
    <n v="4374761.1504902299"/>
    <n v="13.9511310887"/>
    <n v="4.3747611504902295"/>
    <s v="Discretionary"/>
  </r>
  <r>
    <s v="Vaccine"/>
    <s v="Routine"/>
    <x v="11"/>
    <n v="2029"/>
    <s v="Congo, the Democratic Republic of the"/>
    <s v="v23.2"/>
    <s v="Gavi 6.0"/>
    <n v="25255392.004000001"/>
    <n v="7911167.6032306198"/>
    <n v="25.255392004000001"/>
    <n v="7.91116760323062"/>
    <s v="Discretionary"/>
  </r>
  <r>
    <s v="Vaccine"/>
    <s v="Routine"/>
    <x v="11"/>
    <n v="2029"/>
    <s v="Uganda"/>
    <s v="v23.2"/>
    <s v="Gavi 6.0"/>
    <n v="12818146.2622"/>
    <n v="4019482.5733170002"/>
    <n v="12.818146262199999"/>
    <n v="4.0194825733170001"/>
    <s v="Discretionary"/>
  </r>
  <r>
    <s v="Vaccine"/>
    <s v="Routine"/>
    <x v="11"/>
    <n v="2028"/>
    <s v="South Sudan"/>
    <s v="v23.2"/>
    <s v="Gavi 6.0"/>
    <n v="3589263.1161000002"/>
    <n v="1124324.74139882"/>
    <n v="3.5892631161000002"/>
    <n v="1.12432474139882"/>
    <s v="Discretionary"/>
  </r>
  <r>
    <s v="Vaccine"/>
    <s v="Routine"/>
    <x v="11"/>
    <n v="2029"/>
    <s v="South Sudan"/>
    <s v="v23.2"/>
    <s v="Gavi 6.0"/>
    <n v="3460490.5841999999"/>
    <n v="1083987.17375911"/>
    <n v="3.4604905842"/>
    <n v="1.08398717375911"/>
    <s v="Discretionary"/>
  </r>
  <r>
    <s v="Vaccine"/>
    <s v="Routine"/>
    <x v="11"/>
    <n v="2030"/>
    <s v="South Sudan"/>
    <s v="v23.2"/>
    <s v="Gavi 6.0"/>
    <n v="3650735.3017000002"/>
    <n v="1143580.6992218101"/>
    <n v="3.6507353017000002"/>
    <n v="1.14358069922181"/>
    <s v="Discretionary"/>
  </r>
  <r>
    <s v="Vaccine"/>
    <s v="Routine"/>
    <x v="11"/>
    <n v="2029"/>
    <s v="Côte d’Ivoire"/>
    <s v="v23.2"/>
    <s v="Gavi 6.0"/>
    <n v="1090759.5209999999"/>
    <n v="342037.67040554702"/>
    <n v="1.0907595209999998"/>
    <n v="0.342037670405547"/>
    <s v="Discretionary"/>
  </r>
  <r>
    <s v="Vaccine"/>
    <s v="Routine"/>
    <x v="11"/>
    <n v="2029"/>
    <s v="Cameroon"/>
    <s v="v23.2"/>
    <s v="Gavi 6.0"/>
    <n v="3014634.6225999999"/>
    <n v="938938.66377863497"/>
    <n v="3.0146346226"/>
    <n v="0.938938663778635"/>
    <s v="Discretionary"/>
  </r>
  <r>
    <s v="Vaccine"/>
    <s v="Routine"/>
    <x v="11"/>
    <n v="2030"/>
    <s v="Cameroon"/>
    <s v="v23.2"/>
    <s v="Gavi 6.0"/>
    <n v="2839361.3576000002"/>
    <n v="884348.01986566605"/>
    <n v="2.8393613576000001"/>
    <n v="0.88434801986566602"/>
    <s v="Discretionary"/>
  </r>
  <r>
    <s v="Vaccine"/>
    <s v="Routine"/>
    <x v="11"/>
    <n v="2028"/>
    <s v="Guinea"/>
    <s v="v23.2"/>
    <s v="Gavi 6.0"/>
    <n v="2400089.5392"/>
    <n v="747532.33709502802"/>
    <n v="2.4000895392000001"/>
    <n v="0.74753233709502798"/>
    <s v="Discretionary"/>
  </r>
  <r>
    <s v="Vaccine"/>
    <s v="Routine"/>
    <x v="11"/>
    <n v="2029"/>
    <s v="Guinea"/>
    <s v="v23.2"/>
    <s v="Gavi 6.0"/>
    <n v="2319050.1249000002"/>
    <n v="722291.78594155097"/>
    <n v="2.3190501249"/>
    <n v="0.72229178594155097"/>
    <s v="Discretionary"/>
  </r>
  <r>
    <s v="Vaccine"/>
    <s v="Routine"/>
    <x v="11"/>
    <n v="2030"/>
    <s v="Guinea"/>
    <s v="v23.2"/>
    <s v="Gavi 6.0"/>
    <n v="2194660.8561999998"/>
    <n v="683549.48103151994"/>
    <n v="2.1946608561999996"/>
    <n v="0.68354948103151991"/>
    <s v="Discretionary"/>
  </r>
  <r>
    <s v="Vaccine"/>
    <s v="Routine"/>
    <x v="11"/>
    <n v="2027"/>
    <s v="Gambia"/>
    <s v="v23.2"/>
    <s v="Gavi 6.0"/>
    <n v="533062.28619999997"/>
    <n v="163497.158747893"/>
    <n v="0.53306228619999996"/>
    <n v="0.163497158747893"/>
    <s v="Discretionary"/>
  </r>
  <r>
    <s v="Vaccine"/>
    <s v="Routine"/>
    <x v="11"/>
    <n v="2028"/>
    <s v="Gambia"/>
    <s v="v23.2"/>
    <s v="Gavi 6.0"/>
    <n v="426542.8653"/>
    <n v="132651.020521439"/>
    <n v="0.42654286530000002"/>
    <n v="0.13265102052143901"/>
    <s v="Discretionary"/>
  </r>
  <r>
    <s v="Vaccine"/>
    <s v="Routine"/>
    <x v="11"/>
    <n v="2029"/>
    <s v="Gambia"/>
    <s v="v23.2"/>
    <s v="Gavi 6.0"/>
    <n v="434257.25670000003"/>
    <n v="135050.12733475401"/>
    <n v="0.43425725670000004"/>
    <n v="0.13505012733475402"/>
    <s v="Discretionary"/>
  </r>
  <r>
    <s v="Vaccine"/>
    <s v="Routine"/>
    <x v="11"/>
    <n v="2030"/>
    <s v="Gambia"/>
    <s v="v23.2"/>
    <s v="Gavi 6.0"/>
    <n v="440518.48220000003"/>
    <n v="136997.31253731099"/>
    <n v="0.44051848220000001"/>
    <n v="0.13699731253731098"/>
    <s v="Discretionary"/>
  </r>
  <r>
    <s v="Vaccine"/>
    <s v="Routine"/>
    <x v="11"/>
    <n v="2027"/>
    <s v="Guinea-Bissau"/>
    <s v="v23.2"/>
    <s v="Gavi 6.0"/>
    <n v="352745.20799999998"/>
    <n v="108191.55803703101"/>
    <n v="0.35274520799999998"/>
    <n v="0.10819155803703101"/>
    <s v="Discretionary"/>
  </r>
  <r>
    <s v="Vaccine"/>
    <s v="Routine"/>
    <x v="11"/>
    <n v="2028"/>
    <s v="Guinea-Bissau"/>
    <s v="v23.2"/>
    <s v="Gavi 6.0"/>
    <n v="387862.86410000001"/>
    <n v="120621.88572529001"/>
    <n v="0.38786286409999998"/>
    <n v="0.12062188572529001"/>
    <s v="Discretionary"/>
  </r>
  <r>
    <s v="Vaccine"/>
    <s v="Routine"/>
    <x v="11"/>
    <n v="2029"/>
    <s v="Guinea-Bissau"/>
    <s v="v23.2"/>
    <s v="Gavi 6.0"/>
    <n v="357869.37410000002"/>
    <n v="111462.062241892"/>
    <n v="0.35786937410000003"/>
    <n v="0.11146206224189199"/>
    <s v="Discretionary"/>
  </r>
  <r>
    <s v="Vaccine"/>
    <s v="Routine"/>
    <x v="11"/>
    <n v="2030"/>
    <s v="Guinea-Bissau"/>
    <s v="v23.2"/>
    <s v="Gavi 6.0"/>
    <n v="361650.2034"/>
    <n v="112639.64004364501"/>
    <n v="0.36165020339999998"/>
    <n v="0.112639640043645"/>
    <s v="Discretionary"/>
  </r>
  <r>
    <s v="Vaccine"/>
    <s v="Routine"/>
    <x v="11"/>
    <n v="2029"/>
    <s v="Liberia"/>
    <s v="v23.2"/>
    <s v="Gavi 6.0"/>
    <n v="753585.81319999998"/>
    <n v="234358.45563878701"/>
    <n v="0.75358581319999995"/>
    <n v="0.23435845563878702"/>
    <s v="Discretionary"/>
  </r>
  <r>
    <s v="Vaccine"/>
    <s v="Routine"/>
    <x v="11"/>
    <n v="2030"/>
    <s v="Liberia"/>
    <s v="v23.2"/>
    <s v="Gavi 6.0"/>
    <n v="785213.02610000002"/>
    <n v="244194.23632187999"/>
    <n v="0.78521302609999999"/>
    <n v="0.24419423632187998"/>
    <s v="Discretionary"/>
  </r>
  <r>
    <s v="Vaccine"/>
    <s v="Routine"/>
    <x v="11"/>
    <n v="2028"/>
    <s v="Niger"/>
    <s v="v23.2"/>
    <s v="Gavi 6.0"/>
    <n v="7579703.5822999999"/>
    <n v="2357220.0998543701"/>
    <n v="7.5797035822999996"/>
    <n v="2.35722009985437"/>
    <s v="Discretionary"/>
  </r>
  <r>
    <s v="Vaccine"/>
    <s v="Routine"/>
    <x v="11"/>
    <n v="2028"/>
    <s v="Burundi"/>
    <s v="v23.2"/>
    <s v="Gavi 6.0"/>
    <n v="4279588.1830000002"/>
    <n v="1330913.69266326"/>
    <n v="4.2795881830000004"/>
    <n v="1.3309136926632601"/>
    <s v="Discretionary"/>
  </r>
  <r>
    <s v="Vaccine"/>
    <s v="Routine"/>
    <x v="11"/>
    <n v="2029"/>
    <s v="Burundi"/>
    <s v="v23.2"/>
    <s v="Gavi 6.0"/>
    <n v="4106526.0734000001"/>
    <n v="1277092.92263919"/>
    <n v="4.1065260734000004"/>
    <n v="1.2770929226391901"/>
    <s v="Discretionary"/>
  </r>
  <r>
    <s v="Vaccine"/>
    <s v="Routine"/>
    <x v="11"/>
    <n v="2030"/>
    <s v="Burundi"/>
    <s v="v23.2"/>
    <s v="Gavi 6.0"/>
    <n v="4174136.4443000001"/>
    <n v="1298119.1439868601"/>
    <n v="4.1741364443000002"/>
    <n v="1.29811914398686"/>
    <s v="Discretionary"/>
  </r>
  <r>
    <s v="Vaccine"/>
    <s v="Routine"/>
    <x v="11"/>
    <n v="2028"/>
    <s v="Benin"/>
    <s v="v23.2"/>
    <s v="Gavi 6.0"/>
    <n v="2850616.1002000002"/>
    <n v="887853.42408327095"/>
    <n v="2.8506161002000003"/>
    <n v="0.88785342408327095"/>
    <s v="Discretionary"/>
  </r>
  <r>
    <s v="Vaccine"/>
    <s v="Routine"/>
    <x v="11"/>
    <n v="2029"/>
    <s v="Benin"/>
    <s v="v23.2"/>
    <s v="Gavi 6.0"/>
    <n v="2534382.2817000002"/>
    <n v="789359.17981502996"/>
    <n v="2.5343822817000001"/>
    <n v="0.78935917981503001"/>
    <s v="Discretionary"/>
  </r>
  <r>
    <s v="Vaccine"/>
    <s v="Routine"/>
    <x v="11"/>
    <n v="2030"/>
    <s v="Benin"/>
    <s v="v23.2"/>
    <s v="Gavi 6.0"/>
    <n v="2386669.0915000001"/>
    <n v="743352.40194980998"/>
    <n v="2.3866690915"/>
    <n v="0.74335240194981"/>
    <s v="Discretionary"/>
  </r>
  <r>
    <s v="Vaccine"/>
    <s v="Routine"/>
    <x v="11"/>
    <n v="2029"/>
    <s v="Niger"/>
    <s v="v23.2"/>
    <s v="Gavi 6.0"/>
    <n v="6904178.3649000004"/>
    <n v="2147137.7921327702"/>
    <n v="6.9041783649000008"/>
    <n v="2.1471377921327703"/>
    <s v="Discretionary"/>
  </r>
  <r>
    <s v="Vaccine"/>
    <s v="Routine"/>
    <x v="11"/>
    <n v="2030"/>
    <s v="Niger"/>
    <s v="v23.2"/>
    <s v="Gavi 6.0"/>
    <n v="7130851.1628999999"/>
    <n v="2217631.0072953398"/>
    <n v="7.1308511629"/>
    <n v="2.2176310072953398"/>
    <s v="Discretionary"/>
  </r>
  <r>
    <s v="Vaccine"/>
    <s v="Routine"/>
    <x v="11"/>
    <n v="2027"/>
    <s v="Burundi"/>
    <s v="v23.2"/>
    <s v="Gavi 6.0"/>
    <n v="3056807.5416000001"/>
    <n v="937562.75921524095"/>
    <n v="3.0568075416"/>
    <n v="0.9375627592152409"/>
    <s v="Discretionary"/>
  </r>
  <r>
    <s v="Vaccine"/>
    <s v="Routine"/>
    <x v="11"/>
    <n v="2028"/>
    <s v="Sierra Leone"/>
    <s v="v23.2"/>
    <s v="Gavi 6.0"/>
    <n v="2768839.3283000002"/>
    <n v="861084.29531558999"/>
    <n v="2.7688393283000003"/>
    <n v="0.86108429531558994"/>
    <s v="Discretionary"/>
  </r>
  <r>
    <s v="Vaccine"/>
    <s v="Routine"/>
    <x v="11"/>
    <n v="2027"/>
    <s v="Sierra Leone"/>
    <s v="v23.2"/>
    <s v="Gavi 6.0"/>
    <n v="3131737.5219999999"/>
    <n v="960544.76188621903"/>
    <n v="3.1317375219999999"/>
    <n v="0.96054476188621907"/>
    <s v="Discretionary"/>
  </r>
  <r>
    <s v="Vaccine"/>
    <s v="Routine"/>
    <x v="11"/>
    <n v="2029"/>
    <s v="Sierra Leone"/>
    <s v="v23.2"/>
    <s v="Gavi 6.0"/>
    <n v="2430230.4097000002"/>
    <n v="755779.94664586603"/>
    <n v="2.4302304097"/>
    <n v="0.75577994664586601"/>
    <s v="Discretionary"/>
  </r>
  <r>
    <s v="Vaccine"/>
    <s v="Routine"/>
    <x v="11"/>
    <n v="2028"/>
    <s v="Cameroon"/>
    <s v="v23.2"/>
    <s v="Gavi 6.0"/>
    <n v="3397650.4103999999"/>
    <n v="1058232.83273223"/>
    <n v="3.3976504103999998"/>
    <n v="1.0582328327322299"/>
    <s v="Discretionary"/>
  </r>
  <r>
    <s v="Vaccine"/>
    <s v="Routine"/>
    <x v="11"/>
    <n v="2030"/>
    <s v="Sierra Leone"/>
    <s v="v23.2"/>
    <s v="Gavi 6.0"/>
    <n v="2530735.3939999999"/>
    <n v="787036.09887537197"/>
    <n v="2.5307353939999997"/>
    <n v="0.78703609887537196"/>
    <s v="Discretionary"/>
  </r>
  <r>
    <s v="Vaccine"/>
    <s v="Routine"/>
    <x v="11"/>
    <n v="2029"/>
    <s v="United Republic of Tanzania"/>
    <s v="v23.2"/>
    <s v="Gavi 6.0"/>
    <n v="4362280.0005999999"/>
    <n v="1358676.54545791"/>
    <n v="4.3622800006000002"/>
    <n v="1.3586765454579099"/>
    <s v="Discretionary"/>
  </r>
  <r>
    <s v="Vaccine"/>
    <s v="Routine"/>
    <x v="11"/>
    <n v="2030"/>
    <s v="United Republic of Tanzania"/>
    <s v="v23.2"/>
    <s v="Gavi 6.0"/>
    <n v="4679566.4256999996"/>
    <n v="1457498.6347771401"/>
    <n v="4.6795664256999991"/>
    <n v="1.4574986347771401"/>
    <s v="Discretionary"/>
  </r>
  <r>
    <s v="Vaccine"/>
    <s v="Routine"/>
    <x v="11"/>
    <n v="2027"/>
    <s v="Liberia"/>
    <s v="v23.2"/>
    <s v="Gavi 6.0"/>
    <n v="849081.61250000005"/>
    <n v="260424.409637231"/>
    <n v="0.84908161250000003"/>
    <n v="0.26042440963723101"/>
    <s v="Discretionary"/>
  </r>
  <r>
    <s v="Vaccine"/>
    <s v="Routine"/>
    <x v="11"/>
    <n v="2028"/>
    <s v="Liberia"/>
    <s v="v23.2"/>
    <s v="Gavi 6.0"/>
    <n v="797043.46279999998"/>
    <n v="247873.39643042299"/>
    <n v="0.79704346279999994"/>
    <n v="0.247873396430423"/>
    <s v="Discretionary"/>
  </r>
  <r>
    <s v="Vaccine"/>
    <s v="Routine"/>
    <x v="11"/>
    <n v="2026"/>
    <s v="Zambia"/>
    <s v="v23.2"/>
    <s v="Gavi 6.0"/>
    <n v="6584426.1668999996"/>
    <n v="1566600"/>
    <n v="6.5844261668999993"/>
    <n v="1.5666"/>
    <s v="Discretionary"/>
  </r>
  <r>
    <s v="Vaccine"/>
    <s v="Routine"/>
    <x v="11"/>
    <n v="2026"/>
    <s v="Gambia"/>
    <s v="v23.2"/>
    <s v="Gavi 6.0"/>
    <n v="531648"/>
    <n v="128000"/>
    <n v="0.53164800000000001"/>
    <n v="0.128"/>
    <s v="Discretionary"/>
  </r>
  <r>
    <s v="Vaccine"/>
    <s v="Routine"/>
    <x v="11"/>
    <n v="2026"/>
    <s v="Guinea-Bissau"/>
    <s v="v23.2"/>
    <s v="Gavi 6.0"/>
    <n v="724321.12340000004"/>
    <n v="171400"/>
    <n v="0.72432112339999999"/>
    <n v="0.1714"/>
    <s v="Discretionary"/>
  </r>
  <r>
    <s v="Vaccine"/>
    <s v="Routine"/>
    <x v="11"/>
    <n v="2026"/>
    <s v="Sudan"/>
    <s v="v23.2"/>
    <s v="Gavi 6.0"/>
    <n v="8192131.4305999996"/>
    <n v="1931800"/>
    <n v="8.1921314305999999"/>
    <n v="1.9318"/>
    <s v="Discretionary"/>
  </r>
  <r>
    <s v="Vaccine"/>
    <s v="Routine"/>
    <x v="11"/>
    <n v="2026"/>
    <s v="Sierra Leone"/>
    <s v="v23.2"/>
    <s v="Gavi 6.0"/>
    <n v="6632159.3850999996"/>
    <n v="1569400"/>
    <n v="6.6321593850999996"/>
    <n v="1.5693999999999999"/>
    <s v="Discretionary"/>
  </r>
  <r>
    <s v="Vaccine"/>
    <s v="Routine"/>
    <x v="11"/>
    <n v="2026"/>
    <s v="Mozambique"/>
    <s v="v23.2"/>
    <s v="Gavi 6.0"/>
    <n v="10865984.0998"/>
    <n v="4113200"/>
    <n v="10.8659840998"/>
    <n v="4.1132"/>
    <s v="Discretionary"/>
  </r>
  <r>
    <s v="Vaccine"/>
    <s v="Routine"/>
    <x v="11"/>
    <n v="2026"/>
    <s v="Côte d’Ivoire"/>
    <s v="v23.2"/>
    <s v="Gavi 6.0"/>
    <n v="6947986.0185000002"/>
    <n v="1653100"/>
    <n v="6.9479860185"/>
    <n v="1.6531"/>
    <s v="Discretionary"/>
  </r>
  <r>
    <s v="Vaccine"/>
    <s v="Routine"/>
    <x v="11"/>
    <n v="2026"/>
    <s v="Burkina Faso"/>
    <s v="v23.2"/>
    <s v="Gavi 6.0"/>
    <n v="11271286.218900001"/>
    <n v="2680100"/>
    <n v="11.2712862189"/>
    <n v="2.6800999999999999"/>
    <s v="Discretionary"/>
  </r>
  <r>
    <s v="Vaccine"/>
    <s v="Routine"/>
    <x v="11"/>
    <n v="2026"/>
    <s v="Liberia"/>
    <s v="v23.2"/>
    <s v="Gavi 6.0"/>
    <n v="1772563.0188"/>
    <n v="419450"/>
    <n v="1.7725630187999999"/>
    <n v="0.41944999999999999"/>
    <s v="Discretionary"/>
  </r>
  <r>
    <s v="Vaccine"/>
    <s v="Routine"/>
    <x v="11"/>
    <n v="2026"/>
    <s v="Central African Republic"/>
    <s v="v23.2"/>
    <s v="Gavi 6.0"/>
    <n v="1557737.7379999999"/>
    <n v="370400"/>
    <n v="1.5577377379999999"/>
    <n v="0.37040000000000001"/>
    <s v="Discretionary"/>
  </r>
  <r>
    <s v="Vaccine"/>
    <s v="Routine"/>
    <x v="11"/>
    <n v="2026"/>
    <s v="Congo, the Democratic Republic of the"/>
    <s v="v23.2"/>
    <s v="Gavi 6.0"/>
    <n v="23846451.602499999"/>
    <n v="7904500"/>
    <n v="23.8464516025"/>
    <n v="7.9044999999999996"/>
    <s v="Discretionary"/>
  </r>
  <r>
    <s v="Vaccine"/>
    <s v="Routine"/>
    <x v="11"/>
    <n v="2026"/>
    <s v="South Sudan"/>
    <s v="v23.2"/>
    <s v="Gavi 6.0"/>
    <n v="8252837.1512000002"/>
    <n v="1561200"/>
    <n v="8.2528371511999996"/>
    <n v="1.5611999999999999"/>
    <s v="Discretionary"/>
  </r>
  <r>
    <s v="Vaccine"/>
    <s v="Routine"/>
    <x v="11"/>
    <n v="2026"/>
    <s v="Togo"/>
    <s v="v23.2"/>
    <s v="Gavi 6.0"/>
    <n v="2533422.6900999998"/>
    <n v="602400"/>
    <n v="2.5334226900999997"/>
    <n v="0.60240000000000005"/>
    <s v="Discretionary"/>
  </r>
  <r>
    <s v="Vaccine"/>
    <s v="Routine"/>
    <x v="11"/>
    <n v="2026"/>
    <s v="Uganda"/>
    <s v="v23.2"/>
    <s v="Gavi 6.0"/>
    <n v="17100167.462099999"/>
    <n v="4066100"/>
    <n v="17.1001674621"/>
    <n v="4.0660999999999996"/>
    <s v="Discretionary"/>
  </r>
  <r>
    <s v="Vaccine"/>
    <s v="Routine"/>
    <x v="14"/>
    <n v="2030"/>
    <s v="Congo, the Democratic Republic of the"/>
    <s v="v23.2"/>
    <s v="Gavi 6.0"/>
    <n v="745749.19189999998"/>
    <n v="1671568.3040737701"/>
    <n v="0.7457491919"/>
    <n v="1.6715683040737701"/>
    <s v="Guaranteed"/>
  </r>
  <r>
    <s v="Vaccine"/>
    <s v="Routine"/>
    <x v="14"/>
    <n v="2028"/>
    <s v="Ghana"/>
    <s v="v23.2"/>
    <s v="Gavi 6.0"/>
    <n v="99292.482199999999"/>
    <n v="293552.73559706501"/>
    <n v="9.9292482200000004E-2"/>
    <n v="0.29355273559706502"/>
    <s v="Guaranteed"/>
  </r>
  <r>
    <s v="Vaccine"/>
    <s v="Routine"/>
    <x v="14"/>
    <n v="2029"/>
    <s v="Ghana"/>
    <s v="v23.2"/>
    <s v="Gavi 6.0"/>
    <n v="49999.650999999998"/>
    <n v="147821.204744783"/>
    <n v="4.9999650999999999E-2"/>
    <n v="0.147821204744783"/>
    <s v="Guaranteed"/>
  </r>
  <r>
    <s v="Vaccine"/>
    <s v="Routine"/>
    <x v="14"/>
    <n v="2029"/>
    <s v="Guinea-Bissau"/>
    <s v="v23.2"/>
    <s v="Gavi 6.0"/>
    <n v="5708.8579"/>
    <n v="16877.922721148101"/>
    <n v="5.7088579000000002E-3"/>
    <n v="1.68779227211481E-2"/>
    <s v="Guaranteed"/>
  </r>
  <r>
    <s v="Vaccine"/>
    <s v="Routine"/>
    <x v="14"/>
    <n v="2030"/>
    <s v="Guinea-Bissau"/>
    <s v="v23.2"/>
    <s v="Gavi 6.0"/>
    <n v="5253.1747999999998"/>
    <n v="15530.720939514"/>
    <n v="5.2531747999999996E-3"/>
    <n v="1.5530720939513999E-2"/>
    <s v="Guaranteed"/>
  </r>
  <r>
    <s v="Vaccine"/>
    <s v="Routine"/>
    <x v="14"/>
    <n v="2028"/>
    <s v="Nepal"/>
    <s v="v23.2"/>
    <s v="Gavi 6.0"/>
    <n v="53129.809800000003"/>
    <n v="157075.34604685099"/>
    <n v="5.3129809800000004E-2"/>
    <n v="0.157075346046851"/>
    <s v="Guaranteed"/>
  </r>
  <r>
    <s v="Vaccine"/>
    <s v="Routine"/>
    <x v="14"/>
    <n v="2029"/>
    <s v="Nepal"/>
    <s v="v23.2"/>
    <s v="Gavi 6.0"/>
    <n v="43275.902800000003"/>
    <n v="127942.814884306"/>
    <n v="4.3275902800000002E-2"/>
    <n v="0.12794281488430601"/>
    <s v="Guaranteed"/>
  </r>
  <r>
    <s v="Vaccine"/>
    <s v="Routine"/>
    <x v="14"/>
    <n v="2030"/>
    <s v="Nepal"/>
    <s v="v23.2"/>
    <s v="Gavi 6.0"/>
    <n v="43231.654000000002"/>
    <n v="127811.99548735"/>
    <n v="4.3231654000000001E-2"/>
    <n v="0.12781199548735001"/>
    <s v="Guaranteed"/>
  </r>
  <r>
    <s v="Vaccine"/>
    <s v="Routine"/>
    <x v="14"/>
    <n v="2028"/>
    <s v="Sudan"/>
    <s v="v23.2"/>
    <s v="Gavi 6.0"/>
    <n v="321868.23700000002"/>
    <n v="721455.34844011196"/>
    <n v="0.321868237"/>
    <n v="0.72145534844011194"/>
    <s v="Guaranteed"/>
  </r>
  <r>
    <s v="Vaccine"/>
    <s v="Routine"/>
    <x v="14"/>
    <n v="2029"/>
    <s v="Sudan"/>
    <s v="v23.2"/>
    <s v="Gavi 6.0"/>
    <n v="324431.79979999998"/>
    <n v="727201.47643221403"/>
    <n v="0.32443179979999998"/>
    <n v="0.727201476432214"/>
    <s v="Guaranteed"/>
  </r>
  <r>
    <s v="Vaccine"/>
    <s v="Routine"/>
    <x v="14"/>
    <n v="2030"/>
    <s v="Sudan"/>
    <s v="v23.2"/>
    <s v="Gavi 6.0"/>
    <n v="325580.1482"/>
    <n v="729775.45545450202"/>
    <n v="0.32558014819999997"/>
    <n v="0.72977545545450206"/>
    <s v="Guaranteed"/>
  </r>
  <r>
    <s v="Vaccine"/>
    <s v="Routine"/>
    <x v="14"/>
    <n v="2028"/>
    <s v="Timor-Leste"/>
    <s v="v23.2"/>
    <s v="Gavi 6.0"/>
    <n v="2870.8851"/>
    <n v="8487.6131093667991"/>
    <n v="2.8708851000000001E-3"/>
    <n v="8.4876131093667984E-3"/>
    <s v="Guaranteed"/>
  </r>
  <r>
    <s v="Vaccine"/>
    <s v="Routine"/>
    <x v="14"/>
    <n v="2029"/>
    <s v="Timor-Leste"/>
    <s v="v23.2"/>
    <s v="Gavi 6.0"/>
    <n v="2912.9494"/>
    <n v="8611.9740475529998"/>
    <n v="2.9129493999999999E-3"/>
    <n v="8.6119740475529994E-3"/>
    <s v="Guaranteed"/>
  </r>
  <r>
    <s v="Vaccine"/>
    <s v="Routine"/>
    <x v="14"/>
    <n v="2030"/>
    <s v="Timor-Leste"/>
    <s v="v23.2"/>
    <s v="Gavi 6.0"/>
    <n v="2941.7791000000002"/>
    <n v="8697.2074616300997"/>
    <n v="2.9417791000000003E-3"/>
    <n v="8.6972074616300989E-3"/>
    <s v="Guaranteed"/>
  </r>
  <r>
    <s v="Vaccine"/>
    <s v="Routine"/>
    <x v="14"/>
    <n v="2029"/>
    <s v="Togo"/>
    <s v="v23.2"/>
    <s v="Gavi 6.0"/>
    <n v="35016.6368"/>
    <n v="103524.751265393"/>
    <n v="3.5016636800000001E-2"/>
    <n v="0.103524751265393"/>
    <s v="Guaranteed"/>
  </r>
  <r>
    <s v="Vaccine"/>
    <s v="Routine"/>
    <x v="14"/>
    <n v="2030"/>
    <s v="Togo"/>
    <s v="v23.2"/>
    <s v="Gavi 6.0"/>
    <n v="29244.266299999999"/>
    <n v="86459.056916617803"/>
    <n v="2.9244266299999998E-2"/>
    <n v="8.6459056916617802E-2"/>
    <s v="Guaranteed"/>
  </r>
  <r>
    <s v="Vaccine"/>
    <s v="Routine"/>
    <x v="14"/>
    <n v="2028"/>
    <s v="Ethiopia"/>
    <s v="v23.2"/>
    <s v="Gavi 6.0"/>
    <n v="458098.78759999998"/>
    <n v="1026810.9194657099"/>
    <n v="0.4580987876"/>
    <n v="1.02681091946571"/>
    <s v="Guaranteed"/>
  </r>
  <r>
    <s v="Vaccine"/>
    <s v="Routine"/>
    <x v="14"/>
    <n v="2029"/>
    <s v="Ethiopia"/>
    <s v="v23.2"/>
    <s v="Gavi 6.0"/>
    <n v="461374.12199999997"/>
    <n v="1034152.4564404601"/>
    <n v="0.461374122"/>
    <n v="1.0341524564404601"/>
    <s v="Guaranteed"/>
  </r>
  <r>
    <s v="Vaccine"/>
    <s v="Routine"/>
    <x v="14"/>
    <n v="2030"/>
    <s v="Ethiopia"/>
    <s v="v23.2"/>
    <s v="Gavi 6.0"/>
    <n v="351854.83179999999"/>
    <n v="1040239.36321131"/>
    <n v="0.35185483179999999"/>
    <n v="1.0402393632113101"/>
    <s v="Guaranteed"/>
  </r>
  <r>
    <s v="Vaccine"/>
    <s v="Routine"/>
    <x v="14"/>
    <n v="2028"/>
    <s v="Sierra Leone"/>
    <s v="v23.2"/>
    <s v="Gavi 6.0"/>
    <n v="49177.857300000003"/>
    <n v="110230.287022"/>
    <n v="4.9177857300000002E-2"/>
    <n v="0.11023028702200001"/>
    <s v="Guaranteed"/>
  </r>
  <r>
    <s v="Vaccine"/>
    <s v="Routine"/>
    <x v="14"/>
    <n v="2029"/>
    <s v="Sierra Leone"/>
    <s v="v23.2"/>
    <s v="Gavi 6.0"/>
    <n v="49584.708400000003"/>
    <n v="111142.22835993599"/>
    <n v="4.9584708400000004E-2"/>
    <n v="0.11114222835993599"/>
    <s v="Guaranteed"/>
  </r>
  <r>
    <s v="Vaccine"/>
    <s v="Routine"/>
    <x v="14"/>
    <n v="2030"/>
    <s v="Sierra Leone"/>
    <s v="v23.2"/>
    <s v="Gavi 6.0"/>
    <n v="50142.595999999998"/>
    <n v="112392.71198736"/>
    <n v="5.0142595999999998E-2"/>
    <n v="0.11239271198736001"/>
    <s v="Guaranteed"/>
  </r>
  <r>
    <s v="Vaccine"/>
    <s v="Routine"/>
    <x v="14"/>
    <n v="2028"/>
    <s v="United Republic of Tanzania"/>
    <s v="v23.2"/>
    <s v="Gavi 6.0"/>
    <n v="269100.22720000002"/>
    <n v="795579.948468655"/>
    <n v="0.26910022720000004"/>
    <n v="0.79557994846865498"/>
    <s v="Guaranteed"/>
  </r>
  <r>
    <s v="Vaccine"/>
    <s v="Routine"/>
    <x v="14"/>
    <n v="2029"/>
    <s v="United Republic of Tanzania"/>
    <s v="v23.2"/>
    <s v="Gavi 6.0"/>
    <n v="225454.9957"/>
    <n v="666545.23379278101"/>
    <n v="0.22545499569999999"/>
    <n v="0.66654523379278097"/>
    <s v="Guaranteed"/>
  </r>
  <r>
    <s v="Vaccine"/>
    <s v="Routine"/>
    <x v="14"/>
    <n v="2030"/>
    <s v="United Republic of Tanzania"/>
    <s v="v23.2"/>
    <s v="Gavi 6.0"/>
    <n v="230704.24460000001"/>
    <n v="682064.34818539803"/>
    <n v="0.2307042446"/>
    <n v="0.68206434818539807"/>
    <s v="Guaranteed"/>
  </r>
  <r>
    <s v="Vaccine"/>
    <s v="Routine"/>
    <x v="14"/>
    <n v="2028"/>
    <s v="Cameroon"/>
    <s v="v23.2"/>
    <s v="Gavi 6.0"/>
    <n v="100467.27589999999"/>
    <n v="297025.94846481498"/>
    <n v="0.1004672759"/>
    <n v="0.297025948464815"/>
    <s v="Guaranteed"/>
  </r>
  <r>
    <s v="Vaccine"/>
    <s v="Routine"/>
    <x v="14"/>
    <n v="2029"/>
    <s v="Cameroon"/>
    <s v="v23.2"/>
    <s v="Gavi 6.0"/>
    <n v="68469.9136"/>
    <n v="202427.51519520799"/>
    <n v="6.8469913600000001E-2"/>
    <n v="0.20242751519520799"/>
    <s v="Guaranteed"/>
  </r>
  <r>
    <s v="Vaccine"/>
    <s v="Routine"/>
    <x v="14"/>
    <n v="2030"/>
    <s v="Cameroon"/>
    <s v="v23.2"/>
    <s v="Gavi 6.0"/>
    <n v="64682.643900000003"/>
    <n v="191230.661536334"/>
    <n v="6.4682643900000003E-2"/>
    <n v="0.191230661536334"/>
    <s v="Guaranteed"/>
  </r>
  <r>
    <s v="Vaccine"/>
    <s v="Routine"/>
    <x v="14"/>
    <n v="2029"/>
    <s v="Zambia"/>
    <s v="v23.2"/>
    <s v="Gavi 6.0"/>
    <n v="94242.018200000006"/>
    <n v="278621.31804759899"/>
    <n v="9.42420182E-2"/>
    <n v="0.27862131804759899"/>
    <s v="Guaranteed"/>
  </r>
  <r>
    <s v="Vaccine"/>
    <s v="Routine"/>
    <x v="14"/>
    <n v="2030"/>
    <s v="Zambia"/>
    <s v="v23.2"/>
    <s v="Gavi 6.0"/>
    <n v="78668.298999999999"/>
    <n v="232578.47813199501"/>
    <n v="7.8668298999999997E-2"/>
    <n v="0.232578478131995"/>
    <s v="Guaranteed"/>
  </r>
  <r>
    <s v="Vaccine"/>
    <s v="Routine"/>
    <x v="14"/>
    <n v="2028"/>
    <s v="Mozambique"/>
    <s v="v23.2"/>
    <s v="Gavi 6.0"/>
    <n v="207879.9584"/>
    <n v="465954.97962063801"/>
    <n v="0.20787995840000001"/>
    <n v="0.46595497962063803"/>
    <s v="Guaranteed"/>
  </r>
  <r>
    <s v="Vaccine"/>
    <s v="Routine"/>
    <x v="14"/>
    <n v="2029"/>
    <s v="Mozambique"/>
    <s v="v23.2"/>
    <s v="Gavi 6.0"/>
    <n v="211930.9086"/>
    <n v="475035.029554562"/>
    <n v="0.2119309086"/>
    <n v="0.475035029554562"/>
    <s v="Guaranteed"/>
  </r>
  <r>
    <s v="Vaccine"/>
    <s v="Routine"/>
    <x v="14"/>
    <n v="2030"/>
    <s v="Mozambique"/>
    <s v="v23.2"/>
    <s v="Gavi 6.0"/>
    <n v="216530.74220000001"/>
    <n v="485345.38073295"/>
    <n v="0.21653074220000001"/>
    <n v="0.48534538073294997"/>
    <s v="Guaranteed"/>
  </r>
  <r>
    <s v="Vaccine"/>
    <s v="Routine"/>
    <x v="14"/>
    <n v="2028"/>
    <s v="Liberia"/>
    <s v="v23.2"/>
    <s v="Gavi 6.0"/>
    <n v="32943.8969"/>
    <n v="73842.485424687999"/>
    <n v="3.2943896899999998E-2"/>
    <n v="7.3842485424687992E-2"/>
    <s v="Guaranteed"/>
  </r>
  <r>
    <s v="Vaccine"/>
    <s v="Routine"/>
    <x v="14"/>
    <n v="2029"/>
    <s v="Liberia"/>
    <s v="v23.2"/>
    <s v="Gavi 6.0"/>
    <n v="33512.076399999998"/>
    <n v="75116.038199364993"/>
    <n v="3.35120764E-2"/>
    <n v="7.5116038199364993E-2"/>
    <s v="Guaranteed"/>
  </r>
  <r>
    <s v="Vaccine"/>
    <s v="Routine"/>
    <x v="14"/>
    <n v="2030"/>
    <s v="Liberia"/>
    <s v="v23.2"/>
    <s v="Gavi 6.0"/>
    <n v="33819.7549"/>
    <n v="75805.687757273496"/>
    <n v="3.3819754899999999E-2"/>
    <n v="7.5805687757273491E-2"/>
    <s v="Guaranteed"/>
  </r>
  <r>
    <s v="Vaccine"/>
    <s v="Routine"/>
    <x v="14"/>
    <n v="2029"/>
    <s v="Kenya"/>
    <s v="v23.2"/>
    <s v="Gavi 6.0"/>
    <n v="142464.88029999999"/>
    <n v="421189.54447286599"/>
    <n v="0.14246488029999999"/>
    <n v="0.421189544472866"/>
    <s v="Guaranteed"/>
  </r>
  <r>
    <s v="Vaccine"/>
    <s v="Routine"/>
    <x v="14"/>
    <n v="2030"/>
    <s v="Kenya"/>
    <s v="v23.2"/>
    <s v="Gavi 6.0"/>
    <n v="100510.73729999999"/>
    <n v="297154.439724695"/>
    <n v="0.1005107373"/>
    <n v="0.29715443972469502"/>
    <s v="Guaranteed"/>
  </r>
  <r>
    <s v="Vaccine"/>
    <s v="Routine"/>
    <x v="14"/>
    <n v="2028"/>
    <s v="Lesotho"/>
    <s v="v23.2"/>
    <s v="Gavi 6.0"/>
    <n v="3378.9375"/>
    <n v="9989.6419105216992"/>
    <n v="3.3789375E-3"/>
    <n v="9.9896419105216985E-3"/>
    <s v="Guaranteed"/>
  </r>
  <r>
    <s v="Vaccine"/>
    <s v="Routine"/>
    <x v="14"/>
    <n v="2029"/>
    <s v="Lesotho"/>
    <s v="v23.2"/>
    <s v="Gavi 6.0"/>
    <n v="3405.6723999999999"/>
    <n v="10068.6823006868"/>
    <n v="3.4056723999999999E-3"/>
    <n v="1.0068682300686799E-2"/>
    <s v="Guaranteed"/>
  </r>
  <r>
    <s v="Vaccine"/>
    <s v="Routine"/>
    <x v="14"/>
    <n v="2030"/>
    <s v="Lesotho"/>
    <s v="v23.2"/>
    <s v="Gavi 6.0"/>
    <n v="3405.5778"/>
    <n v="10068.4025426471"/>
    <n v="3.4055778000000002E-3"/>
    <n v="1.00684025426471E-2"/>
    <s v="Guaranteed"/>
  </r>
  <r>
    <s v="Vaccine"/>
    <s v="Routine"/>
    <x v="14"/>
    <n v="2029"/>
    <s v="Zimbabwe"/>
    <s v="v23.2"/>
    <s v="Gavi 6.0"/>
    <n v="59269.732600000003"/>
    <n v="175227.68870733201"/>
    <n v="5.92697326E-2"/>
    <n v="0.17522768870733202"/>
    <s v="Guaranteed"/>
  </r>
  <r>
    <s v="Vaccine"/>
    <s v="Routine"/>
    <x v="14"/>
    <n v="2030"/>
    <s v="Zimbabwe"/>
    <s v="v23.2"/>
    <s v="Gavi 6.0"/>
    <n v="49563.940300000002"/>
    <n v="146533.050033206"/>
    <n v="4.9563940300000005E-2"/>
    <n v="0.14653305003320599"/>
    <s v="Guaranteed"/>
  </r>
  <r>
    <s v="Vaccine"/>
    <s v="Routine"/>
    <x v="14"/>
    <n v="2028"/>
    <s v="Eritrea"/>
    <s v="v23.2"/>
    <s v="Gavi 6.0"/>
    <n v="19405.215400000001"/>
    <n v="43496.048527032901"/>
    <n v="1.9405215400000002E-2"/>
    <n v="4.3496048527032899E-2"/>
    <s v="Guaranteed"/>
  </r>
  <r>
    <s v="Vaccine"/>
    <s v="Routine"/>
    <x v="14"/>
    <n v="2029"/>
    <s v="Eritrea"/>
    <s v="v23.2"/>
    <s v="Gavi 6.0"/>
    <n v="19707.585599999999"/>
    <n v="44173.799706939797"/>
    <n v="1.9707585599999997E-2"/>
    <n v="4.4173799706939798E-2"/>
    <s v="Guaranteed"/>
  </r>
  <r>
    <s v="Vaccine"/>
    <s v="Routine"/>
    <x v="14"/>
    <n v="2030"/>
    <s v="Eritrea"/>
    <s v="v23.2"/>
    <s v="Gavi 6.0"/>
    <n v="19954.2143"/>
    <n v="44726.608577457897"/>
    <n v="1.9954214299999998E-2"/>
    <n v="4.4726608577457895E-2"/>
    <s v="Guaranteed"/>
  </r>
  <r>
    <s v="Vaccine"/>
    <s v="Routine"/>
    <x v="14"/>
    <n v="2028"/>
    <s v="Uganda"/>
    <s v="v23.2"/>
    <s v="Gavi 6.0"/>
    <n v="258709.3112"/>
    <n v="764859.77954428201"/>
    <n v="0.25870931120000001"/>
    <n v="0.76485977954428197"/>
    <s v="Guaranteed"/>
  </r>
  <r>
    <s v="Vaccine"/>
    <s v="Routine"/>
    <x v="14"/>
    <n v="2029"/>
    <s v="Uganda"/>
    <s v="v23.2"/>
    <s v="Gavi 6.0"/>
    <n v="168554.1911"/>
    <n v="498321.15011803497"/>
    <n v="0.1685541911"/>
    <n v="0.49832115011803496"/>
    <s v="Guaranteed"/>
  </r>
  <r>
    <s v="Vaccine"/>
    <s v="Routine"/>
    <x v="14"/>
    <n v="2030"/>
    <s v="Uganda"/>
    <s v="v23.2"/>
    <s v="Gavi 6.0"/>
    <n v="170503.364"/>
    <n v="504083.77188197197"/>
    <n v="0.17050336399999999"/>
    <n v="0.50408377188197195"/>
    <s v="Guaranteed"/>
  </r>
  <r>
    <s v="Vaccine"/>
    <s v="Routine"/>
    <x v="14"/>
    <n v="2028"/>
    <s v="Congo"/>
    <s v="v23.2"/>
    <s v="Gavi 6.0"/>
    <n v="10476.2978"/>
    <n v="30972.595470622698"/>
    <n v="1.0476297800000001E-2"/>
    <n v="3.0972595470622699E-2"/>
    <s v="Guaranteed"/>
  </r>
  <r>
    <s v="Vaccine"/>
    <s v="Routine"/>
    <x v="14"/>
    <n v="2029"/>
    <s v="Congo"/>
    <s v="v23.2"/>
    <s v="Gavi 6.0"/>
    <n v="10802.953"/>
    <n v="31938.333363539601"/>
    <n v="1.0802952999999999E-2"/>
    <n v="3.1938333363539601E-2"/>
    <s v="Guaranteed"/>
  </r>
  <r>
    <s v="Vaccine"/>
    <s v="Routine"/>
    <x v="14"/>
    <n v="2030"/>
    <s v="Congo"/>
    <s v="v23.2"/>
    <s v="Gavi 6.0"/>
    <n v="11128.6962"/>
    <n v="32901.375089408"/>
    <n v="1.11286962E-2"/>
    <n v="3.2901375089407998E-2"/>
    <s v="Guaranteed"/>
  </r>
  <r>
    <s v="Vaccine"/>
    <s v="Routine"/>
    <x v="14"/>
    <n v="2028"/>
    <s v="Rwanda"/>
    <s v="v23.2"/>
    <s v="Gavi 6.0"/>
    <n v="56025.528899999998"/>
    <n v="125579.081125211"/>
    <n v="5.6025528899999996E-2"/>
    <n v="0.12557908112521099"/>
    <s v="Guaranteed"/>
  </r>
  <r>
    <s v="Vaccine"/>
    <s v="Routine"/>
    <x v="14"/>
    <n v="2029"/>
    <s v="Rwanda"/>
    <s v="v23.2"/>
    <s v="Gavi 6.0"/>
    <n v="56779.847199999997"/>
    <n v="127269.856770604"/>
    <n v="5.6779847199999997E-2"/>
    <n v="0.12726985677060401"/>
    <s v="Guaranteed"/>
  </r>
  <r>
    <s v="Vaccine"/>
    <s v="Routine"/>
    <x v="14"/>
    <n v="2030"/>
    <s v="Rwanda"/>
    <s v="v23.2"/>
    <s v="Gavi 6.0"/>
    <n v="57098.016600000003"/>
    <n v="127983.02136238301"/>
    <n v="5.7098016600000003E-2"/>
    <n v="0.12798302136238301"/>
    <s v="Guaranteed"/>
  </r>
  <r>
    <s v="Vaccine"/>
    <s v="Routine"/>
    <x v="14"/>
    <n v="2029"/>
    <s v="Somalia"/>
    <s v="v23.2"/>
    <s v="Gavi 6.0"/>
    <n v="77559.055800000002"/>
    <n v="173845.65849248701"/>
    <n v="7.7559055799999999E-2"/>
    <n v="0.17384565849248701"/>
    <s v="Guaranteed"/>
  </r>
  <r>
    <s v="Vaccine"/>
    <s v="Routine"/>
    <x v="14"/>
    <n v="2030"/>
    <s v="Somalia"/>
    <s v="v23.2"/>
    <s v="Gavi 6.0"/>
    <n v="68242.942500000005"/>
    <n v="152963.946674484"/>
    <n v="6.8242942500000001E-2"/>
    <n v="0.15296394667448401"/>
    <s v="Guaranteed"/>
  </r>
  <r>
    <s v="Vaccine"/>
    <s v="Routine"/>
    <x v="14"/>
    <n v="2028"/>
    <s v="Chad"/>
    <s v="v23.2"/>
    <s v="Gavi 6.0"/>
    <n v="55342.526299999998"/>
    <n v="124048.156987814"/>
    <n v="5.53425263E-2"/>
    <n v="0.124048156987814"/>
    <s v="Guaranteed"/>
  </r>
  <r>
    <s v="Vaccine"/>
    <s v="Routine"/>
    <x v="14"/>
    <n v="2029"/>
    <s v="Chad"/>
    <s v="v23.2"/>
    <s v="Gavi 6.0"/>
    <n v="54790.618000000002"/>
    <n v="122811.075595063"/>
    <n v="5.4790617999999999E-2"/>
    <n v="0.12281107559506299"/>
    <s v="Guaranteed"/>
  </r>
  <r>
    <s v="Vaccine"/>
    <s v="Routine"/>
    <x v="14"/>
    <n v="2030"/>
    <s v="Chad"/>
    <s v="v23.2"/>
    <s v="Gavi 6.0"/>
    <n v="56136.379699999998"/>
    <n v="125827.54910991"/>
    <n v="5.6136379699999996E-2"/>
    <n v="0.12582754910991001"/>
    <s v="Guaranteed"/>
  </r>
  <r>
    <s v="Vaccine"/>
    <s v="Routine"/>
    <x v="14"/>
    <n v="2029"/>
    <s v="Yemen"/>
    <s v="v23.2"/>
    <s v="Gavi 6.0"/>
    <n v="157395.57560000001"/>
    <n v="352796.16555111099"/>
    <n v="0.1573955756"/>
    <n v="0.35279616555111099"/>
    <s v="Guaranteed"/>
  </r>
  <r>
    <s v="Vaccine"/>
    <s v="Routine"/>
    <x v="14"/>
    <n v="2030"/>
    <s v="Yemen"/>
    <s v="v23.2"/>
    <s v="Gavi 6.0"/>
    <n v="129731.55319999999"/>
    <n v="290788.316888623"/>
    <n v="0.12973155319999999"/>
    <n v="0.290788316888623"/>
    <s v="Guaranteed"/>
  </r>
  <r>
    <s v="Vaccine"/>
    <s v="Routine"/>
    <x v="14"/>
    <n v="2027"/>
    <s v="Ghana"/>
    <s v="v23.2"/>
    <s v="Gavi 6.0"/>
    <n v="148804.46489999999"/>
    <n v="442126.57001713698"/>
    <n v="0.14880446489999999"/>
    <n v="0.44212657001713696"/>
    <s v="Guaranteed"/>
  </r>
  <r>
    <s v="Vaccine"/>
    <s v="Routine"/>
    <x v="14"/>
    <n v="2026"/>
    <s v="Sudan"/>
    <s v="v23.2"/>
    <s v="Gavi 6.0"/>
    <n v="331647.80849999998"/>
    <n v="670200"/>
    <n v="0.33164780849999997"/>
    <n v="0.67020000000000002"/>
    <s v="Guaranteed"/>
  </r>
  <r>
    <s v="Vaccine"/>
    <s v="Routine"/>
    <x v="14"/>
    <n v="2027"/>
    <s v="Sudan"/>
    <s v="v23.2"/>
    <s v="Gavi 6.0"/>
    <n v="296064.25199999998"/>
    <n v="638001.04356189305"/>
    <n v="0.29606425199999997"/>
    <n v="0.63800104356189302"/>
    <s v="Guaranteed"/>
  </r>
  <r>
    <s v="Vaccine"/>
    <s v="Routine"/>
    <x v="14"/>
    <n v="2027"/>
    <s v="Timor-Leste"/>
    <s v="v23.2"/>
    <s v="Gavi 6.0"/>
    <n v="2818.6111999999998"/>
    <n v="8374.6340560129993"/>
    <n v="2.8186112E-3"/>
    <n v="8.3746340560129987E-3"/>
    <s v="Guaranteed"/>
  </r>
  <r>
    <s v="Vaccine"/>
    <s v="Routine"/>
    <x v="14"/>
    <n v="2026"/>
    <s v="Ethiopia"/>
    <s v="v23.2"/>
    <s v="Gavi 6.0"/>
    <n v="389307.78009999997"/>
    <n v="786700"/>
    <n v="0.3893077801"/>
    <n v="0.78669999999999995"/>
    <s v="Guaranteed"/>
  </r>
  <r>
    <s v="Vaccine"/>
    <s v="Routine"/>
    <x v="14"/>
    <n v="2027"/>
    <s v="Ethiopia"/>
    <s v="v23.2"/>
    <s v="Gavi 6.0"/>
    <n v="420306.30290000001"/>
    <n v="905735.35348194605"/>
    <n v="0.42030630289999998"/>
    <n v="0.905735353481946"/>
    <s v="Guaranteed"/>
  </r>
  <r>
    <s v="Vaccine"/>
    <s v="Routine"/>
    <x v="14"/>
    <n v="2027"/>
    <s v="Sierra Leone"/>
    <s v="v23.2"/>
    <s v="Gavi 6.0"/>
    <n v="47153.131099999999"/>
    <n v="101612.22312531499"/>
    <n v="4.7153131099999995E-2"/>
    <n v="0.101612223125315"/>
    <s v="Guaranteed"/>
  </r>
  <r>
    <s v="Vaccine"/>
    <s v="Routine"/>
    <x v="14"/>
    <n v="2027"/>
    <s v="Mozambique"/>
    <s v="v23.2"/>
    <s v="Gavi 6.0"/>
    <n v="198438.93849999999"/>
    <n v="427624.23699163698"/>
    <n v="0.1984389385"/>
    <n v="0.42762423699163699"/>
    <s v="Guaranteed"/>
  </r>
  <r>
    <s v="Vaccine"/>
    <s v="Routine"/>
    <x v="14"/>
    <n v="2027"/>
    <s v="Liberia"/>
    <s v="v23.2"/>
    <s v="Gavi 6.0"/>
    <n v="32883.122900000002"/>
    <n v="70861.1950739936"/>
    <n v="3.2883122899999999E-2"/>
    <n v="7.0861195073993605E-2"/>
    <s v="Guaranteed"/>
  </r>
  <r>
    <s v="Vaccine"/>
    <s v="Routine"/>
    <x v="14"/>
    <n v="2027"/>
    <s v="Lesotho"/>
    <s v="v23.2"/>
    <s v="Gavi 6.0"/>
    <n v="3091.6635999999999"/>
    <n v="9185.9248025037996"/>
    <n v="3.0916635999999999E-3"/>
    <n v="9.1859248025037993E-3"/>
    <s v="Guaranteed"/>
  </r>
  <r>
    <s v="Vaccine"/>
    <s v="Routine"/>
    <x v="14"/>
    <n v="2026"/>
    <s v="Eritrea"/>
    <s v="v23.2"/>
    <s v="Gavi 6.0"/>
    <n v="17021.160199999998"/>
    <n v="34400"/>
    <n v="1.70211602E-2"/>
    <n v="3.44E-2"/>
    <s v="Guaranteed"/>
  </r>
  <r>
    <s v="Vaccine"/>
    <s v="Routine"/>
    <x v="14"/>
    <n v="2027"/>
    <s v="Eritrea"/>
    <s v="v23.2"/>
    <s v="Gavi 6.0"/>
    <n v="17640.000599999999"/>
    <n v="38013.163230590202"/>
    <n v="1.7640000600000001E-2"/>
    <n v="3.8013163230590202E-2"/>
    <s v="Guaranteed"/>
  </r>
  <r>
    <s v="Vaccine"/>
    <s v="Routine"/>
    <x v="14"/>
    <n v="2026"/>
    <s v="Uganda"/>
    <s v="v23.2"/>
    <s v="Gavi 6.0"/>
    <n v="333099.38900000002"/>
    <n v="673100"/>
    <n v="0.33309938900000002"/>
    <n v="0.67310000000000003"/>
    <s v="Guaranteed"/>
  </r>
  <r>
    <s v="Vaccine"/>
    <s v="Routine"/>
    <x v="14"/>
    <n v="2027"/>
    <s v="Uganda"/>
    <s v="v23.2"/>
    <s v="Gavi 6.0"/>
    <n v="311493.28940000001"/>
    <n v="671249.71145647496"/>
    <n v="0.31149328939999998"/>
    <n v="0.67124971145647494"/>
    <s v="Guaranteed"/>
  </r>
  <r>
    <s v="Vaccine"/>
    <s v="Routine"/>
    <x v="14"/>
    <n v="2027"/>
    <s v="Congo"/>
    <s v="v23.2"/>
    <s v="Gavi 6.0"/>
    <n v="10322.0571"/>
    <n v="30668.808968820202"/>
    <n v="1.03220571E-2"/>
    <n v="3.0668808968820203E-2"/>
    <s v="Guaranteed"/>
  </r>
  <r>
    <s v="Vaccine"/>
    <s v="Routine"/>
    <x v="14"/>
    <n v="2027"/>
    <s v="Rwanda"/>
    <s v="v23.2"/>
    <s v="Gavi 6.0"/>
    <n v="51929.752"/>
    <n v="111905.56014476701"/>
    <n v="5.1929752000000003E-2"/>
    <n v="0.11190556014476701"/>
    <s v="Guaranteed"/>
  </r>
  <r>
    <s v="Vaccine"/>
    <s v="Routine"/>
    <x v="10"/>
    <n v="2030"/>
    <s v="Niger"/>
    <s v="v23.2"/>
    <s v="Gavi 6.0"/>
    <n v="54859.836600000002"/>
    <n v="27531.959285007299"/>
    <n v="5.4859836600000003E-2"/>
    <n v="2.7531959285007297E-2"/>
    <s v="Discretionary"/>
  </r>
  <r>
    <s v="Vaccine"/>
    <s v="Routine"/>
    <x v="10"/>
    <n v="2030"/>
    <s v="Mali"/>
    <s v="v23.2"/>
    <s v="Gavi 6.0"/>
    <n v="7266.6454000000003"/>
    <n v="29230.307013891201"/>
    <n v="7.2666454000000005E-3"/>
    <n v="2.9230307013891201E-2"/>
    <s v="Discretionary"/>
  </r>
  <r>
    <s v="Vaccine"/>
    <s v="Routine"/>
    <x v="10"/>
    <n v="2030"/>
    <s v="Niger"/>
    <s v="v23.2"/>
    <s v="Gavi 6.0"/>
    <n v="54859.836600000002"/>
    <n v="27531.959285007299"/>
    <n v="5.4859836600000003E-2"/>
    <n v="2.7531959285007297E-2"/>
    <s v="Discretionary"/>
  </r>
  <r>
    <s v="Vaccine"/>
    <s v="Routine"/>
    <x v="10"/>
    <n v="2030"/>
    <s v="Mali"/>
    <s v="v23.2"/>
    <s v="Gavi 6.0"/>
    <n v="7266.6454000000003"/>
    <n v="29230.307013891201"/>
    <n v="7.2666454000000005E-3"/>
    <n v="2.9230307013891201E-2"/>
    <s v="Discretionary"/>
  </r>
  <r>
    <s v="Vaccine"/>
    <s v="Routine"/>
    <x v="10"/>
    <n v="2030"/>
    <s v="Yemen"/>
    <s v="v23.2"/>
    <s v="Gavi 6.0"/>
    <n v="69525.602499999994"/>
    <n v="34892.120957614999"/>
    <n v="6.9525602499999992E-2"/>
    <n v="3.4892120957615E-2"/>
    <s v="Discretionary"/>
  </r>
  <r>
    <s v="Vaccine"/>
    <s v="Routine"/>
    <x v="15"/>
    <n v="2029"/>
    <s v="Senegal"/>
    <s v="v23.2"/>
    <s v="Gavi 6.0"/>
    <n v="301663.9081"/>
    <n v="29324.3817013349"/>
    <n v="0.30166390809999999"/>
    <n v="2.93243817013349E-2"/>
    <s v="Discretionary"/>
  </r>
  <r>
    <s v="Vaccine"/>
    <s v="Routine"/>
    <x v="15"/>
    <n v="2030"/>
    <s v="Senegal"/>
    <s v="v23.2"/>
    <s v="Gavi 6.0"/>
    <n v="330856.7917"/>
    <n v="32117.420637974901"/>
    <n v="0.33085679169999999"/>
    <n v="3.2117420637974903E-2"/>
    <s v="Discretionary"/>
  </r>
  <r>
    <s v="Vaccine"/>
    <s v="Routine"/>
    <x v="15"/>
    <n v="2029"/>
    <s v="Yemen"/>
    <s v="v23.2"/>
    <s v="Gavi 6.0"/>
    <n v="287894.95370000001"/>
    <n v="27953.3832083333"/>
    <n v="0.28789495370000001"/>
    <n v="2.79533832083333E-2"/>
    <s v="Discretionary"/>
  </r>
  <r>
    <s v="Vaccine"/>
    <s v="Routine"/>
    <x v="15"/>
    <n v="2029"/>
    <s v="Myanmar"/>
    <s v="v23.2"/>
    <s v="Gavi 6.0"/>
    <n v="781551.09270000004"/>
    <n v="75434.255576388401"/>
    <n v="0.78155109270000001"/>
    <n v="7.5434255576388401E-2"/>
    <s v="Discretionary"/>
  </r>
  <r>
    <s v="Vaccine"/>
    <s v="Routine"/>
    <x v="15"/>
    <n v="2030"/>
    <s v="Yemen"/>
    <s v="v23.2"/>
    <s v="Gavi 6.0"/>
    <n v="234377.0865"/>
    <n v="22757.0245"/>
    <n v="0.2343770865"/>
    <n v="2.27570245E-2"/>
    <s v="Discretionary"/>
  </r>
  <r>
    <s v="Vaccine"/>
    <s v="Routine"/>
    <x v="15"/>
    <n v="2030"/>
    <s v="Cambodia"/>
    <s v="v23.2"/>
    <s v="Gavi 6.0"/>
    <n v="1073822.2608"/>
    <n v="104654.858783951"/>
    <n v="1.0738222608000001"/>
    <n v="0.104654858783951"/>
    <s v="Discretionary"/>
  </r>
  <r>
    <s v="Vaccine"/>
    <s v="Routine"/>
    <x v="15"/>
    <n v="2029"/>
    <s v="Côte d’Ivoire"/>
    <s v="v23.2"/>
    <s v="Gavi 6.0"/>
    <n v="24843.765299999999"/>
    <n v="2421.2766375000001"/>
    <n v="2.4843765300000001E-2"/>
    <n v="2.4212766375000003E-3"/>
    <s v="Discretionary"/>
  </r>
  <r>
    <s v="Vaccine"/>
    <s v="Routine"/>
    <x v="15"/>
    <n v="2030"/>
    <s v="Burundi"/>
    <s v="v23.2"/>
    <s v="Gavi 6.0"/>
    <n v="33216.490700000002"/>
    <n v="3287.7684146073998"/>
    <n v="3.3216490700000004E-2"/>
    <n v="3.2877684146074E-3"/>
    <s v="Discretionary"/>
  </r>
  <r>
    <s v="Vaccine"/>
    <s v="Routine"/>
    <x v="15"/>
    <n v="2029"/>
    <s v="Cambodia"/>
    <s v="v23.2"/>
    <s v="Gavi 6.0"/>
    <n v="1289512.7653000001"/>
    <n v="125676.083724276"/>
    <n v="1.2895127653"/>
    <n v="0.12567608372427599"/>
    <s v="Discretionary"/>
  </r>
  <r>
    <s v="Vaccine"/>
    <s v="Routine"/>
    <x v="15"/>
    <n v="2030"/>
    <s v="Myanmar"/>
    <s v="v23.2"/>
    <s v="Gavi 6.0"/>
    <n v="877533.12699999998"/>
    <n v="84621.521490640895"/>
    <n v="0.87753312699999997"/>
    <n v="8.4621521490640894E-2"/>
    <s v="Discretionary"/>
  </r>
  <r>
    <s v="Vaccine"/>
    <s v="Routine"/>
    <x v="15"/>
    <n v="2029"/>
    <s v="United Republic of Tanzania"/>
    <s v="v23.2"/>
    <s v="Gavi 6.0"/>
    <n v="300513.48190000001"/>
    <n v="29458.912027124999"/>
    <n v="0.30051348189999999"/>
    <n v="2.9458912027125E-2"/>
    <s v="Discretionary"/>
  </r>
  <r>
    <s v="Vaccine"/>
    <s v="Routine"/>
    <x v="15"/>
    <n v="2030"/>
    <s v="United Republic of Tanzania"/>
    <s v="v23.2"/>
    <s v="Gavi 6.0"/>
    <n v="263330.91820000001"/>
    <n v="25813.957842374999"/>
    <n v="0.26333091820000004"/>
    <n v="2.5813957842374998E-2"/>
    <s v="Discretionary"/>
  </r>
  <r>
    <s v="Vaccine"/>
    <s v="Routine"/>
    <x v="15"/>
    <n v="2029"/>
    <s v="Republic of Syria"/>
    <s v="v23.2"/>
    <s v="Gavi 6.0"/>
    <n v="307362.86310000002"/>
    <n v="30112.0210858586"/>
    <n v="0.30736286309999999"/>
    <n v="3.0112021085858601E-2"/>
    <s v="Discretionary"/>
  </r>
  <r>
    <s v="Vaccine"/>
    <s v="Routine"/>
    <x v="15"/>
    <n v="2028"/>
    <s v="Senegal"/>
    <s v="v23.2"/>
    <s v="Gavi 6.0"/>
    <n v="259023.48850000001"/>
    <n v="25212.075842712999"/>
    <n v="0.25902348850000001"/>
    <n v="2.5212075842712997E-2"/>
    <s v="Discretionary"/>
  </r>
  <r>
    <s v="Vaccine"/>
    <s v="Routine"/>
    <x v="15"/>
    <n v="2030"/>
    <s v="Republic of Syria"/>
    <s v="v23.2"/>
    <s v="Gavi 6.0"/>
    <n v="254188.10810000001"/>
    <n v="24902.5454545455"/>
    <n v="0.25418810810000003"/>
    <n v="2.49025454545455E-2"/>
    <s v="Discretionary"/>
  </r>
  <r>
    <s v="Vaccine"/>
    <s v="Routine"/>
    <x v="15"/>
    <n v="2029"/>
    <s v="Madagascar"/>
    <s v="v23.2"/>
    <s v="Gavi 6.0"/>
    <n v="390147.64250000002"/>
    <n v="38222.360101010097"/>
    <n v="0.3901476425"/>
    <n v="3.82223601010101E-2"/>
    <s v="Discretionary"/>
  </r>
  <r>
    <s v="Vaccine"/>
    <s v="Routine"/>
    <x v="15"/>
    <n v="2030"/>
    <s v="Madagascar"/>
    <s v="v23.2"/>
    <s v="Gavi 6.0"/>
    <n v="320768.4705"/>
    <n v="31425.354545454498"/>
    <n v="0.32076847050000001"/>
    <n v="3.1425354545454497E-2"/>
    <s v="Discretionary"/>
  </r>
  <r>
    <s v="Vaccine"/>
    <s v="Routine"/>
    <x v="15"/>
    <n v="2029"/>
    <s v="Guinea"/>
    <s v="v23.2"/>
    <s v="Gavi 6.0"/>
    <n v="13104.8439"/>
    <n v="1258.8284854013"/>
    <n v="1.31048439E-2"/>
    <n v="1.2588284854012999E-3"/>
    <s v="Discretionary"/>
  </r>
  <r>
    <s v="Vaccine"/>
    <s v="Routine"/>
    <x v="15"/>
    <n v="2030"/>
    <s v="Guinea"/>
    <s v="v23.2"/>
    <s v="Gavi 6.0"/>
    <n v="9318.1481000000003"/>
    <n v="895.08508624240005"/>
    <n v="9.3181480999999997E-3"/>
    <n v="8.9508508624240005E-4"/>
    <s v="Discretionary"/>
  </r>
  <r>
    <s v="Vaccine"/>
    <s v="Routine"/>
    <x v="15"/>
    <n v="2029"/>
    <s v="Chad"/>
    <s v="v23.2"/>
    <s v="Gavi 6.0"/>
    <n v="12423.9676"/>
    <n v="1208.3815914938"/>
    <n v="1.24239676E-2"/>
    <n v="1.2083815914938E-3"/>
    <s v="Discretionary"/>
  </r>
  <r>
    <s v="Vaccine"/>
    <s v="Routine"/>
    <x v="15"/>
    <n v="2030"/>
    <s v="Chad"/>
    <s v="v23.2"/>
    <s v="Gavi 6.0"/>
    <n v="15275.158799999999"/>
    <n v="1483.7283335018999"/>
    <n v="1.5275158799999999E-2"/>
    <n v="1.4837283335018998E-3"/>
    <s v="Discretionary"/>
  </r>
  <r>
    <s v="Vaccine"/>
    <s v="Routine"/>
    <x v="15"/>
    <n v="2030"/>
    <s v="Benin"/>
    <s v="v23.2"/>
    <s v="Gavi 6.0"/>
    <n v="103043.55130000001"/>
    <n v="10029.7538453666"/>
    <n v="0.10304355130000001"/>
    <n v="1.00297538453666E-2"/>
    <s v="Discretionary"/>
  </r>
  <r>
    <s v="Vaccine"/>
    <s v="Routine"/>
    <x v="11"/>
    <n v="2026"/>
    <s v="Nigeria"/>
    <s v="v23.2"/>
    <s v="Gavi 6.0"/>
    <n v="-0.39"/>
    <n v="0"/>
    <n v="-3.9000000000000002E-7"/>
    <n v="0"/>
    <s v="Discretionary"/>
  </r>
  <r>
    <s v="Vaccine"/>
    <s v="Routine"/>
    <x v="5"/>
    <n v="2028"/>
    <s v="Pakistan"/>
    <s v="v23.2"/>
    <s v="Gavi 6.0"/>
    <n v="7046327.1311999997"/>
    <n v="2690257.5636899802"/>
    <n v="7.0463271312"/>
    <n v="2.6902575636899804"/>
    <s v="Guaranteed"/>
  </r>
  <r>
    <s v="Vaccine"/>
    <s v="Routine"/>
    <x v="5"/>
    <n v="2027"/>
    <s v="Kyrgyzstan"/>
    <s v="v23.2"/>
    <s v="Gavi 6.0"/>
    <n v="435090.61570000002"/>
    <n v="146432.77215745099"/>
    <n v="0.43509061570000002"/>
    <n v="0.14643277215745099"/>
    <s v="Guaranteed"/>
  </r>
  <r>
    <s v="Vaccine"/>
    <s v="Routine"/>
    <x v="5"/>
    <n v="2028"/>
    <s v="Rwanda"/>
    <s v="v23.2"/>
    <s v="Gavi 6.0"/>
    <n v="623857.40480000002"/>
    <n v="237815.02055817001"/>
    <n v="0.62385740480000007"/>
    <n v="0.23781502055817003"/>
    <s v="Guaranteed"/>
  </r>
  <r>
    <s v="Vaccine"/>
    <s v="Routine"/>
    <x v="5"/>
    <n v="2027"/>
    <s v="Somalia"/>
    <s v="v23.2"/>
    <s v="Gavi 6.0"/>
    <n v="2099670.0819000001"/>
    <n v="705807.724790056"/>
    <n v="2.0996700819000003"/>
    <n v="0.70580772479005605"/>
    <s v="Guaranteed"/>
  </r>
  <r>
    <s v="Vaccine"/>
    <s v="Routine"/>
    <x v="5"/>
    <n v="2028"/>
    <s v="Cambodia"/>
    <s v="v23.2"/>
    <s v="Gavi 6.0"/>
    <n v="1115626.4187"/>
    <n v="425941.39547470002"/>
    <n v="1.1156264187"/>
    <n v="0.4259413954747"/>
    <s v="Guaranteed"/>
  </r>
  <r>
    <s v="Vaccine"/>
    <s v="Routine"/>
    <x v="5"/>
    <n v="2027"/>
    <s v="Republic of Syria"/>
    <s v="v23.2"/>
    <s v="Gavi 6.0"/>
    <n v="4836446.9188999999"/>
    <n v="1625779.9857511199"/>
    <n v="4.8364469189000001"/>
    <n v="1.6257799857511199"/>
    <s v="Guaranteed"/>
  </r>
  <r>
    <s v="Vaccine"/>
    <s v="Routine"/>
    <x v="5"/>
    <n v="2027"/>
    <s v="Chad"/>
    <s v="v23.2"/>
    <s v="Gavi 6.0"/>
    <n v="5883146.5182999996"/>
    <n v="1977629.86405558"/>
    <n v="5.8831465182999994"/>
    <n v="1.9776298640555801"/>
    <s v="Guaranteed"/>
  </r>
  <r>
    <s v="Vaccine"/>
    <s v="Routine"/>
    <x v="5"/>
    <n v="2027"/>
    <s v="Eritrea"/>
    <s v="v23.2"/>
    <s v="Gavi 6.0"/>
    <n v="341750.42359999998"/>
    <n v="114879.99520982899"/>
    <n v="0.34175042359999996"/>
    <n v="0.114879995209829"/>
    <s v="Guaranteed"/>
  </r>
  <r>
    <s v="Vaccine"/>
    <s v="Routine"/>
    <x v="5"/>
    <n v="2027"/>
    <s v="Timor-Leste"/>
    <s v="v23.2"/>
    <s v="Gavi 6.0"/>
    <n v="36404.602899999998"/>
    <n v="12252.2222716863"/>
    <n v="3.6404602899999999E-2"/>
    <n v="1.22522222716863E-2"/>
    <s v="Guaranteed"/>
  </r>
  <r>
    <s v="Vaccine"/>
    <s v="Routine"/>
    <x v="5"/>
    <n v="2027"/>
    <s v="SYRIA-TAR"/>
    <s v="v23.2"/>
    <s v="Gavi 6.0"/>
    <n v="37484.561699999998"/>
    <n v="12600.500152836101"/>
    <n v="3.7484561699999995E-2"/>
    <n v="1.26005001528361E-2"/>
    <s v="Guaranteed"/>
  </r>
  <r>
    <s v="Vaccine"/>
    <s v="Routine"/>
    <x v="5"/>
    <n v="2027"/>
    <s v="Burundi"/>
    <s v="v23.2"/>
    <s v="Gavi 6.0"/>
    <n v="63033.777900000001"/>
    <n v="21214.456265560799"/>
    <n v="6.3033777900000004E-2"/>
    <n v="2.1214456265560799E-2"/>
    <s v="Guaranteed"/>
  </r>
  <r>
    <s v="Vaccine"/>
    <s v="Routine"/>
    <x v="5"/>
    <n v="2028"/>
    <s v="Togo"/>
    <s v="v23.2"/>
    <s v="Gavi 6.0"/>
    <n v="1032980.0619"/>
    <n v="394387.36990399001"/>
    <n v="1.0329800619"/>
    <n v="0.39438736990398998"/>
    <s v="Guaranteed"/>
  </r>
  <r>
    <s v="Vaccine"/>
    <s v="Routine"/>
    <x v="5"/>
    <n v="2028"/>
    <s v="Burkina Faso"/>
    <s v="v23.2"/>
    <s v="Gavi 6.0"/>
    <n v="6967609.8521999996"/>
    <n v="2656059.3296156698"/>
    <n v="6.9676098521999998"/>
    <n v="2.6560593296156698"/>
    <s v="Guaranteed"/>
  </r>
  <r>
    <s v="Vaccine"/>
    <s v="Routine"/>
    <x v="5"/>
    <n v="2027"/>
    <s v="Chad"/>
    <s v="v23.2"/>
    <s v="Gavi 6.0"/>
    <n v="485390.45490000001"/>
    <n v="163361.532773916"/>
    <n v="0.48539045489999999"/>
    <n v="0.16336153277391599"/>
    <s v="Guaranteed"/>
  </r>
  <r>
    <s v="Vaccine"/>
    <s v="Routine"/>
    <x v="5"/>
    <n v="2027"/>
    <s v="Niger"/>
    <s v="v23.2"/>
    <s v="Gavi 6.0"/>
    <n v="5326596.3064000001"/>
    <n v="1789836.74188825"/>
    <n v="5.3265963063999999"/>
    <n v="1.7898367418882499"/>
    <s v="Guaranteed"/>
  </r>
  <r>
    <s v="Vaccine"/>
    <s v="Routine"/>
    <x v="5"/>
    <n v="2028"/>
    <s v="Cameroon"/>
    <s v="v23.2"/>
    <s v="Gavi 6.0"/>
    <n v="3880915.8683000002"/>
    <n v="1481717.08102883"/>
    <n v="3.8809158683000002"/>
    <n v="1.48171708102883"/>
    <s v="Guaranteed"/>
  </r>
  <r>
    <s v="Vaccine"/>
    <s v="Routine"/>
    <x v="5"/>
    <n v="2028"/>
    <s v="Benin"/>
    <s v="v23.2"/>
    <s v="Gavi 6.0"/>
    <n v="1313269.0947"/>
    <n v="501400.52389692003"/>
    <n v="1.3132690947000001"/>
    <n v="0.50140052389692003"/>
    <s v="Guaranteed"/>
  </r>
  <r>
    <s v="Vaccine"/>
    <s v="Routine"/>
    <x v="5"/>
    <n v="2027"/>
    <s v="Burundi"/>
    <s v="v23.2"/>
    <s v="Gavi 6.0"/>
    <n v="3248259.1143"/>
    <n v="1091907.9119801"/>
    <n v="3.2482591143000001"/>
    <n v="1.0919079119801001"/>
    <s v="Guaranteed"/>
  </r>
  <r>
    <s v="Vaccine"/>
    <s v="Routine"/>
    <x v="5"/>
    <n v="2029"/>
    <s v="Congo, the Democratic Republic of the"/>
    <s v="v23.2"/>
    <s v="Gavi 6.0"/>
    <n v="25073226.5143"/>
    <n v="10954229.0642443"/>
    <n v="25.0732265143"/>
    <n v="10.9542290642443"/>
    <s v="Guaranteed"/>
  </r>
  <r>
    <s v="Vaccine"/>
    <s v="Routine"/>
    <x v="5"/>
    <n v="2027"/>
    <s v="Sao Tome and Principe"/>
    <s v="v23.2"/>
    <s v="Gavi 6.0"/>
    <n v="770.63509999999997"/>
    <n v="258.27444480000003"/>
    <n v="7.7063510000000002E-4"/>
    <n v="2.5827444480000002E-4"/>
    <s v="Guaranteed"/>
  </r>
  <r>
    <s v="Vaccine"/>
    <s v="Routine"/>
    <x v="5"/>
    <n v="2028"/>
    <s v="Afghanistan"/>
    <s v="v23.2"/>
    <s v="Gavi 6.0"/>
    <n v="7052693.8279999997"/>
    <n v="2688493.4199813302"/>
    <n v="7.0526938279999998"/>
    <n v="2.68849341998133"/>
    <s v="Guaranteed"/>
  </r>
  <r>
    <s v="Vaccine"/>
    <s v="Routine"/>
    <x v="5"/>
    <n v="2027"/>
    <s v="Yemen"/>
    <s v="v23.2"/>
    <s v="Gavi 6.0"/>
    <n v="2420557.3097999999"/>
    <n v="812623.78903061699"/>
    <n v="2.4205573097999999"/>
    <n v="0.81262378903061694"/>
    <s v="Guaranteed"/>
  </r>
  <r>
    <s v="Vaccine"/>
    <s v="Routine"/>
    <x v="5"/>
    <n v="2027"/>
    <s v="Mozambique"/>
    <s v="v23.2"/>
    <s v="Gavi 6.0"/>
    <n v="9689121.5274"/>
    <n v="3257014.9374131798"/>
    <n v="9.6891215273999993"/>
    <n v="3.2570149374131798"/>
    <s v="Guaranteed"/>
  </r>
  <r>
    <s v="Vaccine"/>
    <s v="Routine"/>
    <x v="5"/>
    <n v="2027"/>
    <s v="Liberia"/>
    <s v="v23.2"/>
    <s v="Gavi 6.0"/>
    <n v="151811.91329999999"/>
    <n v="50904.7694645144"/>
    <n v="0.15181191329999999"/>
    <n v="5.0904769464514402E-2"/>
    <s v="Guaranteed"/>
  </r>
  <r>
    <s v="Vaccine"/>
    <s v="Routine"/>
    <x v="5"/>
    <n v="2028"/>
    <s v="Côte d’Ivoire"/>
    <s v="v23.2"/>
    <s v="Gavi 6.0"/>
    <n v="1311419.6495999999"/>
    <n v="500694.41366876301"/>
    <n v="1.3114196495999999"/>
    <n v="0.50069441366876299"/>
    <s v="Guaranteed"/>
  </r>
  <r>
    <s v="Vaccine"/>
    <s v="Routine"/>
    <x v="5"/>
    <n v="2028"/>
    <s v="Lao People’s Democratic Republic"/>
    <s v="v23.2"/>
    <s v="Gavi 6.0"/>
    <n v="258199.98480000001"/>
    <n v="98579.649960862094"/>
    <n v="0.2581999848"/>
    <n v="9.857964996086209E-2"/>
    <s v="Guaranteed"/>
  </r>
  <r>
    <s v="Vaccine"/>
    <s v="Routine"/>
    <x v="5"/>
    <n v="2028"/>
    <s v="Mali"/>
    <s v="v23.2"/>
    <s v="Gavi 6.0"/>
    <n v="7040074.3058000002"/>
    <n v="2687870.2616979899"/>
    <n v="7.0400743058000002"/>
    <n v="2.6878702616979897"/>
    <s v="Guaranteed"/>
  </r>
  <r>
    <s v="Vaccine"/>
    <s v="Routine"/>
    <x v="5"/>
    <n v="2028"/>
    <s v="Ethiopia"/>
    <s v="v23.2"/>
    <s v="Gavi 6.0"/>
    <n v="13800643.4068"/>
    <n v="5260818.0499319602"/>
    <n v="13.800643406800001"/>
    <n v="5.2608180499319603"/>
    <s v="Guaranteed"/>
  </r>
  <r>
    <s v="Vaccine"/>
    <s v="Routine"/>
    <x v="5"/>
    <n v="2027"/>
    <s v="Sierra Leone"/>
    <s v="v23.2"/>
    <s v="Gavi 6.0"/>
    <n v="2388742.3901999998"/>
    <n v="803051.94010000001"/>
    <n v="2.3887423902"/>
    <n v="0.80305194010000003"/>
    <s v="Guaranteed"/>
  </r>
  <r>
    <s v="Vaccine"/>
    <s v="Routine"/>
    <x v="5"/>
    <n v="2028"/>
    <s v="Guinea"/>
    <s v="v23.2"/>
    <s v="Gavi 6.0"/>
    <n v="1331964.6033999999"/>
    <n v="508538.38917922199"/>
    <n v="1.3319646033999999"/>
    <n v="0.50853838917922201"/>
    <s v="Guaranteed"/>
  </r>
  <r>
    <s v="Vaccine"/>
    <s v="Routine"/>
    <x v="5"/>
    <n v="2027"/>
    <s v="Madagascar"/>
    <s v="v23.2"/>
    <s v="Gavi 6.0"/>
    <n v="7911057.3194000004"/>
    <n v="2659321.9273333098"/>
    <n v="7.9110573194000002"/>
    <n v="2.65932192733331"/>
    <s v="Guaranteed"/>
  </r>
  <r>
    <s v="Vaccine"/>
    <s v="Routine"/>
    <x v="5"/>
    <n v="2028"/>
    <s v="Angola"/>
    <s v="v23.2"/>
    <s v="Gavi 6.0"/>
    <n v="1022075.2829"/>
    <n v="390223.9719"/>
    <n v="1.0220752828999999"/>
    <n v="0.39022397190000002"/>
    <s v="Guaranteed"/>
  </r>
  <r>
    <s v="Vaccine"/>
    <s v="Routine"/>
    <x v="5"/>
    <n v="2028"/>
    <s v="Comoros"/>
    <s v="v23.2"/>
    <s v="Gavi 6.0"/>
    <n v="52036.857900000003"/>
    <n v="19867.449788927199"/>
    <n v="5.2036857900000004E-2"/>
    <n v="1.98674497889272E-2"/>
    <s v="Guaranteed"/>
  </r>
  <r>
    <s v="Vaccine"/>
    <s v="Routine"/>
    <x v="5"/>
    <n v="2027"/>
    <s v="Gambia"/>
    <s v="v23.2"/>
    <s v="Gavi 6.0"/>
    <n v="247831.35130000001"/>
    <n v="83308.936790485197"/>
    <n v="0.2478313513"/>
    <n v="8.3308936790485191E-2"/>
    <s v="Guaranteed"/>
  </r>
  <r>
    <s v="Vaccine"/>
    <s v="Routine"/>
    <x v="5"/>
    <n v="2029"/>
    <s v="Guinea-Bissau"/>
    <s v="v23.2"/>
    <s v="Gavi 6.0"/>
    <n v="166979.07980000001"/>
    <n v="73103.412118382796"/>
    <n v="0.16697907980000001"/>
    <n v="7.3103412118382796E-2"/>
    <s v="Guaranteed"/>
  </r>
  <r>
    <s v="Vaccine"/>
    <s v="Routine"/>
    <x v="5"/>
    <n v="2030"/>
    <s v="Haiti"/>
    <s v="v23.2"/>
    <s v="Gavi 6.0"/>
    <n v="530181.66339999996"/>
    <n v="231570.62356597101"/>
    <n v="0.53018166339999995"/>
    <n v="0.231570623565971"/>
    <s v="Guaranteed"/>
  </r>
  <r>
    <s v="Vaccine"/>
    <s v="Routine"/>
    <x v="6"/>
    <n v="2028"/>
    <s v="Korea DPR"/>
    <s v="v23.2"/>
    <s v="Gavi 6.0"/>
    <n v="673934.79559999995"/>
    <n v="477030.64833372901"/>
    <n v="0.67393479559999991"/>
    <n v="0.47703064833372899"/>
    <s v="Guaranteed"/>
  </r>
  <r>
    <s v="Vaccine"/>
    <s v="Routine"/>
    <x v="6"/>
    <n v="2026"/>
    <s v="Solomon Islands"/>
    <s v="v23.2"/>
    <s v="Gavi 6.0"/>
    <n v="70033.003200000006"/>
    <n v="22320"/>
    <n v="7.0033003200000013E-2"/>
    <n v="2.232E-2"/>
    <s v="Guaranteed"/>
  </r>
  <r>
    <s v="Vaccine"/>
    <s v="Routine"/>
    <x v="6"/>
    <n v="2028"/>
    <s v="Cambodia"/>
    <s v="v23.2"/>
    <s v="Gavi 6.0"/>
    <n v="358142.8162"/>
    <n v="253503.901173019"/>
    <n v="0.35814281619999999"/>
    <n v="0.25350390117301902"/>
    <s v="Guaranteed"/>
  </r>
  <r>
    <s v="Vaccine"/>
    <s v="Routine"/>
    <x v="6"/>
    <n v="2028"/>
    <s v="Haiti"/>
    <s v="v23.2"/>
    <s v="Gavi 6.0"/>
    <n v="233052.55489999999"/>
    <n v="164961.3762"/>
    <n v="0.23305255489999999"/>
    <n v="0.16496137620000001"/>
    <s v="Guaranteed"/>
  </r>
  <r>
    <s v="Vaccine"/>
    <s v="Routine"/>
    <x v="6"/>
    <n v="2026"/>
    <s v="Timor-Leste"/>
    <s v="v23.2"/>
    <s v="Gavi 6.0"/>
    <n v="132894.18780000001"/>
    <n v="77000"/>
    <n v="0.13289418780000001"/>
    <n v="7.6999999999999999E-2"/>
    <s v="Guaranteed"/>
  </r>
  <r>
    <s v="Vaccine"/>
    <s v="Routine"/>
    <x v="6"/>
    <n v="2029"/>
    <s v="Central African Republic"/>
    <s v="v23.2"/>
    <s v="Gavi 6.0"/>
    <n v="869996.07830000005"/>
    <n v="547137.56796470098"/>
    <n v="0.86999607830000003"/>
    <n v="0.54713756796470103"/>
    <s v="Guaranteed"/>
  </r>
  <r>
    <s v="Vaccine"/>
    <s v="Routine"/>
    <x v="6"/>
    <n v="2028"/>
    <s v="Myanmar"/>
    <s v="v23.2"/>
    <s v="Gavi 6.0"/>
    <n v="1308017.8313"/>
    <n v="925853.06202587904"/>
    <n v="1.3080178312999999"/>
    <n v="0.92585306202587903"/>
    <s v="Guaranteed"/>
  </r>
  <r>
    <s v="Vaccine"/>
    <s v="Routine"/>
    <x v="6"/>
    <n v="2028"/>
    <s v="Guinea"/>
    <s v="v23.2"/>
    <s v="Gavi 6.0"/>
    <n v="262629.07510000002"/>
    <n v="185896.49735941101"/>
    <n v="0.2626290751"/>
    <n v="0.18589649735941099"/>
    <s v="Guaranteed"/>
  </r>
  <r>
    <s v="Vaccine"/>
    <s v="Routine"/>
    <x v="3"/>
    <n v="2027"/>
    <s v="Liberia"/>
    <s v="v23.2"/>
    <s v="Gavi 6.0"/>
    <n v="134089.8695"/>
    <n v="182795.755844156"/>
    <n v="0.13408986950000001"/>
    <n v="0.182795755844156"/>
    <s v="Guaranteed"/>
  </r>
  <r>
    <s v="Vaccine"/>
    <s v="Routine"/>
    <x v="3"/>
    <n v="2026"/>
    <s v="Chad"/>
    <s v="v23.2"/>
    <s v="Gavi 6.0"/>
    <n v="1258399.3839"/>
    <n v="1764250"/>
    <n v="1.2583993839000001"/>
    <n v="1.7642500000000001"/>
    <s v="Guaranteed"/>
  </r>
  <r>
    <s v="Vaccine"/>
    <s v="Routine"/>
    <x v="3"/>
    <n v="2027"/>
    <s v="South Sudan"/>
    <s v="v23.2"/>
    <s v="Gavi 6.0"/>
    <n v="735387.58519999997"/>
    <n v="1002504.73774892"/>
    <n v="0.73538758520000003"/>
    <n v="1.00250473774892"/>
    <s v="Guaranteed"/>
  </r>
  <r>
    <s v="Vaccine"/>
    <s v="Routine"/>
    <x v="4"/>
    <n v="2027"/>
    <s v="Sierra Leone"/>
    <s v="v23.2"/>
    <s v="Gavi 6.0"/>
    <n v="587481.15110000002"/>
    <n v="471583.29816849797"/>
    <n v="0.58748115109999999"/>
    <n v="0.47158329816849798"/>
    <s v="Guaranteed"/>
  </r>
  <r>
    <s v="Vaccine"/>
    <s v="Routine"/>
    <x v="4"/>
    <n v="2026"/>
    <s v="Cameroon"/>
    <s v="v23.2"/>
    <s v="Gavi 6.0"/>
    <n v="-86.078100000000006"/>
    <n v="-127570.49887416"/>
    <n v="-8.6078100000000005E-5"/>
    <n v="-0.12757049887416"/>
    <s v="Guaranteed"/>
  </r>
  <r>
    <s v="Vaccine"/>
    <s v="Routine"/>
    <x v="4"/>
    <n v="2027"/>
    <s v="Uganda"/>
    <s v="v23.2"/>
    <s v="Gavi 6.0"/>
    <n v="4095306.9608999998"/>
    <n v="3287387.7908920902"/>
    <n v="4.0953069608999995"/>
    <n v="3.2873877908920903"/>
    <s v="Guaranteed"/>
  </r>
  <r>
    <s v="Vaccine"/>
    <s v="Routine"/>
    <x v="4"/>
    <n v="2027"/>
    <s v="Solomon Islands"/>
    <s v="v23.2"/>
    <s v="Gavi 6.0"/>
    <n v="18723.771199999999"/>
    <n v="15207.1662086417"/>
    <n v="1.8723771199999999E-2"/>
    <n v="1.5207166208641701E-2"/>
    <s v="Guaranteed"/>
  </r>
  <r>
    <s v="Vaccine"/>
    <s v="Routine"/>
    <x v="4"/>
    <n v="2027"/>
    <s v="Mauritania"/>
    <s v="v23.2"/>
    <s v="Gavi 6.0"/>
    <n v="97347.915699999998"/>
    <n v="79064.517354174401"/>
    <n v="9.7347915699999996E-2"/>
    <n v="7.9064517354174399E-2"/>
    <s v="Guaranteed"/>
  </r>
  <r>
    <s v="Vaccine"/>
    <s v="Routine"/>
    <x v="4"/>
    <n v="2027"/>
    <s v="Benin"/>
    <s v="v23.2"/>
    <s v="Gavi 6.0"/>
    <n v="530739.71189999999"/>
    <n v="431058.83523547498"/>
    <n v="0.53073971190000002"/>
    <n v="0.431058835235475"/>
    <s v="Guaranteed"/>
  </r>
  <r>
    <s v="Vaccine"/>
    <s v="Routine"/>
    <x v="4"/>
    <n v="2027"/>
    <s v="Mali"/>
    <s v="v23.2"/>
    <s v="Gavi 6.0"/>
    <n v="2424927.9240999999"/>
    <n v="1946539.9120879101"/>
    <n v="2.4249279240999999"/>
    <n v="1.9465399120879101"/>
    <s v="Guaranteed"/>
  </r>
  <r>
    <s v="Vaccine"/>
    <s v="Routine"/>
    <x v="4"/>
    <n v="2028"/>
    <s v="Mozambique"/>
    <s v="v23.2"/>
    <s v="Gavi 6.0"/>
    <n v="2695296.5043000001"/>
    <n v="2158907.4768063799"/>
    <n v="2.6952965043000003"/>
    <n v="2.1589074768063798"/>
    <s v="Guaranteed"/>
  </r>
  <r>
    <s v="Vaccine"/>
    <s v="Routine"/>
    <x v="16"/>
    <n v="2026"/>
    <s v="Global"/>
    <s v="v23.2"/>
    <s v="Gavi 6.0"/>
    <n v="8600000"/>
    <m/>
    <n v="8.6"/>
    <n v="0"/>
    <s v="Other"/>
  </r>
  <r>
    <s v="Vaccine"/>
    <s v="Routine"/>
    <x v="16"/>
    <n v="2027"/>
    <s v="Global"/>
    <s v="v23.2"/>
    <s v="Gavi 6.0"/>
    <n v="8600000"/>
    <m/>
    <n v="8.6"/>
    <n v="0"/>
    <s v="Other"/>
  </r>
  <r>
    <s v="Vaccine"/>
    <s v="Routine"/>
    <x v="16"/>
    <n v="2028"/>
    <s v="Global"/>
    <s v="v23.2"/>
    <s v="Gavi 6.0"/>
    <n v="8600000"/>
    <m/>
    <n v="8.6"/>
    <n v="0"/>
    <s v="Other"/>
  </r>
  <r>
    <s v="Vaccine"/>
    <s v="Routine"/>
    <x v="16"/>
    <n v="2029"/>
    <s v="Global"/>
    <s v="v23.2"/>
    <s v="Gavi 6.0"/>
    <n v="8600000"/>
    <m/>
    <n v="8.6"/>
    <n v="0"/>
    <s v="Other"/>
  </r>
  <r>
    <s v="Vaccine"/>
    <s v="Routine"/>
    <x v="16"/>
    <n v="2030"/>
    <s v="Global"/>
    <s v="v23.2"/>
    <s v="Gavi 6.0"/>
    <n v="8600000"/>
    <m/>
    <n v="8.6"/>
    <n v="0"/>
    <s v="Other"/>
  </r>
  <r>
    <s v="Vaccine"/>
    <s v="Other"/>
    <x v="17"/>
    <n v="2026"/>
    <s v="Global"/>
    <s v="v23.2"/>
    <s v="Gavi 6.0"/>
    <n v="-25000000"/>
    <m/>
    <n v="-25"/>
    <n v="0"/>
    <s v="Other"/>
  </r>
  <r>
    <s v="Vaccine"/>
    <s v="Other"/>
    <x v="18"/>
    <n v="2026"/>
    <s v="Global"/>
    <s v="v23.2"/>
    <s v="Gavi 6.0"/>
    <n v="-82500000"/>
    <m/>
    <n v="-82.5"/>
    <n v="0"/>
    <s v="Other"/>
  </r>
  <r>
    <s v="Vaccine"/>
    <s v="Routine"/>
    <x v="19"/>
    <n v="2029"/>
    <s v="Bangladesh"/>
    <s v="v23.2"/>
    <s v="Gavi 6.0"/>
    <n v="90655.361499999999"/>
    <n v="153175.70000000001"/>
    <n v="9.0655361500000003E-2"/>
    <n v="0.1531757"/>
    <s v="Discretionary"/>
  </r>
  <r>
    <s v="Vaccine"/>
    <s v="Routine"/>
    <x v="19"/>
    <n v="2027"/>
    <s v="Myanmar"/>
    <s v="v23.2"/>
    <s v="Gavi 6.0"/>
    <n v="128585.6167"/>
    <n v="212754.7323"/>
    <n v="0.12858561669999999"/>
    <n v="0.2127547323"/>
    <s v="Discretionary"/>
  </r>
  <r>
    <s v="Vaccine"/>
    <s v="Routine"/>
    <x v="19"/>
    <n v="2028"/>
    <s v="Myanmar"/>
    <s v="v23.2"/>
    <s v="Gavi 6.0"/>
    <n v="125916.5597"/>
    <n v="212754.7323"/>
    <n v="0.12591655969999999"/>
    <n v="0.2127547323"/>
    <s v="Discretionary"/>
  </r>
  <r>
    <s v="Vaccine"/>
    <s v="Routine"/>
    <x v="19"/>
    <n v="2026"/>
    <s v="Myanmar"/>
    <s v="v23.2"/>
    <s v="Gavi 6.0"/>
    <n v="257101.12760000001"/>
    <n v="469666.06140240002"/>
    <n v="0.25710112760000003"/>
    <n v="0.46966606140240003"/>
    <s v="Discretionary"/>
  </r>
  <r>
    <s v="Vaccine"/>
    <s v="Routine"/>
    <x v="19"/>
    <n v="2027"/>
    <s v="Myanmar"/>
    <s v="v23.2"/>
    <s v="Gavi 6.0"/>
    <n v="271192.87390000001"/>
    <n v="448685.15572682"/>
    <n v="0.27119287390000002"/>
    <n v="0.44868515572682"/>
    <s v="Discretionary"/>
  </r>
  <r>
    <s v="Vaccine"/>
    <s v="Routine"/>
    <x v="19"/>
    <n v="2028"/>
    <s v="Myanmar"/>
    <s v="v23.2"/>
    <s v="Gavi 6.0"/>
    <n v="251057.24729999999"/>
    <n v="424198.51351050002"/>
    <n v="0.25105724730000001"/>
    <n v="0.42419851351050003"/>
    <s v="Discretionary"/>
  </r>
  <r>
    <s v="Vaccine"/>
    <s v="Routine"/>
    <x v="19"/>
    <n v="2029"/>
    <s v="Myanmar"/>
    <s v="v23.2"/>
    <s v="Gavi 6.0"/>
    <n v="235090.46350000001"/>
    <n v="397220.26038879401"/>
    <n v="0.23509046350000001"/>
    <n v="0.39722026038879399"/>
    <s v="Discretionary"/>
  </r>
  <r>
    <s v="Vaccine"/>
    <s v="Routine"/>
    <x v="19"/>
    <n v="2030"/>
    <s v="Myanmar"/>
    <s v="v23.2"/>
    <s v="Gavi 6.0"/>
    <n v="216358.90030000001"/>
    <n v="365570.50187888002"/>
    <n v="0.21635890030000002"/>
    <n v="0.36557050187888002"/>
    <s v="Discretionary"/>
  </r>
  <r>
    <s v="Vaccine"/>
    <s v="Routine"/>
    <x v="19"/>
    <n v="2026"/>
    <s v="Myanmar"/>
    <s v="v23.2"/>
    <s v="Gavi 6.0"/>
    <n v="116458.59699999999"/>
    <n v="212754.7323"/>
    <n v="0.116458597"/>
    <n v="0.2127547323"/>
    <s v="Discretionary"/>
  </r>
  <r>
    <s v="Vaccine"/>
    <s v="Routine"/>
    <x v="2"/>
    <n v="2028"/>
    <s v="Mali"/>
    <s v="v23.2"/>
    <s v="Gavi 6.0"/>
    <n v="3185435.1598999999"/>
    <n v="901519.58455486398"/>
    <n v="3.1854351598999999"/>
    <n v="0.90151958455486403"/>
    <s v="Discretionary"/>
  </r>
  <r>
    <s v="Vaccine"/>
    <s v="Routine"/>
    <x v="2"/>
    <n v="2028"/>
    <s v="Sudan"/>
    <s v="v23.2"/>
    <s v="Gavi 6.0"/>
    <n v="3484075.5359"/>
    <n v="985470.63707277796"/>
    <n v="3.4840755359000002"/>
    <n v="0.98547063707277793"/>
    <s v="Discretionary"/>
  </r>
  <r>
    <s v="Vaccine"/>
    <s v="Routine"/>
    <x v="2"/>
    <n v="2028"/>
    <s v="Burkina Faso"/>
    <s v="v23.2"/>
    <s v="Gavi 6.0"/>
    <n v="3535922.8741000001"/>
    <n v="999822.24555614404"/>
    <n v="3.5359228741000002"/>
    <n v="0.99982224555614407"/>
    <s v="Discretionary"/>
  </r>
  <r>
    <s v="Vaccine"/>
    <s v="Routine"/>
    <x v="2"/>
    <n v="2027"/>
    <s v="Chad"/>
    <s v="v23.2"/>
    <s v="Gavi 6.0"/>
    <n v="1662277.7438000001"/>
    <n v="534571.17146614799"/>
    <n v="1.6622777438"/>
    <n v="0.53457117146614797"/>
    <s v="Discretionary"/>
  </r>
  <r>
    <s v="Vaccine"/>
    <s v="Routine"/>
    <x v="2"/>
    <n v="2028"/>
    <s v="Togo"/>
    <s v="v23.2"/>
    <s v="Gavi 6.0"/>
    <n v="823315.24049999996"/>
    <n v="232662.41893401201"/>
    <n v="0.82331524049999993"/>
    <n v="0.23266241893401202"/>
    <s v="Discretionary"/>
  </r>
  <r>
    <s v="Vaccine"/>
    <s v="Routine"/>
    <x v="2"/>
    <n v="2028"/>
    <s v="Sudan"/>
    <s v="v23.2"/>
    <s v="Gavi 6.0"/>
    <n v="1325027.4375"/>
    <n v="375000"/>
    <n v="1.3250274375"/>
    <n v="0.375"/>
    <s v="Discretionary"/>
  </r>
  <r>
    <s v="Vaccine"/>
    <s v="Routine"/>
    <x v="2"/>
    <n v="2027"/>
    <s v="Chad"/>
    <s v="v23.2"/>
    <s v="Gavi 6.0"/>
    <n v="262730.61589999998"/>
    <n v="84906.452265372194"/>
    <n v="0.26273061589999996"/>
    <n v="8.490645226537219E-2"/>
    <s v="Discretionary"/>
  </r>
  <r>
    <s v="Vaccine"/>
    <s v="Routine"/>
    <x v="7"/>
    <n v="2027"/>
    <s v="Madagascar"/>
    <s v="v23.2"/>
    <s v="Gavi 6.0"/>
    <n v="4703404.7027000003"/>
    <n v="2247889.0941936001"/>
    <n v="4.7034047027000003"/>
    <n v="2.2478890941936003"/>
    <s v="Guaranteed"/>
  </r>
  <r>
    <s v="Vaccine"/>
    <s v="Routine"/>
    <x v="7"/>
    <n v="2029"/>
    <s v="Malawi"/>
    <s v="v23.2"/>
    <s v="Gavi 6.0"/>
    <n v="5449452.6770000001"/>
    <n v="2533116.3071602602"/>
    <n v="5.449452677"/>
    <n v="2.53311630716026"/>
    <s v="Guaranteed"/>
  </r>
  <r>
    <s v="Vaccine"/>
    <s v="Routine"/>
    <x v="7"/>
    <n v="2029"/>
    <s v="Burundi"/>
    <s v="v23.2"/>
    <s v="Gavi 6.0"/>
    <n v="2522800.7266000002"/>
    <n v="1172695.32173298"/>
    <n v="2.5228007266000003"/>
    <n v="1.1726953217329799"/>
    <s v="Guaranteed"/>
  </r>
  <r>
    <s v="Vaccine"/>
    <s v="Routine"/>
    <x v="7"/>
    <n v="2028"/>
    <s v="Tajikistan"/>
    <s v="v23.2"/>
    <s v="Gavi 6.0"/>
    <n v="1215317.2912000001"/>
    <n v="584734.61876022804"/>
    <n v="1.2153172912000001"/>
    <n v="0.58473461876022803"/>
    <s v="Guaranteed"/>
  </r>
  <r>
    <s v="Vaccine"/>
    <s v="Routine"/>
    <x v="7"/>
    <n v="2028"/>
    <s v="Uganda"/>
    <s v="v23.2"/>
    <s v="Gavi 6.0"/>
    <n v="12546270.2348"/>
    <n v="6036480.0169057297"/>
    <n v="12.5462702348"/>
    <n v="6.0364800169057293"/>
    <s v="Guaranteed"/>
  </r>
  <r>
    <s v="Vaccine"/>
    <s v="Routine"/>
    <x v="7"/>
    <n v="2028"/>
    <s v="Nepal"/>
    <s v="v23.2"/>
    <s v="Gavi 6.0"/>
    <n v="2320797.3934999998"/>
    <n v="1080611.14615481"/>
    <n v="2.3207973934999999"/>
    <n v="1.08061114615481"/>
    <s v="Guaranteed"/>
  </r>
  <r>
    <s v="Vaccine"/>
    <s v="Routine"/>
    <x v="7"/>
    <n v="2028"/>
    <s v="Zambia"/>
    <s v="v23.2"/>
    <s v="Gavi 6.0"/>
    <n v="2804091.6307000001"/>
    <n v="1349153.3959740801"/>
    <n v="2.8040916306999999"/>
    <n v="1.34915339597408"/>
    <s v="Guaranteed"/>
  </r>
  <r>
    <s v="Vaccine"/>
    <s v="Routine"/>
    <x v="7"/>
    <n v="2029"/>
    <s v="Cameroon"/>
    <s v="v23.2"/>
    <s v="Gavi 6.0"/>
    <n v="884112.28060000006"/>
    <n v="411660.91772486898"/>
    <n v="0.88411228060000002"/>
    <n v="0.41166091772486896"/>
    <s v="Guaranteed"/>
  </r>
  <r>
    <s v="Vaccine"/>
    <s v="Routine"/>
    <x v="7"/>
    <n v="2029"/>
    <s v="Sierra Leone"/>
    <s v="v23.2"/>
    <s v="Gavi 6.0"/>
    <n v="1356956.8118"/>
    <n v="630765.99279696494"/>
    <n v="1.3569568117999999"/>
    <n v="0.63076599279696499"/>
    <s v="Guaranteed"/>
  </r>
  <r>
    <s v="Vaccine"/>
    <s v="Routine"/>
    <x v="7"/>
    <n v="2029"/>
    <s v="Togo"/>
    <s v="v23.2"/>
    <s v="Gavi 6.0"/>
    <n v="1705459.8339"/>
    <n v="794097.28354731598"/>
    <n v="1.7054598339"/>
    <n v="0.79409728354731601"/>
    <s v="Guaranteed"/>
  </r>
  <r>
    <s v="Vaccine"/>
    <s v="Routine"/>
    <x v="7"/>
    <n v="2029"/>
    <s v="Congo, the Democratic Republic of the"/>
    <s v="v23.2"/>
    <s v="Gavi 6.0"/>
    <n v="24238202.272599999"/>
    <n v="11266853.585526699"/>
    <n v="24.238202272599999"/>
    <n v="11.266853585526698"/>
    <s v="Guaranteed"/>
  </r>
  <r>
    <s v="Vaccine"/>
    <s v="Routine"/>
    <x v="7"/>
    <n v="2029"/>
    <s v="Guinea-Bissau"/>
    <s v="v23.2"/>
    <s v="Gavi 6.0"/>
    <n v="393878.97169999999"/>
    <n v="183398.175245297"/>
    <n v="0.39387897169999997"/>
    <n v="0.183398175245297"/>
    <s v="Guaranteed"/>
  </r>
  <r>
    <s v="Vaccine"/>
    <s v="Routine"/>
    <x v="7"/>
    <n v="2029"/>
    <s v="Eritrea"/>
    <s v="v23.2"/>
    <s v="Gavi 6.0"/>
    <n v="517689.96679999999"/>
    <n v="240642.31301477901"/>
    <n v="0.51768996680000001"/>
    <n v="0.24064231301477901"/>
    <s v="Guaranteed"/>
  </r>
  <r>
    <s v="Vaccine"/>
    <s v="Routine"/>
    <x v="7"/>
    <n v="2029"/>
    <s v="Gambia"/>
    <s v="v23.2"/>
    <s v="Gavi 6.0"/>
    <n v="428116.73180000001"/>
    <n v="199005.21006617"/>
    <n v="0.42811673179999998"/>
    <n v="0.19900521006617"/>
    <s v="Guaranteed"/>
  </r>
  <r>
    <s v="Vaccine"/>
    <s v="Routine"/>
    <x v="7"/>
    <n v="2029"/>
    <s v="Mozambique"/>
    <s v="v23.2"/>
    <s v="Gavi 6.0"/>
    <n v="5463034.8580999998"/>
    <n v="2539429.83011284"/>
    <n v="5.4630348580999994"/>
    <n v="2.53942983011284"/>
    <s v="Guaranteed"/>
  </r>
  <r>
    <s v="Vaccine"/>
    <s v="Routine"/>
    <x v="7"/>
    <n v="2029"/>
    <s v="Liberia"/>
    <s v="v23.2"/>
    <s v="Gavi 6.0"/>
    <n v="790195.76659999997"/>
    <n v="367313.54518731002"/>
    <n v="0.79019576660000002"/>
    <n v="0.36731354518731002"/>
    <s v="Guaranteed"/>
  </r>
  <r>
    <s v="Vaccine"/>
    <s v="Routine"/>
    <x v="7"/>
    <n v="2028"/>
    <s v="Bangladesh"/>
    <s v="v23.2"/>
    <s v="Gavi 6.0"/>
    <n v="5354093.0166999996"/>
    <n v="2576605.44317368"/>
    <n v="5.3540930166999994"/>
    <n v="2.5766054431736798"/>
    <s v="Guaranteed"/>
  </r>
  <r>
    <s v="Vaccine"/>
    <s v="Routine"/>
    <x v="12"/>
    <n v="2026"/>
    <s v="Ghana"/>
    <s v="v23.2"/>
    <s v="Gavi 6.0"/>
    <n v="1247957.25"/>
    <n v="1097000"/>
    <n v="1.24795725"/>
    <n v="1.097"/>
    <s v="Guaranteed"/>
  </r>
  <r>
    <s v="Vaccine"/>
    <s v="Routine"/>
    <x v="12"/>
    <n v="2026"/>
    <s v="United Republic of Tanzania"/>
    <s v="v23.2"/>
    <s v="Gavi 6.0"/>
    <n v="10688483.3926"/>
    <n v="5020032.5136000002"/>
    <n v="10.6884833926"/>
    <n v="5.0200325136000004"/>
    <s v="Guaranteed"/>
  </r>
  <r>
    <s v="Vaccine"/>
    <s v="Routine"/>
    <x v="0"/>
    <n v="2028"/>
    <s v="Uganda"/>
    <s v="v23.2"/>
    <s v="Gavi 6.0"/>
    <n v="107858.9613"/>
    <n v="35886.979166666701"/>
    <n v="0.1078589613"/>
    <n v="3.5886979166666701E-2"/>
    <s v="Guaranteed"/>
  </r>
  <r>
    <s v="Vaccine"/>
    <s v="Routine"/>
    <x v="0"/>
    <n v="2028"/>
    <s v="Bangladesh"/>
    <s v="v23.2"/>
    <s v="Gavi 6.0"/>
    <n v="70780.651400000002"/>
    <n v="23575"/>
    <n v="7.0780651400000005E-2"/>
    <n v="2.3574999999999999E-2"/>
    <s v="Guaranteed"/>
  </r>
  <r>
    <s v="Vaccine"/>
    <s v="Routine"/>
    <x v="0"/>
    <n v="2028"/>
    <s v="Myanmar"/>
    <s v="v23.2"/>
    <s v="Gavi 6.0"/>
    <n v="335761.49479999999"/>
    <n v="111734.581052632"/>
    <n v="0.3357614948"/>
    <n v="0.111734581052632"/>
    <s v="Guaranteed"/>
  </r>
  <r>
    <s v="Vaccine"/>
    <s v="Routine"/>
    <x v="0"/>
    <n v="2028"/>
    <s v="Bangladesh"/>
    <s v="v23.2"/>
    <s v="Gavi 6.0"/>
    <n v="1868698.1510000001"/>
    <n v="622409.628194444"/>
    <n v="1.868698151"/>
    <n v="0.62240962819444401"/>
    <s v="Guaranteed"/>
  </r>
  <r>
    <s v="Vaccine"/>
    <s v="Routine"/>
    <x v="0"/>
    <n v="2028"/>
    <s v="Côte d’Ivoire"/>
    <s v="v23.2"/>
    <s v="Gavi 6.0"/>
    <n v="246779.6342"/>
    <n v="82152.004344325207"/>
    <n v="0.24677963420000001"/>
    <n v="8.2152004344325208E-2"/>
    <s v="Guaranteed"/>
  </r>
  <r>
    <s v="Vaccine"/>
    <s v="Routine"/>
    <x v="0"/>
    <n v="2028"/>
    <s v="Cameroon"/>
    <s v="v23.2"/>
    <s v="Gavi 6.0"/>
    <n v="297914.4474"/>
    <n v="99122.497000000003"/>
    <n v="0.2979144474"/>
    <n v="9.9122497000000004E-2"/>
    <s v="Guaranteed"/>
  </r>
  <r>
    <s v="Vaccine"/>
    <s v="Routine"/>
    <x v="0"/>
    <n v="2028"/>
    <s v="Ethiopia"/>
    <s v="v23.2"/>
    <s v="Gavi 6.0"/>
    <n v="4807430.602"/>
    <n v="1598706.72"/>
    <n v="4.8074306020000002"/>
    <n v="1.59870672"/>
    <s v="Guaranteed"/>
  </r>
  <r>
    <s v="Vaccine"/>
    <s v="Routine"/>
    <x v="0"/>
    <n v="2028"/>
    <s v="Lao People’s Democratic Republic"/>
    <s v="v23.2"/>
    <s v="Gavi 6.0"/>
    <n v="48881.549299999999"/>
    <n v="16266.783157894701"/>
    <n v="4.88815493E-2"/>
    <n v="1.6266783157894701E-2"/>
    <s v="Guaranteed"/>
  </r>
  <r>
    <s v="Vaccine"/>
    <s v="Routine"/>
    <x v="0"/>
    <n v="2028"/>
    <s v="Sao Tome and Principe"/>
    <s v="v23.2"/>
    <s v="Gavi 6.0"/>
    <n v="1164.624"/>
    <n v="387.36097854209999"/>
    <n v="1.164624E-3"/>
    <n v="3.873609785421E-4"/>
    <s v="Guaranteed"/>
  </r>
  <r>
    <s v="Vaccine"/>
    <s v="Routine"/>
    <x v="0"/>
    <n v="2028"/>
    <s v="Benin"/>
    <s v="v23.2"/>
    <s v="Gavi 6.0"/>
    <n v="201993.64"/>
    <n v="67278.274092308202"/>
    <n v="0.20199364"/>
    <n v="6.7278274092308202E-2"/>
    <s v="Guaranteed"/>
  </r>
  <r>
    <s v="Vaccine"/>
    <s v="Routine"/>
    <x v="0"/>
    <n v="2028"/>
    <s v="Burkina Faso"/>
    <s v="v23.2"/>
    <s v="Gavi 6.0"/>
    <n v="1082840.2668999999"/>
    <n v="360097.55621052597"/>
    <n v="1.0828402668999999"/>
    <n v="0.36009755621052597"/>
    <s v="Guaranteed"/>
  </r>
  <r>
    <s v="Vaccine"/>
    <s v="Routine"/>
    <x v="0"/>
    <n v="2028"/>
    <s v="Comoros"/>
    <s v="v23.2"/>
    <s v="Gavi 6.0"/>
    <n v="11846.026900000001"/>
    <n v="3942.1162849488001"/>
    <n v="1.1846026900000001E-2"/>
    <n v="3.9421162849487996E-3"/>
    <s v="Guaranteed"/>
  </r>
  <r>
    <s v="Vaccine"/>
    <s v="Routine"/>
    <x v="0"/>
    <n v="2028"/>
    <s v="Djibouti"/>
    <s v="v23.2"/>
    <s v="Gavi 6.0"/>
    <n v="12556.806699999999"/>
    <n v="4178.6493073683996"/>
    <n v="1.2556806699999999E-2"/>
    <n v="4.1786493073683994E-3"/>
    <s v="Guaranteed"/>
  </r>
  <r>
    <s v="Vaccine"/>
    <s v="Routine"/>
    <x v="0"/>
    <n v="2028"/>
    <s v="Eritrea"/>
    <s v="v23.2"/>
    <s v="Gavi 6.0"/>
    <n v="129737.952"/>
    <n v="43144.239157894699"/>
    <n v="0.12973795200000002"/>
    <n v="4.3144239157894698E-2"/>
    <s v="Guaranteed"/>
  </r>
  <r>
    <s v="Vaccine"/>
    <s v="Routine"/>
    <x v="0"/>
    <n v="2028"/>
    <s v="Ghana"/>
    <s v="v23.2"/>
    <s v="Gavi 6.0"/>
    <n v="338155.0858"/>
    <n v="112531.119326646"/>
    <n v="0.33815508579999998"/>
    <n v="0.112531119326646"/>
    <s v="Guaranteed"/>
  </r>
  <r>
    <s v="Vaccine"/>
    <s v="Routine"/>
    <x v="0"/>
    <n v="2028"/>
    <s v="Gambia"/>
    <s v="v23.2"/>
    <s v="Gavi 6.0"/>
    <n v="74103.241599999994"/>
    <n v="24638.474999999999"/>
    <n v="7.4103241599999994E-2"/>
    <n v="2.4638475E-2"/>
    <s v="Guaranteed"/>
  </r>
  <r>
    <s v="Vaccine"/>
    <s v="Routine"/>
    <x v="0"/>
    <n v="2028"/>
    <s v="Kenya"/>
    <s v="v23.2"/>
    <s v="Gavi 6.0"/>
    <n v="621606.21030000004"/>
    <n v="206857.87547999999"/>
    <n v="0.62160621030000007"/>
    <n v="0.20685787547999998"/>
    <s v="Guaranteed"/>
  </r>
  <r>
    <s v="Vaccine"/>
    <s v="Routine"/>
    <x v="0"/>
    <n v="2028"/>
    <s v="Kyrgyzstan"/>
    <s v="v23.2"/>
    <s v="Gavi 6.0"/>
    <n v="88917.685400000002"/>
    <n v="29589.993145263201"/>
    <n v="8.8917685400000002E-2"/>
    <n v="2.9589993145263199E-2"/>
    <s v="Guaranteed"/>
  </r>
  <r>
    <s v="Vaccine"/>
    <s v="Routine"/>
    <x v="0"/>
    <n v="2028"/>
    <s v="Cambodia"/>
    <s v="v23.2"/>
    <s v="Gavi 6.0"/>
    <n v="386626.00880000001"/>
    <n v="128774.00786111099"/>
    <n v="0.38662600880000003"/>
    <n v="0.12877400786111098"/>
    <s v="Guaranteed"/>
  </r>
  <r>
    <s v="Vaccine"/>
    <s v="Routine"/>
    <x v="0"/>
    <n v="2028"/>
    <s v="Liberia"/>
    <s v="v23.2"/>
    <s v="Gavi 6.0"/>
    <n v="153021.50709999999"/>
    <n v="50877.89"/>
    <n v="0.15302150709999998"/>
    <n v="5.0877890000000002E-2"/>
    <s v="Guaranteed"/>
  </r>
  <r>
    <s v="Vaccine"/>
    <s v="Routine"/>
    <x v="0"/>
    <n v="2028"/>
    <s v="Lesotho"/>
    <s v="v23.2"/>
    <s v="Gavi 6.0"/>
    <n v="42245.4061"/>
    <n v="14058.409989473699"/>
    <n v="4.2245406100000001E-2"/>
    <n v="1.40584099894737E-2"/>
    <s v="Guaranteed"/>
  </r>
  <r>
    <s v="Vaccine"/>
    <s v="Routine"/>
    <x v="0"/>
    <n v="2029"/>
    <s v="Mali"/>
    <s v="v23.2"/>
    <s v="Gavi 6.0"/>
    <n v="507761.07459999999"/>
    <n v="168972.53503352799"/>
    <n v="0.50776107459999997"/>
    <n v="0.16897253503352799"/>
    <s v="Guaranteed"/>
  </r>
  <r>
    <s v="Vaccine"/>
    <s v="Routine"/>
    <x v="0"/>
    <n v="2028"/>
    <s v="Myanmar"/>
    <s v="v23.2"/>
    <s v="Gavi 6.0"/>
    <n v="652992.00619999995"/>
    <n v="217302.428558438"/>
    <n v="0.65299200619999997"/>
    <n v="0.21730242855843801"/>
    <s v="Guaranteed"/>
  </r>
  <r>
    <s v="Vaccine"/>
    <s v="Routine"/>
    <x v="0"/>
    <n v="2029"/>
    <s v="Mozambique"/>
    <s v="v23.2"/>
    <s v="Gavi 6.0"/>
    <n v="1425278.6039"/>
    <n v="473888.73249999998"/>
    <n v="1.4252786039000001"/>
    <n v="0.47388873249999997"/>
    <s v="Guaranteed"/>
  </r>
  <r>
    <s v="Vaccine"/>
    <s v="Routine"/>
    <x v="0"/>
    <n v="2028"/>
    <s v="Mauritania"/>
    <s v="v23.2"/>
    <s v="Gavi 6.0"/>
    <n v="56285.1276"/>
    <n v="18723.985272422698"/>
    <n v="5.6285127599999998E-2"/>
    <n v="1.8723985272422698E-2"/>
    <s v="Guaranteed"/>
  </r>
  <r>
    <s v="Vaccine"/>
    <s v="Routine"/>
    <x v="0"/>
    <n v="2029"/>
    <s v="Malawi"/>
    <s v="v23.2"/>
    <s v="Gavi 6.0"/>
    <n v="516824.36690000002"/>
    <n v="171869.47806315799"/>
    <n v="0.5168243669"/>
    <n v="0.171869478063158"/>
    <s v="Guaranteed"/>
  </r>
  <r>
    <s v="Vaccine"/>
    <s v="Routine"/>
    <x v="0"/>
    <n v="2029"/>
    <s v="Nigeria"/>
    <s v="v23.2"/>
    <s v="Gavi 6.0"/>
    <n v="1399712.9945"/>
    <n v="465795.95175438601"/>
    <n v="1.3997129945"/>
    <n v="0.46579595175438604"/>
    <s v="Guaranteed"/>
  </r>
  <r>
    <s v="Vaccine"/>
    <s v="Routine"/>
    <x v="0"/>
    <n v="2029"/>
    <s v="Rwanda"/>
    <s v="v23.2"/>
    <s v="Gavi 6.0"/>
    <n v="439015.35359999997"/>
    <n v="145967.55249999999"/>
    <n v="0.43901535359999999"/>
    <n v="0.14596755249999999"/>
    <s v="Guaranteed"/>
  </r>
  <r>
    <s v="Vaccine"/>
    <s v="Routine"/>
    <x v="0"/>
    <n v="2029"/>
    <s v="Senegal"/>
    <s v="v23.2"/>
    <s v="Gavi 6.0"/>
    <n v="385067.65480000002"/>
    <n v="128120.229796916"/>
    <n v="0.38506765479999999"/>
    <n v="0.12812022979691601"/>
    <s v="Guaranteed"/>
  </r>
  <r>
    <s v="Vaccine"/>
    <s v="Routine"/>
    <x v="0"/>
    <n v="2028"/>
    <s v="Solomon Islands"/>
    <s v="v23.2"/>
    <s v="Gavi 6.0"/>
    <n v="4848.8022000000001"/>
    <n v="1613.3"/>
    <n v="4.8488022000000002E-3"/>
    <n v="1.6133E-3"/>
    <s v="Guaranteed"/>
  </r>
  <r>
    <s v="Vaccine"/>
    <s v="Routine"/>
    <x v="0"/>
    <n v="2029"/>
    <s v="Sierra Leone"/>
    <s v="v23.2"/>
    <s v="Gavi 6.0"/>
    <n v="209655.54250000001"/>
    <n v="69708.054999999993"/>
    <n v="0.20965554250000001"/>
    <n v="6.9708054999999991E-2"/>
    <s v="Guaranteed"/>
  </r>
  <r>
    <s v="Vaccine"/>
    <s v="Routine"/>
    <x v="0"/>
    <n v="2028"/>
    <s v="Togo"/>
    <s v="v23.2"/>
    <s v="Gavi 6.0"/>
    <n v="223868.90479999999"/>
    <n v="74499.008000000002"/>
    <n v="0.22386890479999999"/>
    <n v="7.4499008000000005E-2"/>
    <s v="Guaranteed"/>
  </r>
  <r>
    <s v="Vaccine"/>
    <s v="Routine"/>
    <x v="0"/>
    <n v="2029"/>
    <s v="Tajikistan"/>
    <s v="v23.2"/>
    <s v="Gavi 6.0"/>
    <n v="243861.26019999999"/>
    <n v="81152.056337462098"/>
    <n v="0.24386126019999999"/>
    <n v="8.11520563374621E-2"/>
    <s v="Guaranteed"/>
  </r>
  <r>
    <s v="Vaccine"/>
    <s v="Routine"/>
    <x v="0"/>
    <n v="2028"/>
    <s v="Timor-Leste"/>
    <s v="v23.2"/>
    <s v="Gavi 6.0"/>
    <n v="10838.8091"/>
    <n v="3606.9347368420999"/>
    <n v="1.0838809100000001E-2"/>
    <n v="3.6069347368420999E-3"/>
    <s v="Guaranteed"/>
  </r>
  <r>
    <s v="Vaccine"/>
    <s v="Routine"/>
    <x v="0"/>
    <n v="2029"/>
    <s v="United Republic of Tanzania"/>
    <s v="v23.2"/>
    <s v="Gavi 6.0"/>
    <n v="1682710.7871999999"/>
    <n v="559971.84830263199"/>
    <n v="1.6827107872"/>
    <n v="0.55997184830263202"/>
    <s v="Guaranteed"/>
  </r>
  <r>
    <s v="Vaccine"/>
    <s v="Routine"/>
    <x v="0"/>
    <n v="2028"/>
    <s v="Uganda"/>
    <s v="v23.2"/>
    <s v="Gavi 6.0"/>
    <n v="2339210.0120999999"/>
    <n v="778714.14193548402"/>
    <n v="2.3392100121000001"/>
    <n v="0.77871414193548405"/>
    <s v="Guaranteed"/>
  </r>
  <r>
    <s v="Vaccine"/>
    <s v="Routine"/>
    <x v="0"/>
    <n v="2029"/>
    <s v="Zambia"/>
    <s v="v23.2"/>
    <s v="Gavi 6.0"/>
    <n v="300606.34779999999"/>
    <n v="100018.14975"/>
    <n v="0.30060634780000001"/>
    <n v="0.10001814974999999"/>
    <s v="Guaranteed"/>
  </r>
  <r>
    <s v="Vaccine"/>
    <s v="Routine"/>
    <x v="0"/>
    <n v="2028"/>
    <s v="Zimbabwe"/>
    <s v="v23.2"/>
    <s v="Gavi 6.0"/>
    <n v="538471.79390000005"/>
    <n v="179192.43637894699"/>
    <n v="0.5384717939"/>
    <n v="0.179192436378947"/>
    <s v="Guaranteed"/>
  </r>
  <r>
    <s v="Vaccine"/>
    <s v="Campaign"/>
    <x v="20"/>
    <n v="2030"/>
    <s v="Cambodia"/>
    <s v="v23.2"/>
    <s v="Gavi 6.0"/>
    <n v="4845000"/>
    <m/>
    <n v="4.8449999999999998"/>
    <n v="0"/>
    <s v="Discretionary"/>
  </r>
  <r>
    <s v="Vaccine"/>
    <s v="Outbreak / Stockpile"/>
    <x v="21"/>
    <n v="2028"/>
    <s v="Global"/>
    <s v="v23.2"/>
    <s v="Gavi 6.0"/>
    <n v="333333.3333"/>
    <m/>
    <n v="0.33333333329999998"/>
    <n v="0"/>
    <s v="Outbreak / Stockpile"/>
  </r>
  <r>
    <s v="Vaccine"/>
    <s v="Outbreak / Stockpile"/>
    <x v="21"/>
    <n v="2029"/>
    <s v="Global"/>
    <s v="v23.2"/>
    <s v="Gavi 6.0"/>
    <n v="333333.3333"/>
    <m/>
    <n v="0.33333333329999998"/>
    <n v="0"/>
    <s v="Outbreak / Stockpile"/>
  </r>
  <r>
    <s v="Vaccine"/>
    <s v="Outbreak / Stockpile"/>
    <x v="21"/>
    <n v="2030"/>
    <s v="Global"/>
    <s v="v23.2"/>
    <s v="Gavi 6.0"/>
    <n v="333333.3333"/>
    <m/>
    <n v="0.33333333329999998"/>
    <n v="0"/>
    <s v="Outbreak / Stockpile"/>
  </r>
  <r>
    <s v="Vaccine"/>
    <s v="Outbreak / Stockpile"/>
    <x v="22"/>
    <n v="2026"/>
    <s v="Global"/>
    <s v="v23.2"/>
    <s v="Gavi 6.0"/>
    <n v="26410909.0909"/>
    <n v="400000"/>
    <n v="26.410909090899999"/>
    <n v="0.4"/>
    <s v="Outbreak / Stockpile"/>
  </r>
  <r>
    <s v="Vaccine"/>
    <s v="Outbreak / Stockpile"/>
    <x v="22"/>
    <n v="2029"/>
    <s v="Global"/>
    <s v="v23.2"/>
    <s v="Gavi 6.0"/>
    <n v="3300000"/>
    <n v="50000"/>
    <n v="3.3"/>
    <n v="0.05"/>
    <s v="Outbreak / Stockpile"/>
  </r>
  <r>
    <s v="Vaccine"/>
    <s v="Outbreak / Stockpile"/>
    <x v="22"/>
    <n v="2030"/>
    <s v="Global"/>
    <s v="v23.2"/>
    <s v="Gavi 6.0"/>
    <n v="3300000"/>
    <n v="50000"/>
    <n v="3.3"/>
    <n v="0.05"/>
    <s v="Outbreak / Stockpile"/>
  </r>
  <r>
    <s v="Vaccine"/>
    <s v="Outbreak / Stockpile"/>
    <x v="3"/>
    <n v="2029"/>
    <s v="Global"/>
    <s v="v23.2"/>
    <s v="Gavi 6.0"/>
    <n v="6040000"/>
    <n v="8000000"/>
    <n v="6.04"/>
    <n v="8"/>
    <s v="Outbreak / Stockpile"/>
  </r>
  <r>
    <s v="Vaccine"/>
    <s v="Outbreak / Stockpile"/>
    <x v="3"/>
    <n v="2030"/>
    <s v="Global"/>
    <s v="v23.2"/>
    <s v="Gavi 6.0"/>
    <n v="6040000"/>
    <n v="8000000"/>
    <n v="6.04"/>
    <n v="8"/>
    <s v="Outbreak / Stockpile"/>
  </r>
  <r>
    <s v="Vaccine"/>
    <s v="Outbreak / Stockpile"/>
    <x v="3"/>
    <n v="2026"/>
    <s v="Global"/>
    <s v="v23.2"/>
    <s v="Gavi 6.0"/>
    <n v="6040000"/>
    <n v="8000000"/>
    <n v="6.04"/>
    <n v="8"/>
    <s v="Outbreak / Stockpile"/>
  </r>
  <r>
    <s v="Vaccine"/>
    <s v="Outbreak / Stockpile"/>
    <x v="3"/>
    <n v="2027"/>
    <s v="Global"/>
    <s v="v23.2"/>
    <s v="Gavi 6.0"/>
    <n v="6040000"/>
    <n v="8000000"/>
    <n v="6.04"/>
    <n v="8"/>
    <s v="Outbreak / Stockpile"/>
  </r>
  <r>
    <s v="Vaccine"/>
    <s v="Outbreak / Stockpile"/>
    <x v="3"/>
    <n v="2028"/>
    <s v="Global"/>
    <s v="v23.2"/>
    <s v="Gavi 6.0"/>
    <n v="6040000"/>
    <n v="8000000"/>
    <n v="6.04"/>
    <n v="8"/>
    <s v="Outbreak / Stockpile"/>
  </r>
  <r>
    <s v="Vaccine"/>
    <s v="Routine"/>
    <x v="10"/>
    <n v="2028"/>
    <s v="Afghanistan"/>
    <s v="v23.2"/>
    <s v="Gavi 6.0"/>
    <n v="185800.75390000001"/>
    <n v="404410.742611964"/>
    <n v="0.1858007539"/>
    <n v="0.40441074261196402"/>
    <s v="Discretionary"/>
  </r>
  <r>
    <s v="Vaccine"/>
    <s v="Routine"/>
    <x v="10"/>
    <n v="2028"/>
    <s v="Solomon Islands"/>
    <s v="v23.2"/>
    <s v="Gavi 6.0"/>
    <n v="1962.1389999999999"/>
    <n v="4858.7199567435"/>
    <n v="1.9621389999999999E-3"/>
    <n v="4.8587199567434996E-3"/>
    <s v="Discretionary"/>
  </r>
  <r>
    <s v="Vaccine"/>
    <s v="Routine"/>
    <x v="10"/>
    <n v="2029"/>
    <s v="Mali"/>
    <s v="v23.2"/>
    <s v="Gavi 6.0"/>
    <n v="98005.946400000001"/>
    <n v="242685.887382724"/>
    <n v="9.8005946400000002E-2"/>
    <n v="0.24268588738272401"/>
    <s v="Discretionary"/>
  </r>
  <r>
    <s v="Vaccine"/>
    <s v="Routine"/>
    <x v="10"/>
    <n v="2028"/>
    <s v="Somalia"/>
    <s v="v23.2"/>
    <s v="Gavi 6.0"/>
    <n v="53429.139199999998"/>
    <n v="116292.95042341"/>
    <n v="5.3429139199999996E-2"/>
    <n v="0.11629295042341001"/>
    <s v="Discretionary"/>
  </r>
  <r>
    <s v="Vaccine"/>
    <s v="Routine"/>
    <x v="11"/>
    <n v="2026"/>
    <s v="Kenya"/>
    <s v="v23.2"/>
    <s v="Gavi 6.0"/>
    <n v="3413679.9008999998"/>
    <n v="812200"/>
    <n v="3.4136799008999996"/>
    <n v="0.81220000000000003"/>
    <s v="Discretionary"/>
  </r>
  <r>
    <s v="Vaccine"/>
    <s v="Routine"/>
    <x v="11"/>
    <n v="2026"/>
    <s v="Malawi"/>
    <s v="v23.2"/>
    <s v="Gavi 6.0"/>
    <n v="3396583.0071"/>
    <n v="803750"/>
    <n v="3.3965830070999998"/>
    <n v="0.80374999999999996"/>
    <s v="Discretionary"/>
  </r>
  <r>
    <s v="Vaccine"/>
    <s v="Routine"/>
    <x v="11"/>
    <n v="2027"/>
    <s v="Malawi"/>
    <s v="v23.2"/>
    <s v="Gavi 6.0"/>
    <n v="3628948.2563999998"/>
    <n v="1113045.7819013"/>
    <n v="3.6289482563999997"/>
    <n v="1.1130457819013"/>
    <s v="Discretionary"/>
  </r>
  <r>
    <s v="Vaccine"/>
    <s v="Routine"/>
    <x v="1"/>
    <n v="2028"/>
    <s v="Cameroon"/>
    <s v="v23.2"/>
    <s v="Gavi 6.0"/>
    <n v="155032.77770000001"/>
    <n v="163389.77069589999"/>
    <n v="0.15503277770000001"/>
    <n v="0.16338977069589999"/>
    <s v="Discretionary"/>
  </r>
  <r>
    <s v="Vaccine"/>
    <s v="Routine"/>
    <x v="0"/>
    <n v="2029"/>
    <s v="Afghanistan"/>
    <s v="v23.2"/>
    <s v="Gavi 6.0"/>
    <n v="1044829.2134"/>
    <n v="347457.01456864201"/>
    <n v="1.0448292133999999"/>
    <n v="0.34745701456864203"/>
    <s v="Guaranteed"/>
  </r>
  <r>
    <s v="Vaccine"/>
    <s v="Routine"/>
    <x v="0"/>
    <n v="2027"/>
    <s v="Central African Republic"/>
    <s v="v23.2"/>
    <s v="Gavi 6.0"/>
    <n v="155151.76790000001"/>
    <n v="51290.889234035298"/>
    <n v="0.15515176790000001"/>
    <n v="5.1290889234035297E-2"/>
    <s v="Guaranteed"/>
  </r>
  <r>
    <s v="Vaccine"/>
    <s v="Routine"/>
    <x v="0"/>
    <n v="2028"/>
    <s v="Congo, the Democratic Republic of the"/>
    <s v="v23.2"/>
    <s v="Gavi 6.0"/>
    <n v="4973209.5724999998"/>
    <n v="1653836.3674261"/>
    <n v="4.9732095725000001"/>
    <n v="1.6538363674260999"/>
    <s v="Guaranteed"/>
  </r>
  <r>
    <s v="Vaccine"/>
    <s v="Routine"/>
    <x v="0"/>
    <n v="2028"/>
    <s v="Congo"/>
    <s v="v23.2"/>
    <s v="Gavi 6.0"/>
    <n v="111296.7452"/>
    <n v="37037.2880394737"/>
    <n v="0.11129674520000001"/>
    <n v="3.7037288039473704E-2"/>
    <s v="Guaranteed"/>
  </r>
  <r>
    <s v="Vaccine"/>
    <s v="Routine"/>
    <x v="0"/>
    <n v="2028"/>
    <s v="Guinea"/>
    <s v="v23.2"/>
    <s v="Gavi 6.0"/>
    <n v="386055.59029999998"/>
    <n v="128471.430809549"/>
    <n v="0.38605559029999997"/>
    <n v="0.12847143080954901"/>
    <s v="Guaranteed"/>
  </r>
  <r>
    <s v="Vaccine"/>
    <s v="Routine"/>
    <x v="0"/>
    <n v="2026"/>
    <s v="Guinea-Bissau"/>
    <s v="v23.2"/>
    <s v="Gavi 6.0"/>
    <n v="93439.925000000003"/>
    <n v="30890"/>
    <n v="9.3439925000000007E-2"/>
    <n v="3.0890000000000001E-2"/>
    <s v="Guaranteed"/>
  </r>
  <r>
    <s v="Vaccine"/>
    <s v="Routine"/>
    <x v="0"/>
    <n v="2027"/>
    <s v="Haiti"/>
    <s v="v23.2"/>
    <s v="Gavi 6.0"/>
    <n v="296235.25349999999"/>
    <n v="97998.493862500007"/>
    <n v="0.29623525350000002"/>
    <n v="9.7998493862500008E-2"/>
    <s v="Guaranteed"/>
  </r>
  <r>
    <s v="Vaccine"/>
    <s v="Routine"/>
    <x v="0"/>
    <n v="2029"/>
    <s v="Niger"/>
    <s v="v23.2"/>
    <s v="Gavi 6.0"/>
    <n v="883086.24239999999"/>
    <n v="293669.53511764901"/>
    <n v="0.8830862424"/>
    <n v="0.29366953511764898"/>
    <s v="Guaranteed"/>
  </r>
  <r>
    <s v="Vaccine"/>
    <s v="Routine"/>
    <x v="0"/>
    <n v="2026"/>
    <s v="Pakistan"/>
    <s v="v23.2"/>
    <s v="Gavi 6.0"/>
    <n v="3562465.0408999999"/>
    <n v="1178510"/>
    <n v="3.5624650408999998"/>
    <n v="1.1785099999999999"/>
    <s v="Guaranteed"/>
  </r>
  <r>
    <s v="Vaccine"/>
    <s v="Routine"/>
    <x v="0"/>
    <n v="2026"/>
    <s v="Papua New Guinea"/>
    <s v="v23.2"/>
    <s v="Gavi 6.0"/>
    <n v="62180.124000000003"/>
    <n v="20570"/>
    <n v="6.2180124000000003E-2"/>
    <n v="2.0570000000000001E-2"/>
    <s v="Guaranteed"/>
  </r>
  <r>
    <s v="Vaccine"/>
    <s v="Routine"/>
    <x v="0"/>
    <n v="2027"/>
    <s v="Chad"/>
    <s v="v23.2"/>
    <s v="Gavi 6.0"/>
    <n v="550441.57680000004"/>
    <n v="181832.625959556"/>
    <n v="0.55044157680000005"/>
    <n v="0.18183262595955599"/>
    <s v="Guaranteed"/>
  </r>
  <r>
    <s v="Vaccine"/>
    <s v="Routine"/>
    <x v="0"/>
    <n v="2028"/>
    <s v="Yemen"/>
    <s v="v23.2"/>
    <s v="Gavi 6.0"/>
    <n v="1000371.5674000001"/>
    <n v="332672.66439094802"/>
    <n v="1.0003715674"/>
    <n v="0.332672664390948"/>
    <s v="Guaranteed"/>
  </r>
  <r>
    <s v="Vaccine"/>
    <s v="Routine"/>
    <x v="0"/>
    <n v="2029"/>
    <s v="Republic of Syria"/>
    <s v="v23.2"/>
    <s v="Gavi 6.0"/>
    <n v="689875.8077"/>
    <n v="229417.57894736799"/>
    <n v="0.68987580770000001"/>
    <n v="0.229417578947368"/>
    <s v="Guaranteed"/>
  </r>
  <r>
    <s v="Vaccine"/>
    <s v="Routine"/>
    <x v="3"/>
    <n v="2027"/>
    <s v="Central African Republic"/>
    <s v="v23.2"/>
    <s v="Gavi 6.0"/>
    <n v="106300.78599999999"/>
    <n v="206718.74282307801"/>
    <n v="0.10630078599999999"/>
    <n v="0.20671874282307801"/>
    <s v="Guaranteed"/>
  </r>
  <r>
    <s v="Vaccine"/>
    <s v="Routine"/>
    <x v="4"/>
    <n v="2028"/>
    <s v="Niger"/>
    <s v="v23.2"/>
    <s v="Gavi 6.0"/>
    <n v="2525654.6724999999"/>
    <n v="2023025.94444335"/>
    <n v="2.5256546725"/>
    <n v="2.0230259444433498"/>
    <s v="Guaranteed"/>
  </r>
  <r>
    <s v="Vaccine"/>
    <s v="Routine"/>
    <x v="4"/>
    <n v="2027"/>
    <s v="Somalia"/>
    <s v="v23.2"/>
    <s v="Gavi 6.0"/>
    <n v="1881675.4831999999"/>
    <n v="1510459.91642628"/>
    <n v="1.8816754832"/>
    <n v="1.51045991642628"/>
    <s v="Guaranteed"/>
  </r>
  <r>
    <s v="Vaccine"/>
    <s v="Routine"/>
    <x v="4"/>
    <n v="2029"/>
    <s v="Chad"/>
    <s v="v23.2"/>
    <s v="Gavi 6.0"/>
    <n v="1589820.8568"/>
    <n v="1256604.0211091901"/>
    <n v="1.5898208567999998"/>
    <n v="1.25660402110919"/>
    <s v="Guaranteed"/>
  </r>
  <r>
    <s v="Vaccine"/>
    <s v="Routine"/>
    <x v="4"/>
    <n v="2029"/>
    <s v="South Sudan"/>
    <s v="v23.2"/>
    <s v="Gavi 6.0"/>
    <n v="1430073.0523999999"/>
    <n v="1130338.3902559499"/>
    <n v="1.4300730523999998"/>
    <n v="1.1303383902559498"/>
    <s v="Guaranteed"/>
  </r>
  <r>
    <s v="Vaccine"/>
    <s v="Routine"/>
    <x v="4"/>
    <n v="2027"/>
    <s v="Djibouti"/>
    <s v="v23.2"/>
    <s v="Gavi 6.0"/>
    <n v="40152.733200000002"/>
    <n v="32611.447796483499"/>
    <n v="4.0152733200000006E-2"/>
    <n v="3.2611447796483499E-2"/>
    <s v="Guaranteed"/>
  </r>
  <r>
    <s v="Vaccine"/>
    <s v="Routine"/>
    <x v="4"/>
    <n v="2029"/>
    <s v="Central African Republic"/>
    <s v="v23.2"/>
    <s v="Gavi 6.0"/>
    <n v="296327.31439999997"/>
    <n v="234218.90157345301"/>
    <n v="0.29632731439999999"/>
    <n v="0.23421890157345301"/>
    <s v="Guaranteed"/>
  </r>
  <r>
    <s v="Vaccine"/>
    <s v="Routine"/>
    <x v="4"/>
    <n v="2028"/>
    <s v="Afghanistan"/>
    <s v="v23.2"/>
    <s v="Gavi 6.0"/>
    <n v="2127715.6809"/>
    <n v="1704280.50666002"/>
    <n v="2.1277156809000002"/>
    <n v="1.70428050666002"/>
    <s v="Guaranteed"/>
  </r>
  <r>
    <s v="Vaccine"/>
    <s v="Routine"/>
    <x v="4"/>
    <n v="2028"/>
    <s v="Liberia"/>
    <s v="v23.2"/>
    <s v="Gavi 6.0"/>
    <n v="368228.72700000001"/>
    <n v="294947.79171040299"/>
    <n v="0.36822872700000003"/>
    <n v="0.29494779171040297"/>
    <s v="Guaranteed"/>
  </r>
  <r>
    <s v="Vaccine"/>
    <s v="Routine"/>
    <x v="4"/>
    <n v="2028"/>
    <s v="Madagascar"/>
    <s v="v23.2"/>
    <s v="Gavi 6.0"/>
    <n v="1771696.4183"/>
    <n v="1419112.3825788"/>
    <n v="1.7716964182999999"/>
    <n v="1.4191123825787999"/>
    <s v="Guaranteed"/>
  </r>
  <r>
    <s v="Vaccine"/>
    <s v="Routine"/>
    <x v="4"/>
    <n v="2028"/>
    <s v="Ethiopia"/>
    <s v="v23.2"/>
    <s v="Gavi 6.0"/>
    <n v="7791150.8737000003"/>
    <n v="6240639.5166826202"/>
    <n v="7.7911508737000004"/>
    <n v="6.2406395166826201"/>
    <s v="Guaranteed"/>
  </r>
  <r>
    <s v="Vaccine"/>
    <s v="Routine"/>
    <x v="4"/>
    <n v="2028"/>
    <s v="Guinea"/>
    <s v="v23.2"/>
    <s v="Gavi 6.0"/>
    <n v="1629002.3576"/>
    <n v="1319779.98030307"/>
    <n v="1.6290023575999999"/>
    <n v="1.3197799803030701"/>
    <s v="Guaranteed"/>
  </r>
  <r>
    <s v="Vaccine"/>
    <s v="Routine"/>
    <x v="4"/>
    <n v="2026"/>
    <s v="Congo, the Democratic Republic of the"/>
    <s v="v23.2"/>
    <s v="Gavi 6.0"/>
    <n v="5178852.5416999999"/>
    <n v="4115874.9004067802"/>
    <n v="5.1788525416999995"/>
    <n v="4.1158749004067801"/>
    <s v="Guaranteed"/>
  </r>
  <r>
    <s v="Vaccine"/>
    <s v="Routine"/>
    <x v="7"/>
    <n v="2028"/>
    <s v="Guinea"/>
    <s v="v23.2"/>
    <s v="Gavi 6.0"/>
    <n v="1202951.1676"/>
    <n v="560118.88141043996"/>
    <n v="1.2029511676"/>
    <n v="0.56011888141043997"/>
    <s v="Guaranteed"/>
  </r>
  <r>
    <s v="Vaccine"/>
    <s v="Routine"/>
    <x v="7"/>
    <n v="2027"/>
    <s v="Republic of Syria"/>
    <s v="v23.2"/>
    <s v="Gavi 6.0"/>
    <n v="6157822.3640000001"/>
    <n v="2508293.7000000002"/>
    <n v="6.1578223640000003"/>
    <n v="2.5082937000000003"/>
    <s v="Guaranteed"/>
  </r>
  <r>
    <s v="Vaccine"/>
    <s v="Routine"/>
    <x v="12"/>
    <n v="2028"/>
    <s v="Central African Republic"/>
    <s v="v23.2"/>
    <s v="Gavi 6.0"/>
    <n v="428165.67180000001"/>
    <n v="446005.908105265"/>
    <n v="0.42816567180000004"/>
    <n v="0.44600590810526503"/>
    <s v="Guaranteed"/>
  </r>
  <r>
    <s v="Vaccine"/>
    <s v="Routine"/>
    <x v="12"/>
    <n v="2027"/>
    <s v="Comoros"/>
    <s v="v23.2"/>
    <s v="Gavi 6.0"/>
    <n v="15240.1798"/>
    <n v="15119.225941152699"/>
    <n v="1.52401798E-2"/>
    <n v="1.5119225941152699E-2"/>
    <s v="Guaranteed"/>
  </r>
  <r>
    <s v="Vaccine"/>
    <s v="Routine"/>
    <x v="12"/>
    <n v="2027"/>
    <s v="Guinea"/>
    <s v="v23.2"/>
    <s v="Gavi 6.0"/>
    <n v="207721.9319"/>
    <n v="206073.34514774199"/>
    <n v="0.20772193189999999"/>
    <n v="0.20607334514774198"/>
    <s v="Guaranteed"/>
  </r>
  <r>
    <s v="Vaccine"/>
    <s v="Routine"/>
    <x v="12"/>
    <n v="2027"/>
    <s v="Republic of Syria"/>
    <s v="v23.2"/>
    <s v="Gavi 6.0"/>
    <n v="1369008.4811"/>
    <n v="1358143.3343750001"/>
    <n v="1.3690084811000001"/>
    <n v="1.358143334375"/>
    <s v="Guaranteed"/>
  </r>
  <r>
    <s v="Vaccine"/>
    <s v="Routine"/>
    <x v="9"/>
    <n v="2026"/>
    <s v="Ethiopia"/>
    <s v="v23.2"/>
    <s v="Gavi 6.0"/>
    <n v="2117737.9909999999"/>
    <n v="1060852.1966911801"/>
    <n v="2.1177379909999998"/>
    <n v="1.0608521966911801"/>
    <s v="Guaranteed"/>
  </r>
  <r>
    <s v="Vaccine"/>
    <s v="Routine"/>
    <x v="9"/>
    <n v="2028"/>
    <s v="South Sudan"/>
    <s v="v23.2"/>
    <s v="Gavi 6.0"/>
    <n v="675166.36140000005"/>
    <n v="438222.22433798702"/>
    <n v="0.67516636140000008"/>
    <n v="0.43822222433798702"/>
    <s v="Guaranteed"/>
  </r>
  <r>
    <s v="Vaccine"/>
    <s v="Routine"/>
    <x v="20"/>
    <n v="2030"/>
    <s v="Cambodia"/>
    <s v="v23.2"/>
    <s v="Gavi 6.0"/>
    <n v="800000"/>
    <m/>
    <n v="0.8"/>
    <n v="0"/>
    <s v="Discretionary"/>
  </r>
  <r>
    <s v="Vaccine"/>
    <s v="Routine"/>
    <x v="19"/>
    <n v="2028"/>
    <s v="Bangladesh"/>
    <s v="v23.2"/>
    <s v="Gavi 6.0"/>
    <n v="183380.50260000001"/>
    <n v="309848.59999999998"/>
    <n v="0.18338050259999999"/>
    <n v="0.30984859999999997"/>
    <s v="Discretionary"/>
  </r>
  <r>
    <s v="Vaccine"/>
    <s v="Routine"/>
    <x v="14"/>
    <n v="2030"/>
    <s v="Burundi"/>
    <s v="v23.2"/>
    <s v="Gavi 6.0"/>
    <n v="43630.199399999998"/>
    <n v="97795.424100404605"/>
    <n v="4.36301994E-2"/>
    <n v="9.7795424100404607E-2"/>
    <s v="Guaranteed"/>
  </r>
  <r>
    <s v="Vaccine"/>
    <s v="Routine"/>
    <x v="14"/>
    <n v="2029"/>
    <s v="Congo, the Democratic Republic of the"/>
    <s v="v23.2"/>
    <s v="Gavi 6.0"/>
    <n v="61668.501100000001"/>
    <n v="138227.58758887899"/>
    <n v="6.1668501100000002E-2"/>
    <n v="0.13822758758887899"/>
    <s v="Guaranteed"/>
  </r>
  <r>
    <s v="Vaccine"/>
    <s v="Routine"/>
    <x v="14"/>
    <n v="2026"/>
    <s v="Ghana"/>
    <s v="v23.2"/>
    <s v="Gavi 6.0"/>
    <n v="118201.1073"/>
    <n v="352200"/>
    <n v="0.1182011073"/>
    <n v="0.35220000000000001"/>
    <s v="Guaranteed"/>
  </r>
  <r>
    <s v="Vaccine"/>
    <s v="Routine"/>
    <x v="14"/>
    <n v="2028"/>
    <s v="Guinea-Bissau"/>
    <s v="v23.2"/>
    <s v="Gavi 6.0"/>
    <n v="4875.4296999999997"/>
    <n v="10928.0892628364"/>
    <n v="4.8754296999999995E-3"/>
    <n v="1.09280892628364E-2"/>
    <s v="Guaranteed"/>
  </r>
  <r>
    <s v="Vaccine"/>
    <s v="Routine"/>
    <x v="14"/>
    <n v="2030"/>
    <s v="Haiti"/>
    <s v="v23.2"/>
    <s v="Gavi 6.0"/>
    <n v="1601.0884000000001"/>
    <n v="4733.5292941439002"/>
    <n v="1.6010884E-3"/>
    <n v="4.7335292941439004E-3"/>
    <s v="Guaranteed"/>
  </r>
  <r>
    <s v="Vaccine"/>
    <s v="Routine"/>
    <x v="14"/>
    <n v="2027"/>
    <s v="Nepal"/>
    <s v="v23.2"/>
    <s v="Gavi 6.0"/>
    <n v="3989.7721000000001"/>
    <n v="11854.3773301405"/>
    <n v="3.9897721000000004E-3"/>
    <n v="1.1854377330140499E-2"/>
    <s v="Guaranteed"/>
  </r>
  <r>
    <s v="Vaccine"/>
    <s v="Routine"/>
    <x v="14"/>
    <n v="2030"/>
    <s v="Niger"/>
    <s v="v23.2"/>
    <s v="Gavi 6.0"/>
    <n v="9894.5959999999995"/>
    <n v="22178.358668395202"/>
    <n v="9.8945960000000003E-3"/>
    <n v="2.2178358668395202E-2"/>
    <s v="Guaranteed"/>
  </r>
  <r>
    <s v="Vaccine"/>
    <s v="Routine"/>
    <x v="14"/>
    <n v="2030"/>
    <s v="Mali"/>
    <s v="v23.2"/>
    <s v="Gavi 6.0"/>
    <n v="9135.0229999999992"/>
    <n v="27007.1905061982"/>
    <n v="9.1350229999999991E-3"/>
    <n v="2.7007190506198198E-2"/>
    <s v="Guaranteed"/>
  </r>
  <r>
    <s v="Vaccine"/>
    <s v="Routine"/>
    <x v="14"/>
    <n v="2028"/>
    <s v="Togo"/>
    <s v="v23.2"/>
    <s v="Gavi 6.0"/>
    <n v="2905.0016000000001"/>
    <n v="8588.4766182627009"/>
    <n v="2.9050016000000001E-3"/>
    <n v="8.5884766182627009E-3"/>
    <s v="Guaranteed"/>
  </r>
  <r>
    <s v="Vaccine"/>
    <s v="Routine"/>
    <x v="14"/>
    <n v="2026"/>
    <s v="Sierra Leone"/>
    <s v="v23.2"/>
    <s v="Gavi 6.0"/>
    <n v="28862.280599999998"/>
    <n v="86000"/>
    <n v="2.8862280599999998E-2"/>
    <n v="8.5999999999999993E-2"/>
    <s v="Guaranteed"/>
  </r>
  <r>
    <s v="Vaccine"/>
    <s v="Routine"/>
    <x v="14"/>
    <n v="2027"/>
    <s v="United Republic of Tanzania"/>
    <s v="v23.2"/>
    <s v="Gavi 6.0"/>
    <n v="19708.8547"/>
    <n v="58558.782764815303"/>
    <n v="1.97088547E-2"/>
    <n v="5.8558782764815305E-2"/>
    <s v="Guaranteed"/>
  </r>
  <r>
    <s v="Vaccine"/>
    <s v="Routine"/>
    <x v="14"/>
    <n v="2027"/>
    <s v="Cameroon"/>
    <s v="v23.2"/>
    <s v="Gavi 6.0"/>
    <n v="86454.327499999999"/>
    <n v="256872.36809910799"/>
    <n v="8.6454327499999997E-2"/>
    <n v="0.25687236809910796"/>
    <s v="Guaranteed"/>
  </r>
  <r>
    <s v="Vaccine"/>
    <s v="Routine"/>
    <x v="14"/>
    <n v="2030"/>
    <s v="Malawi"/>
    <s v="v23.2"/>
    <s v="Gavi 6.0"/>
    <n v="11679.6656"/>
    <n v="26179.5240006036"/>
    <n v="1.16796656E-2"/>
    <n v="2.61795240006036E-2"/>
    <s v="Guaranteed"/>
  </r>
  <r>
    <s v="Vaccine"/>
    <s v="Routine"/>
    <x v="14"/>
    <n v="2028"/>
    <s v="Zambia"/>
    <s v="v23.2"/>
    <s v="Gavi 6.0"/>
    <n v="7794.7088000000003"/>
    <n v="23044.625643946601"/>
    <n v="7.7947088000000003E-3"/>
    <n v="2.30446256439466E-2"/>
    <s v="Guaranteed"/>
  </r>
  <r>
    <s v="Vaccine"/>
    <s v="Routine"/>
    <x v="14"/>
    <n v="2026"/>
    <s v="Mozambique"/>
    <s v="v23.2"/>
    <s v="Gavi 6.0"/>
    <n v="202136.6465"/>
    <n v="602300"/>
    <n v="0.20213664649999999"/>
    <n v="0.60229999999999995"/>
    <s v="Guaranteed"/>
  </r>
  <r>
    <s v="Vaccine"/>
    <s v="Routine"/>
    <x v="14"/>
    <n v="2026"/>
    <s v="Liberia"/>
    <s v="v23.2"/>
    <s v="Gavi 6.0"/>
    <n v="12920.904699999999"/>
    <n v="38500"/>
    <n v="1.2920904699999999E-2"/>
    <n v="3.85E-2"/>
    <s v="Guaranteed"/>
  </r>
  <r>
    <s v="Vaccine"/>
    <s v="Routine"/>
    <x v="14"/>
    <n v="2028"/>
    <s v="Kenya"/>
    <s v="v23.2"/>
    <s v="Gavi 6.0"/>
    <n v="15585.1522"/>
    <n v="46076.641145563997"/>
    <n v="1.5585152200000001E-2"/>
    <n v="4.6076641145564E-2"/>
    <s v="Guaranteed"/>
  </r>
  <r>
    <s v="Vaccine"/>
    <s v="Routine"/>
    <x v="14"/>
    <n v="2026"/>
    <s v="Lesotho"/>
    <s v="v23.2"/>
    <s v="Gavi 6.0"/>
    <n v="2852.6673000000001"/>
    <n v="8500"/>
    <n v="2.8526673000000002E-3"/>
    <n v="8.5000000000000006E-3"/>
    <s v="Guaranteed"/>
  </r>
  <r>
    <s v="Vaccine"/>
    <s v="Routine"/>
    <x v="14"/>
    <n v="2028"/>
    <s v="Zimbabwe"/>
    <s v="v23.2"/>
    <s v="Gavi 6.0"/>
    <n v="4909.6679999999997"/>
    <n v="14515.1622097907"/>
    <n v="4.9096679999999998E-3"/>
    <n v="1.45151622097907E-2"/>
    <s v="Guaranteed"/>
  </r>
  <r>
    <s v="Vaccine"/>
    <s v="Routine"/>
    <x v="14"/>
    <n v="2030"/>
    <s v="Central African Republic"/>
    <s v="v23.2"/>
    <s v="Gavi 6.0"/>
    <n v="20978.6646"/>
    <n v="47022.874724542598"/>
    <n v="2.0978664599999999E-2"/>
    <n v="4.7022874724542599E-2"/>
    <s v="Guaranteed"/>
  </r>
  <r>
    <s v="Vaccine"/>
    <s v="Routine"/>
    <x v="14"/>
    <n v="2026"/>
    <s v="Congo"/>
    <s v="v23.2"/>
    <s v="Gavi 6.0"/>
    <n v="20161.496200000001"/>
    <n v="60000"/>
    <n v="2.01614962E-2"/>
    <n v="0.06"/>
    <s v="Guaranteed"/>
  </r>
  <r>
    <s v="Vaccine"/>
    <s v="Routine"/>
    <x v="14"/>
    <n v="2026"/>
    <s v="Rwanda"/>
    <s v="v23.2"/>
    <s v="Gavi 6.0"/>
    <n v="50325.790699999998"/>
    <n v="101700"/>
    <n v="5.0325790699999998E-2"/>
    <n v="0.1017"/>
    <s v="Guaranteed"/>
  </r>
  <r>
    <s v="Vaccine"/>
    <s v="Routine"/>
    <x v="14"/>
    <n v="2028"/>
    <s v="Somalia"/>
    <s v="v23.2"/>
    <s v="Gavi 6.0"/>
    <n v="27005.0645"/>
    <n v="60530.8196855516"/>
    <n v="2.7005064500000002E-2"/>
    <n v="6.0530819685551601E-2"/>
    <s v="Guaranteed"/>
  </r>
  <r>
    <s v="Vaccine"/>
    <s v="Routine"/>
    <x v="14"/>
    <n v="2030"/>
    <s v="South Sudan"/>
    <s v="v23.2"/>
    <s v="Gavi 6.0"/>
    <n v="3746.4742000000001"/>
    <n v="8397.5786137917003"/>
    <n v="3.7464742000000001E-3"/>
    <n v="8.3975786137917008E-3"/>
    <s v="Guaranteed"/>
  </r>
  <r>
    <s v="Vaccine"/>
    <s v="Routine"/>
    <x v="14"/>
    <n v="2027"/>
    <s v="Chad"/>
    <s v="v23.2"/>
    <s v="Gavi 6.0"/>
    <n v="49668.5337"/>
    <n v="107032.767830032"/>
    <n v="4.9668533700000003E-2"/>
    <n v="0.107032767830032"/>
    <s v="Guaranteed"/>
  </r>
  <r>
    <s v="Vaccine"/>
    <s v="Routine"/>
    <x v="14"/>
    <n v="2028"/>
    <s v="Yemen"/>
    <s v="v23.2"/>
    <s v="Gavi 6.0"/>
    <n v="13162.6253"/>
    <n v="29503.5213290498"/>
    <n v="1.31626253E-2"/>
    <n v="2.9503521329049799E-2"/>
    <s v="Guaranteed"/>
  </r>
  <r>
    <s v="Vaccine"/>
    <s v="Routine"/>
    <x v="10"/>
    <n v="2029"/>
    <s v="Niger"/>
    <s v="v23.2"/>
    <s v="Gavi 6.0"/>
    <n v="29700.0946"/>
    <n v="14905.290358386301"/>
    <n v="2.9700094600000001E-2"/>
    <n v="1.4905290358386301E-2"/>
    <s v="Discretionary"/>
  </r>
  <r>
    <s v="Vaccine"/>
    <s v="Routine"/>
    <x v="10"/>
    <n v="2029"/>
    <s v="Mali"/>
    <s v="v23.2"/>
    <s v="Gavi 6.0"/>
    <n v="3934.2258999999999"/>
    <n v="15825.545868403"/>
    <n v="3.9342259000000003E-3"/>
    <n v="1.5825545868402999E-2"/>
    <s v="Discretionary"/>
  </r>
  <r>
    <s v="Vaccine"/>
    <s v="Routine"/>
    <x v="10"/>
    <n v="2029"/>
    <s v="Niger"/>
    <s v="v23.2"/>
    <s v="Gavi 6.0"/>
    <n v="29700.0946"/>
    <n v="14905.290358386301"/>
    <n v="2.9700094600000001E-2"/>
    <n v="1.4905290358386301E-2"/>
    <s v="Discretionary"/>
  </r>
  <r>
    <s v="Vaccine"/>
    <s v="Routine"/>
    <x v="10"/>
    <n v="2029"/>
    <s v="Mali"/>
    <s v="v23.2"/>
    <s v="Gavi 6.0"/>
    <n v="3934.2258999999999"/>
    <n v="15825.545868403"/>
    <n v="3.9342259000000003E-3"/>
    <n v="1.5825545868402999E-2"/>
    <s v="Discretionary"/>
  </r>
  <r>
    <s v="Vaccine"/>
    <s v="Routine"/>
    <x v="10"/>
    <n v="2029"/>
    <s v="Yemen"/>
    <s v="v23.2"/>
    <s v="Gavi 6.0"/>
    <n v="38250.006300000001"/>
    <n v="19196.1493135686"/>
    <n v="3.82500063E-2"/>
    <n v="1.9196149313568601E-2"/>
    <s v="Discretionary"/>
  </r>
  <r>
    <s v="Vaccine"/>
    <s v="Routine"/>
    <x v="11"/>
    <n v="2027"/>
    <s v="Guinea"/>
    <s v="v23.2"/>
    <s v="Gavi 6.0"/>
    <n v="2629887.4493"/>
    <n v="807307.96574303706"/>
    <n v="2.6298874493"/>
    <n v="0.80730796574303709"/>
    <s v="Discretionary"/>
  </r>
  <r>
    <s v="Vaccine"/>
    <s v="Routine"/>
    <x v="11"/>
    <n v="2026"/>
    <s v="Ethiopia"/>
    <s v="v23.2"/>
    <s v="Gavi 6.0"/>
    <n v="1045078.1323000001"/>
    <n v="248500"/>
    <n v="1.0450781323"/>
    <n v="0.2485"/>
    <s v="Discretionary"/>
  </r>
  <r>
    <s v="Vaccine"/>
    <s v="Routine"/>
    <x v="11"/>
    <n v="2027"/>
    <s v="Niger"/>
    <s v="v23.2"/>
    <s v="Gavi 6.0"/>
    <n v="2751909.4780000001"/>
    <n v="844046.54467613203"/>
    <n v="2.751909478"/>
    <n v="0.84404654467613205"/>
    <s v="Discretionary"/>
  </r>
  <r>
    <s v="Vaccine"/>
    <s v="Routine"/>
    <x v="11"/>
    <n v="2028"/>
    <s v="Nigeria"/>
    <s v="v23.2"/>
    <s v="Gavi 6.0"/>
    <n v="2893960.1184999999"/>
    <n v="907480.84989238402"/>
    <n v="2.8939601184999999"/>
    <n v="0.90748084989238398"/>
    <s v="Discretionary"/>
  </r>
  <r>
    <s v="Vaccine"/>
    <s v="Routine"/>
    <x v="11"/>
    <n v="2027"/>
    <s v="Benin"/>
    <s v="v23.2"/>
    <s v="Gavi 6.0"/>
    <n v="1776816.1247"/>
    <n v="545433.77693735599"/>
    <n v="1.7768161247000001"/>
    <n v="0.54543377693735595"/>
    <s v="Discretionary"/>
  </r>
  <r>
    <s v="Vaccine"/>
    <s v="Routine"/>
    <x v="11"/>
    <n v="2026"/>
    <s v="Burundi"/>
    <s v="v23.2"/>
    <s v="Gavi 6.0"/>
    <n v="4191483.4611999998"/>
    <n v="991850"/>
    <n v="4.1914834611999998"/>
    <n v="0.99185000000000001"/>
    <s v="Discretionary"/>
  </r>
  <r>
    <s v="Vaccine"/>
    <s v="Routine"/>
    <x v="11"/>
    <n v="2027"/>
    <s v="Nigeria"/>
    <s v="v23.2"/>
    <s v="Gavi 6.0"/>
    <n v="3162358.8300999999"/>
    <n v="977891.63250451302"/>
    <n v="3.1623588301000001"/>
    <n v="0.97789163250451305"/>
    <s v="Discretionary"/>
  </r>
  <r>
    <s v="Vaccine"/>
    <s v="Routine"/>
    <x v="11"/>
    <n v="2027"/>
    <s v="Cameroon"/>
    <s v="v23.2"/>
    <s v="Gavi 6.0"/>
    <n v="2081181.9665999999"/>
    <n v="638865.73560677597"/>
    <n v="2.0811819666"/>
    <n v="0.63886573560677595"/>
    <s v="Discretionary"/>
  </r>
  <r>
    <s v="Vaccine"/>
    <s v="Routine"/>
    <x v="11"/>
    <n v="2029"/>
    <s v="Nigeria"/>
    <s v="v23.2"/>
    <s v="Gavi 6.0"/>
    <n v="3086836.7237999998"/>
    <n v="967962.61830960005"/>
    <n v="3.0868367237999998"/>
    <n v="0.96796261830960006"/>
    <s v="Discretionary"/>
  </r>
  <r>
    <s v="Vaccine"/>
    <s v="Routine"/>
    <x v="11"/>
    <n v="2030"/>
    <s v="Nigeria"/>
    <s v="v23.2"/>
    <s v="Gavi 6.0"/>
    <n v="3637619.6005000002"/>
    <n v="1140675.7493195999"/>
    <n v="3.6376196005000003"/>
    <n v="1.1406757493196"/>
    <s v="Discretionary"/>
  </r>
  <r>
    <s v="Vaccine"/>
    <s v="Routine"/>
    <x v="11"/>
    <n v="2027"/>
    <s v="Senegal"/>
    <s v="v23.2"/>
    <s v="Gavi 6.0"/>
    <n v="141517.85889999999"/>
    <n v="43761.3621650024"/>
    <n v="0.14151785889999999"/>
    <n v="4.3761362165002399E-2"/>
    <s v="Discretionary"/>
  </r>
  <r>
    <s v="Vaccine"/>
    <s v="Routine"/>
    <x v="11"/>
    <n v="2026"/>
    <s v="Mali"/>
    <s v="v23.2"/>
    <s v="Gavi 6.0"/>
    <n v="3650835.5114000002"/>
    <n v="868100"/>
    <n v="3.6508355114000004"/>
    <n v="0.86809999999999998"/>
    <s v="Discretionary"/>
  </r>
  <r>
    <s v="Vaccine"/>
    <s v="Routine"/>
    <x v="11"/>
    <n v="2026"/>
    <s v="Chad"/>
    <s v="v23.2"/>
    <s v="Gavi 6.0"/>
    <n v="1750345.6687"/>
    <n v="416200"/>
    <n v="1.7503456687000001"/>
    <n v="0.41620000000000001"/>
    <s v="Discretionary"/>
  </r>
  <r>
    <s v="Vaccine"/>
    <s v="Routine"/>
    <x v="15"/>
    <n v="2030"/>
    <s v="Congo"/>
    <s v="v23.2"/>
    <s v="Gavi 6.0"/>
    <n v="20604.8037"/>
    <n v="2008.0057373555001"/>
    <n v="2.06048037E-2"/>
    <n v="2.0080057373555002E-3"/>
    <s v="Discretionary"/>
  </r>
  <r>
    <s v="Vaccine"/>
    <s v="Routine"/>
    <x v="15"/>
    <n v="2028"/>
    <s v="Yemen"/>
    <s v="v23.2"/>
    <s v="Gavi 6.0"/>
    <n v="24325.773499999999"/>
    <n v="2361.9297916667001"/>
    <n v="2.4325773499999998E-2"/>
    <n v="2.3619297916667001E-3"/>
    <s v="Discretionary"/>
  </r>
  <r>
    <s v="Vaccine"/>
    <s v="Routine"/>
    <x v="15"/>
    <n v="2028"/>
    <s v="Côte d’Ivoire"/>
    <s v="v23.2"/>
    <s v="Gavi 6.0"/>
    <n v="32282.0965"/>
    <n v="3146.2173750000002"/>
    <n v="3.2282096500000003E-2"/>
    <n v="3.146217375E-3"/>
    <s v="Discretionary"/>
  </r>
  <r>
    <s v="Vaccine"/>
    <s v="Routine"/>
    <x v="15"/>
    <n v="2029"/>
    <s v="Burundi"/>
    <s v="v23.2"/>
    <s v="Gavi 6.0"/>
    <n v="27371.4836"/>
    <n v="2713.7273517911999"/>
    <n v="2.73714836E-2"/>
    <n v="2.7137273517911999E-3"/>
    <s v="Discretionary"/>
  </r>
  <r>
    <s v="Vaccine"/>
    <s v="Routine"/>
    <x v="15"/>
    <n v="2028"/>
    <s v="Myanmar"/>
    <s v="v23.2"/>
    <s v="Gavi 6.0"/>
    <n v="742886.92989999999"/>
    <n v="71765.012588832498"/>
    <n v="0.74288692989999994"/>
    <n v="7.17650125888325E-2"/>
    <s v="Discretionary"/>
  </r>
  <r>
    <s v="Vaccine"/>
    <s v="Routine"/>
    <x v="15"/>
    <n v="2028"/>
    <s v="Cambodia"/>
    <s v="v23.2"/>
    <s v="Gavi 6.0"/>
    <n v="913507.14020000002"/>
    <n v="89030.526041843696"/>
    <n v="0.91350714020000001"/>
    <n v="8.9030526041843694E-2"/>
    <s v="Discretionary"/>
  </r>
  <r>
    <s v="Vaccine"/>
    <s v="Routine"/>
    <x v="15"/>
    <n v="2030"/>
    <s v="Eritrea"/>
    <s v="v23.2"/>
    <s v="Gavi 6.0"/>
    <n v="6092.2825000000003"/>
    <n v="600.92033494719999"/>
    <n v="6.0922825000000007E-3"/>
    <n v="6.0092033494719998E-4"/>
    <s v="Discretionary"/>
  </r>
  <r>
    <s v="Vaccine"/>
    <s v="Routine"/>
    <x v="15"/>
    <n v="2028"/>
    <s v="United Republic of Tanzania"/>
    <s v="v23.2"/>
    <s v="Gavi 6.0"/>
    <n v="203184.83979999999"/>
    <n v="19917.922762499998"/>
    <n v="0.20318483979999999"/>
    <n v="1.9917922762499998E-2"/>
    <s v="Discretionary"/>
  </r>
  <r>
    <s v="Vaccine"/>
    <s v="Routine"/>
    <x v="15"/>
    <n v="2028"/>
    <s v="Republic of Syria"/>
    <s v="v23.2"/>
    <s v="Gavi 6.0"/>
    <n v="25608.4568"/>
    <n v="2508.8339646465001"/>
    <n v="2.5608456799999998E-2"/>
    <n v="2.5088339646465001E-3"/>
    <s v="Discretionary"/>
  </r>
  <r>
    <s v="Vaccine"/>
    <s v="Routine"/>
    <x v="15"/>
    <n v="2027"/>
    <s v="Senegal"/>
    <s v="v23.2"/>
    <s v="Gavi 6.0"/>
    <n v="236173.5975"/>
    <n v="22597.759182130801"/>
    <n v="0.2361735975"/>
    <n v="2.2597759182130802E-2"/>
    <s v="Discretionary"/>
  </r>
  <r>
    <s v="Vaccine"/>
    <s v="Routine"/>
    <x v="15"/>
    <n v="2028"/>
    <s v="Madagascar"/>
    <s v="v23.2"/>
    <s v="Gavi 6.0"/>
    <n v="32781.124900000003"/>
    <n v="3211.5328282828"/>
    <n v="3.27811249E-2"/>
    <n v="3.2115328282828E-3"/>
    <s v="Discretionary"/>
  </r>
  <r>
    <s v="Vaccine"/>
    <s v="Routine"/>
    <x v="15"/>
    <n v="2028"/>
    <s v="Guinea"/>
    <s v="v23.2"/>
    <s v="Gavi 6.0"/>
    <n v="8542.5144"/>
    <n v="820.57905787499999"/>
    <n v="8.5425143999999995E-3"/>
    <n v="8.2057905787500003E-4"/>
    <s v="Discretionary"/>
  </r>
  <r>
    <s v="Vaccine"/>
    <s v="Routine"/>
    <x v="15"/>
    <n v="2028"/>
    <s v="Chad"/>
    <s v="v23.2"/>
    <s v="Gavi 6.0"/>
    <n v="10634.236000000001"/>
    <n v="1035.5893238900001"/>
    <n v="1.0634236E-2"/>
    <n v="1.0355893238900001E-3"/>
    <s v="Discretionary"/>
  </r>
  <r>
    <s v="Vaccine"/>
    <s v="Routine"/>
    <x v="15"/>
    <n v="2029"/>
    <s v="Benin"/>
    <s v="v23.2"/>
    <s v="Gavi 6.0"/>
    <n v="96375.9139"/>
    <n v="9392.1490773816004"/>
    <n v="9.6375913899999999E-2"/>
    <n v="9.3921490773816001E-3"/>
    <s v="Discretionary"/>
  </r>
  <r>
    <s v="Vaccine"/>
    <s v="Routine"/>
    <x v="15"/>
    <n v="2030"/>
    <s v="Central African Republic"/>
    <s v="v23.2"/>
    <s v="Gavi 6.0"/>
    <n v="9287.1627000000008"/>
    <n v="915.94572905049995"/>
    <n v="9.2871627000000005E-3"/>
    <n v="9.1594572905049992E-4"/>
    <s v="Discretionary"/>
  </r>
  <r>
    <s v="Vaccine"/>
    <s v="Routine"/>
    <x v="23"/>
    <n v="2028"/>
    <s v="Bangladesh"/>
    <s v="v23.2"/>
    <s v="Gavi 6.0"/>
    <n v="1465096.0416999999"/>
    <n v="394018.55755055998"/>
    <n v="1.4650960416999999"/>
    <n v="0.39401855755055998"/>
    <s v="Discretionary"/>
  </r>
  <r>
    <s v="Vaccine"/>
    <s v="Routine"/>
    <x v="23"/>
    <n v="2029"/>
    <s v="Ghana"/>
    <s v="v23.2"/>
    <s v="Gavi 6.0"/>
    <n v="327359.44150000002"/>
    <n v="88039.071332332795"/>
    <n v="0.32735944150000001"/>
    <n v="8.8039071332332797E-2"/>
    <s v="Discretionary"/>
  </r>
  <r>
    <s v="Vaccine"/>
    <s v="Routine"/>
    <x v="23"/>
    <n v="2029"/>
    <s v="Gambia"/>
    <s v="v23.2"/>
    <s v="Gavi 6.0"/>
    <n v="247594.1341"/>
    <n v="66542.5857939532"/>
    <n v="0.2475941341"/>
    <n v="6.6542585793953196E-2"/>
    <s v="Discretionary"/>
  </r>
  <r>
    <s v="Vaccine"/>
    <s v="Routine"/>
    <x v="23"/>
    <n v="2030"/>
    <s v="Haiti"/>
    <s v="v23.2"/>
    <s v="Gavi 6.0"/>
    <n v="611861.42229999998"/>
    <n v="164552.18509595099"/>
    <n v="0.61186142229999996"/>
    <n v="0.16455218509595099"/>
    <s v="Discretionary"/>
  </r>
  <r>
    <s v="Vaccine"/>
    <s v="Routine"/>
    <x v="23"/>
    <n v="2029"/>
    <s v="Kenya"/>
    <s v="v23.2"/>
    <s v="Gavi 6.0"/>
    <n v="1234947.1928999999"/>
    <n v="332123.01292135398"/>
    <n v="1.2349471929"/>
    <n v="0.33212301292135399"/>
    <s v="Discretionary"/>
  </r>
  <r>
    <s v="Vaccine"/>
    <s v="Routine"/>
    <x v="23"/>
    <n v="2030"/>
    <s v="Kyrgyzstan"/>
    <s v="v23.2"/>
    <s v="Gavi 6.0"/>
    <n v="506412.48619999998"/>
    <n v="136193.06287802101"/>
    <n v="0.50641248620000001"/>
    <n v="0.13619306287802102"/>
    <s v="Discretionary"/>
  </r>
  <r>
    <s v="Vaccine"/>
    <s v="Routine"/>
    <x v="23"/>
    <n v="2030"/>
    <s v="Rwanda"/>
    <s v="v23.2"/>
    <s v="Gavi 6.0"/>
    <n v="1347002.139"/>
    <n v="362015.86807442497"/>
    <n v="1.347002139"/>
    <n v="0.36201586807442498"/>
    <s v="Discretionary"/>
  </r>
  <r>
    <s v="Vaccine"/>
    <s v="Routine"/>
    <x v="23"/>
    <n v="2030"/>
    <s v="Tajikistan"/>
    <s v="v23.2"/>
    <s v="Gavi 6.0"/>
    <n v="492424.78580000001"/>
    <n v="132431.25247922799"/>
    <n v="0.49242478579999999"/>
    <n v="0.13243125247922799"/>
    <s v="Discretionary"/>
  </r>
  <r>
    <s v="Vaccine"/>
    <s v="Routine"/>
    <x v="23"/>
    <n v="2029"/>
    <s v="United Republic of Tanzania"/>
    <s v="v23.2"/>
    <s v="Gavi 6.0"/>
    <n v="6188306.3156000003"/>
    <n v="1664264.6343573199"/>
    <n v="6.1883063156000002"/>
    <n v="1.66426463435732"/>
    <s v="Discretionary"/>
  </r>
  <r>
    <s v="Vaccine"/>
    <s v="Routine"/>
    <x v="13"/>
    <n v="2030"/>
    <s v="Madagascar"/>
    <s v="v23.2"/>
    <s v="Gavi 6.0"/>
    <n v="687744.20499999996"/>
    <n v="621365.00706708804"/>
    <n v="0.687744205"/>
    <n v="0.62136500706708808"/>
    <s v="Discretionary"/>
  </r>
  <r>
    <s v="Vaccine"/>
    <s v="Routine"/>
    <x v="13"/>
    <n v="2028"/>
    <s v="Cambodia"/>
    <s v="v23.2"/>
    <s v="Gavi 6.0"/>
    <n v="148399.647"/>
    <n v="135341.317602141"/>
    <n v="0.148399647"/>
    <n v="0.13534131760214099"/>
    <s v="Discretionary"/>
  </r>
  <r>
    <s v="Vaccine"/>
    <s v="Routine"/>
    <x v="13"/>
    <n v="2027"/>
    <s v="Sierra Leone"/>
    <s v="v23.2"/>
    <s v="Gavi 6.0"/>
    <n v="144276.9982"/>
    <n v="129057.36557582799"/>
    <n v="0.14427699820000001"/>
    <n v="0.129057365575828"/>
    <s v="Discretionary"/>
  </r>
  <r>
    <s v="Vaccine"/>
    <s v="Routine"/>
    <x v="13"/>
    <n v="2028"/>
    <s v="Myanmar"/>
    <s v="v23.2"/>
    <s v="Gavi 6.0"/>
    <n v="564194.5993"/>
    <n v="514548.66637345299"/>
    <n v="0.56419459930000004"/>
    <n v="0.51454866637345298"/>
    <s v="Discretionary"/>
  </r>
  <r>
    <s v="Vaccine"/>
    <s v="Routine"/>
    <x v="13"/>
    <n v="2028"/>
    <s v="Rwanda"/>
    <s v="v23.2"/>
    <s v="Gavi 6.0"/>
    <n v="287451.19959999999"/>
    <n v="259707.192591592"/>
    <n v="0.28745119959999998"/>
    <n v="0.25970719259159197"/>
    <s v="Discretionary"/>
  </r>
  <r>
    <s v="Vaccine"/>
    <s v="Routine"/>
    <x v="13"/>
    <n v="2029"/>
    <s v="Togo"/>
    <s v="v23.2"/>
    <s v="Gavi 6.0"/>
    <n v="109467.6832"/>
    <n v="99835.146403199702"/>
    <n v="0.1094676832"/>
    <n v="9.9835146403199695E-2"/>
    <s v="Discretionary"/>
  </r>
  <r>
    <s v="Vaccine"/>
    <s v="Routine"/>
    <x v="13"/>
    <n v="2030"/>
    <s v="Guinea"/>
    <s v="v23.2"/>
    <s v="Gavi 6.0"/>
    <n v="24502.270199999999"/>
    <n v="22346.209082020301"/>
    <n v="2.4502270199999999E-2"/>
    <n v="2.2346209082020303E-2"/>
    <s v="Discretionary"/>
  </r>
  <r>
    <s v="Vaccine"/>
    <s v="Outbreak / Stockpile"/>
    <x v="24"/>
    <n v="2026"/>
    <s v="Global"/>
    <s v="v23.2"/>
    <s v="Gavi 6.0"/>
    <n v="50306456.848399997"/>
    <n v="500000"/>
    <n v="50.306456848399996"/>
    <n v="0.5"/>
    <s v="Outbreak / Stockpile"/>
  </r>
  <r>
    <s v="Vaccine"/>
    <s v="Outbreak / Stockpile"/>
    <x v="24"/>
    <n v="2029"/>
    <s v="Global"/>
    <s v="v23.2"/>
    <s v="Gavi 6.0"/>
    <n v="12515944.1445"/>
    <n v="125000"/>
    <n v="12.515944144500001"/>
    <n v="0.125"/>
    <s v="Outbreak / Stockpile"/>
  </r>
  <r>
    <s v="Vaccine"/>
    <s v="Outbreak / Stockpile"/>
    <x v="24"/>
    <n v="2030"/>
    <s v="Global"/>
    <s v="v23.2"/>
    <s v="Gavi 6.0"/>
    <n v="12515944.1445"/>
    <n v="125000"/>
    <n v="12.515944144500001"/>
    <n v="0.125"/>
    <s v="Outbreak / Stockpile"/>
  </r>
  <r>
    <s v="Vaccine"/>
    <s v="Campaign"/>
    <x v="3"/>
    <n v="2027"/>
    <s v="Central African Republic"/>
    <s v="v23.2"/>
    <s v="Gavi 6.0"/>
    <n v="659356.81709999999"/>
    <n v="1292218.0171935901"/>
    <n v="0.65935681709999994"/>
    <n v="1.29221801719359"/>
    <s v="Guaranteed"/>
  </r>
  <r>
    <s v="Vaccine"/>
    <s v="Campaign"/>
    <x v="3"/>
    <n v="2026"/>
    <s v="Guinea"/>
    <s v="v23.2"/>
    <s v="Gavi 6.0"/>
    <n v="2007552.6784999999"/>
    <n v="4027307.5260000001"/>
    <n v="2.0075526784999997"/>
    <n v="4.0273075260000004"/>
    <s v="Guaranteed"/>
  </r>
  <r>
    <s v="Vaccine"/>
    <s v="Campaign"/>
    <x v="3"/>
    <n v="2026"/>
    <s v="Madagascar"/>
    <s v="v23.2"/>
    <s v="Gavi 6.0"/>
    <n v="2566237.0825"/>
    <n v="5137009.5160999997"/>
    <n v="2.5662370824999998"/>
    <n v="5.1370095161"/>
    <s v="Guaranteed"/>
  </r>
  <r>
    <s v="Vaccine"/>
    <s v="Campaign"/>
    <x v="3"/>
    <n v="2027"/>
    <s v="South Sudan"/>
    <s v="v23.2"/>
    <s v="Gavi 6.0"/>
    <n v="1413799.4184999999"/>
    <n v="2770786.6726073502"/>
    <n v="1.4137994185"/>
    <n v="2.77078667260735"/>
    <s v="Guaranteed"/>
  </r>
  <r>
    <s v="Vaccine"/>
    <s v="Campaign"/>
    <x v="7"/>
    <n v="2028"/>
    <s v="Guinea"/>
    <s v="v23.2"/>
    <s v="Gavi 6.0"/>
    <n v="4177799.4130000002"/>
    <n v="1945840.0851"/>
    <n v="4.1777994129999998"/>
    <n v="1.9458400850999999"/>
    <s v="Guaranteed"/>
  </r>
  <r>
    <s v="Vaccine"/>
    <s v="Campaign"/>
    <x v="7"/>
    <n v="2027"/>
    <s v="Republic of Syria"/>
    <s v="v23.2"/>
    <s v="Gavi 6.0"/>
    <n v="10108338.678099999"/>
    <n v="4120352.611155"/>
    <n v="10.108338678099999"/>
    <n v="4.120352611155"/>
    <s v="Guaranteed"/>
  </r>
  <r>
    <s v="Vaccine"/>
    <s v="Campaign"/>
    <x v="13"/>
    <n v="2030"/>
    <s v="Madagascar"/>
    <s v="v23.2"/>
    <s v="Gavi 6.0"/>
    <n v="16224666.0538"/>
    <n v="14539287.824999999"/>
    <n v="16.2246660538"/>
    <n v="14.539287824999999"/>
    <s v="Discretionary"/>
  </r>
  <r>
    <s v="Vaccine"/>
    <s v="Campaign"/>
    <x v="13"/>
    <n v="2028"/>
    <s v="Rwanda"/>
    <s v="v23.2"/>
    <s v="Gavi 6.0"/>
    <n v="6590489.7461999999"/>
    <n v="5905885.9522500001"/>
    <n v="6.5904897462000003"/>
    <n v="5.9058859522500002"/>
    <s v="Discretionary"/>
  </r>
  <r>
    <s v="Vaccine"/>
    <s v="Campaign"/>
    <x v="13"/>
    <n v="2029"/>
    <s v="Togo"/>
    <s v="v23.2"/>
    <s v="Gavi 6.0"/>
    <n v="4471538.8858000003"/>
    <n v="3994415.0865000002"/>
    <n v="4.4715388858000003"/>
    <n v="3.9944150865000001"/>
    <s v="Discretionary"/>
  </r>
  <r>
    <s v="Vaccine"/>
    <s v="Campaign"/>
    <x v="13"/>
    <n v="2030"/>
    <s v="Guinea"/>
    <s v="v23.2"/>
    <s v="Gavi 6.0"/>
    <n v="7273993.5051999995"/>
    <n v="6497841.1545000002"/>
    <n v="7.2739935052"/>
    <n v="6.4978411545000005"/>
    <s v="Discretionary"/>
  </r>
  <r>
    <s v="Vaccine"/>
    <s v="Outbreak / Stockpile"/>
    <x v="13"/>
    <n v="2026"/>
    <s v="Global"/>
    <s v="v23.2"/>
    <s v="Gavi 6.0"/>
    <n v="2038412.6757"/>
    <n v="1806000"/>
    <n v="2.0384126757000001"/>
    <n v="1.806"/>
    <s v="Outbreak / Stockpile"/>
  </r>
  <r>
    <s v="Vaccine"/>
    <s v="Outbreak / Stockpile"/>
    <x v="13"/>
    <n v="2027"/>
    <s v="Global"/>
    <s v="v23.2"/>
    <s v="Gavi 6.0"/>
    <n v="2038412.6757"/>
    <n v="1806000"/>
    <n v="2.0384126757000001"/>
    <n v="1.806"/>
    <s v="Outbreak / Stockpile"/>
  </r>
  <r>
    <s v="Vaccine"/>
    <s v="Outbreak / Stockpile"/>
    <x v="13"/>
    <n v="2028"/>
    <s v="Global"/>
    <s v="v23.2"/>
    <s v="Gavi 6.0"/>
    <n v="2015657.0756999999"/>
    <n v="1806000"/>
    <n v="2.0156570757000001"/>
    <n v="1.806"/>
    <s v="Outbreak / Stockpile"/>
  </r>
  <r>
    <s v="Vaccine"/>
    <s v="Outbreak / Stockpile"/>
    <x v="13"/>
    <n v="2029"/>
    <s v="Global"/>
    <s v="v23.2"/>
    <s v="Gavi 6.0"/>
    <n v="2015657.0756999999"/>
    <n v="1806000"/>
    <n v="2.0156570757000001"/>
    <n v="1.806"/>
    <s v="Outbreak / Stockpile"/>
  </r>
  <r>
    <s v="Vaccine"/>
    <s v="Outbreak / Stockpile"/>
    <x v="13"/>
    <n v="2030"/>
    <s v="Global"/>
    <s v="v23.2"/>
    <s v="Gavi 6.0"/>
    <n v="2015657.0756999999"/>
    <n v="1806000"/>
    <n v="2.0156570757000001"/>
    <n v="1.806"/>
    <s v="Outbreak / Stockpile"/>
  </r>
  <r>
    <s v="Vaccine"/>
    <s v="Campaign"/>
    <x v="9"/>
    <n v="2026"/>
    <s v="Niger"/>
    <s v="v23.2"/>
    <s v="Gavi 6.0"/>
    <n v="14786893.2903"/>
    <n v="8730500"/>
    <n v="14.7868932903"/>
    <n v="8.7304999999999993"/>
    <s v="Discretionary"/>
  </r>
  <r>
    <s v="Vaccine"/>
    <s v="Campaign"/>
    <x v="9"/>
    <n v="2027"/>
    <s v="Ethiopia"/>
    <s v="v23.2"/>
    <s v="Gavi 6.0"/>
    <n v="16628997.192500001"/>
    <n v="9305312.0761356894"/>
    <n v="16.628997192500002"/>
    <n v="9.3053120761356887"/>
    <s v="Discretionary"/>
  </r>
  <r>
    <s v="Vaccine"/>
    <s v="Campaign"/>
    <x v="9"/>
    <n v="2028"/>
    <s v="Ethiopia"/>
    <s v="v23.2"/>
    <s v="Gavi 6.0"/>
    <n v="14528129.8693"/>
    <n v="8429328.6493338495"/>
    <n v="14.528129869300001"/>
    <n v="8.4293286493338488"/>
    <s v="Discretionary"/>
  </r>
  <r>
    <s v="Vaccine"/>
    <s v="Campaign"/>
    <x v="9"/>
    <n v="2029"/>
    <s v="Ethiopia"/>
    <s v="v23.2"/>
    <s v="Gavi 6.0"/>
    <n v="9680377.0798000004"/>
    <n v="5741454.36995978"/>
    <n v="9.6803770798000013"/>
    <n v="5.7414543699597802"/>
    <s v="Discretionary"/>
  </r>
  <r>
    <s v="Vaccine"/>
    <s v="Campaign"/>
    <x v="9"/>
    <n v="2030"/>
    <s v="Ethiopia"/>
    <s v="v23.2"/>
    <s v="Gavi 6.0"/>
    <n v="8137751.8326000003"/>
    <n v="4872064.5181160597"/>
    <n v="8.1377518326000011"/>
    <n v="4.8720645181160593"/>
    <s v="Discretionary"/>
  </r>
  <r>
    <s v="Vaccine"/>
    <s v="Campaign"/>
    <x v="9"/>
    <n v="2028"/>
    <s v="South Sudan"/>
    <s v="v23.2"/>
    <s v="Gavi 6.0"/>
    <n v="3018780.4646000001"/>
    <n v="1743714.0048983099"/>
    <n v="3.0187804646000003"/>
    <n v="1.74371400489831"/>
    <s v="Discretionary"/>
  </r>
  <r>
    <s v="Vaccine"/>
    <s v="Campaign"/>
    <x v="9"/>
    <n v="2029"/>
    <s v="South Sudan"/>
    <s v="v23.2"/>
    <s v="Gavi 6.0"/>
    <n v="2955715.628"/>
    <n v="1746852.4310566999"/>
    <n v="2.9557156280000001"/>
    <n v="1.7468524310567"/>
    <s v="Discretionary"/>
  </r>
  <r>
    <s v="Vaccine"/>
    <s v="Campaign"/>
    <x v="9"/>
    <n v="2028"/>
    <s v="Angola"/>
    <s v="v23.2"/>
    <s v="Gavi 6.0"/>
    <n v="6519318.6323999995"/>
    <n v="3835609.5922403298"/>
    <n v="6.5193186323999992"/>
    <n v="3.8356095922403299"/>
    <s v="Discretionary"/>
  </r>
  <r>
    <s v="Vaccine"/>
    <s v="Campaign"/>
    <x v="9"/>
    <n v="2029"/>
    <s v="Angola"/>
    <s v="v23.2"/>
    <s v="Gavi 6.0"/>
    <n v="6348755.7121000001"/>
    <n v="3820599.5684819501"/>
    <n v="6.3487557121"/>
    <n v="3.82059956848195"/>
    <s v="Discretionary"/>
  </r>
  <r>
    <s v="Vaccine"/>
    <s v="Campaign"/>
    <x v="9"/>
    <n v="2030"/>
    <s v="Angola"/>
    <s v="v23.2"/>
    <s v="Gavi 6.0"/>
    <n v="6309237.1468000002"/>
    <n v="3807407.12550133"/>
    <n v="6.3092371468000001"/>
    <n v="3.8074071255013302"/>
    <s v="Discretionary"/>
  </r>
  <r>
    <s v="Vaccine"/>
    <s v="Campaign"/>
    <x v="9"/>
    <n v="2028"/>
    <s v="Central African Republic"/>
    <s v="v23.2"/>
    <s v="Gavi 6.0"/>
    <n v="1747005.8883"/>
    <n v="1035447.35067418"/>
    <n v="1.7470058882999999"/>
    <n v="1.0354473506741799"/>
    <s v="Discretionary"/>
  </r>
  <r>
    <s v="Vaccine"/>
    <s v="Campaign"/>
    <x v="9"/>
    <n v="2028"/>
    <s v="Guinea"/>
    <s v="v23.2"/>
    <s v="Gavi 6.0"/>
    <n v="5258183.4670000002"/>
    <n v="3243976.1441840502"/>
    <n v="5.2581834670000003"/>
    <n v="3.24397614418405"/>
    <s v="Discretionary"/>
  </r>
  <r>
    <s v="Vaccine"/>
    <s v="Campaign"/>
    <x v="9"/>
    <n v="2028"/>
    <s v="Côte d’Ivoire"/>
    <s v="v23.2"/>
    <s v="Gavi 6.0"/>
    <n v="4436403.3119000001"/>
    <n v="2602490.2990126102"/>
    <n v="4.4364033119000004"/>
    <n v="2.6024902990126102"/>
    <s v="Discretionary"/>
  </r>
  <r>
    <s v="Vaccine"/>
    <s v="Campaign"/>
    <x v="9"/>
    <n v="2026"/>
    <s v="Congo, the Democratic Republic of the"/>
    <s v="v23.2"/>
    <s v="Gavi 6.0"/>
    <n v="4234263.0119000003"/>
    <n v="2500000"/>
    <n v="4.2342630119000004"/>
    <n v="2.5"/>
    <s v="Discretionary"/>
  </r>
  <r>
    <s v="Vaccine"/>
    <s v="Outbreak / Stockpile"/>
    <x v="9"/>
    <n v="2026"/>
    <s v="Global"/>
    <s v="v23.2"/>
    <s v="Gavi 6.0"/>
    <n v="10162231.228700001"/>
    <n v="6000000"/>
    <n v="10.162231228700001"/>
    <n v="6"/>
    <s v="Outbreak / Stockpile"/>
  </r>
  <r>
    <s v="Vaccine"/>
    <s v="Outbreak / Stockpile"/>
    <x v="9"/>
    <n v="2027"/>
    <s v="Global"/>
    <s v="v23.2"/>
    <s v="Gavi 6.0"/>
    <n v="9958073.4881999996"/>
    <n v="6000000"/>
    <n v="9.9580734882000002"/>
    <n v="6"/>
    <s v="Outbreak / Stockpile"/>
  </r>
  <r>
    <s v="Vaccine"/>
    <s v="Outbreak / Stockpile"/>
    <x v="9"/>
    <n v="2028"/>
    <s v="Global"/>
    <s v="v23.2"/>
    <s v="Gavi 6.0"/>
    <n v="9232048.6199999992"/>
    <n v="6000000"/>
    <n v="9.2320486199999987"/>
    <n v="6"/>
    <s v="Outbreak / Stockpile"/>
  </r>
  <r>
    <s v="Vaccine"/>
    <s v="Outbreak / Stockpile"/>
    <x v="9"/>
    <n v="2029"/>
    <s v="Global"/>
    <s v="v23.2"/>
    <s v="Gavi 6.0"/>
    <n v="8999357.7108999994"/>
    <n v="6000000"/>
    <n v="8.9993577109"/>
    <n v="6"/>
    <s v="Outbreak / Stockpile"/>
  </r>
  <r>
    <s v="Vaccine"/>
    <s v="Outbreak / Stockpile"/>
    <x v="9"/>
    <n v="2030"/>
    <s v="Global"/>
    <s v="v23.2"/>
    <s v="Gavi 6.0"/>
    <n v="8967290.7252999991"/>
    <n v="6000000"/>
    <n v="8.9672907252999998"/>
    <n v="6"/>
    <s v="Outbreak / Stockpile"/>
  </r>
  <r>
    <s v="Vaccine"/>
    <s v="Outbreak / Stockpile"/>
    <x v="25"/>
    <n v="2026"/>
    <s v="Global"/>
    <s v="v23.2"/>
    <s v="Gavi 6.0"/>
    <n v="72177358.986000001"/>
    <n v="50000000"/>
    <n v="72.177358986000002"/>
    <n v="50"/>
    <s v="Outbreak / Stockpile"/>
  </r>
  <r>
    <s v="Vaccine"/>
    <s v="Outbreak / Stockpile"/>
    <x v="25"/>
    <n v="2027"/>
    <s v="Global"/>
    <s v="v23.2"/>
    <s v="Gavi 6.0"/>
    <n v="80052358.986000001"/>
    <n v="50000000"/>
    <n v="80.052358986000002"/>
    <n v="50"/>
    <s v="Outbreak / Stockpile"/>
  </r>
  <r>
    <s v="Vaccine"/>
    <s v="Outbreak / Stockpile"/>
    <x v="25"/>
    <n v="2028"/>
    <s v="Global"/>
    <s v="v23.2"/>
    <s v="Gavi 6.0"/>
    <n v="84724486.669400007"/>
    <n v="50000000"/>
    <n v="84.724486669400008"/>
    <n v="50"/>
    <s v="Outbreak / Stockpile"/>
  </r>
  <r>
    <s v="Vaccine"/>
    <s v="Other"/>
    <x v="26"/>
    <n v="2026"/>
    <s v="Global"/>
    <s v="v23.2"/>
    <s v="Gavi 6.0"/>
    <n v="-64168958.292499997"/>
    <m/>
    <n v="-64.168958292499994"/>
    <n v="0"/>
    <s v="Discretionary"/>
  </r>
  <r>
    <s v="Vaccine"/>
    <s v="Other"/>
    <x v="26"/>
    <n v="2027"/>
    <s v="Global"/>
    <s v="v23.2"/>
    <s v="Gavi 6.0"/>
    <n v="-64168958.292499997"/>
    <m/>
    <n v="-64.168958292499994"/>
    <n v="0"/>
    <s v="Discretionary"/>
  </r>
  <r>
    <s v="Vaccine"/>
    <s v="Other"/>
    <x v="26"/>
    <n v="2028"/>
    <s v="Global"/>
    <s v="v23.2"/>
    <s v="Gavi 6.0"/>
    <n v="-64168958.292499997"/>
    <m/>
    <n v="-64.168958292499994"/>
    <n v="0"/>
    <s v="Discretionary"/>
  </r>
  <r>
    <s v="Vaccine"/>
    <s v="Other"/>
    <x v="26"/>
    <n v="2029"/>
    <s v="Global"/>
    <s v="v23.2"/>
    <s v="Gavi 6.0"/>
    <n v="-64168958.292499997"/>
    <m/>
    <n v="-64.168958292499994"/>
    <n v="0"/>
    <s v="Discretionary"/>
  </r>
  <r>
    <s v="Vaccine"/>
    <s v="Other"/>
    <x v="26"/>
    <n v="2030"/>
    <s v="Global"/>
    <s v="v23.2"/>
    <s v="Gavi 6.0"/>
    <n v="-64168958.292499997"/>
    <m/>
    <n v="-64.168958292499994"/>
    <n v="0"/>
    <s v="Discretionary"/>
  </r>
  <r>
    <s v="Vaccine"/>
    <s v="Outbreak / Stockpile"/>
    <x v="27"/>
    <n v="2026"/>
    <s v="Global"/>
    <s v="v23.2"/>
    <s v="Gavi 6.0"/>
    <n v="-5348502.8"/>
    <m/>
    <n v="-5.3485027999999994"/>
    <n v="0"/>
    <s v="Outbreak / Stockpile"/>
  </r>
  <r>
    <s v="Vaccine"/>
    <s v="Outbreak / Stockpile"/>
    <x v="27"/>
    <n v="2027"/>
    <s v="Global"/>
    <s v="v23.2"/>
    <s v="Gavi 6.0"/>
    <n v="-5348502.8"/>
    <m/>
    <n v="-5.3485027999999994"/>
    <n v="0"/>
    <s v="Outbreak / Stockpile"/>
  </r>
  <r>
    <s v="Vaccine"/>
    <s v="Outbreak / Stockpile"/>
    <x v="27"/>
    <n v="2028"/>
    <s v="Global"/>
    <s v="v23.2"/>
    <s v="Gavi 6.0"/>
    <n v="-5348502.8"/>
    <m/>
    <n v="-5.3485027999999994"/>
    <n v="0"/>
    <s v="Outbreak / Stockpile"/>
  </r>
  <r>
    <s v="Vaccine"/>
    <s v="Outbreak / Stockpile"/>
    <x v="27"/>
    <n v="2029"/>
    <s v="Global"/>
    <s v="v23.2"/>
    <s v="Gavi 6.0"/>
    <n v="-5348502.8"/>
    <m/>
    <n v="-5.3485027999999994"/>
    <n v="0"/>
    <s v="Outbreak / Stockpile"/>
  </r>
  <r>
    <s v="Vaccine"/>
    <s v="Outbreak / Stockpile"/>
    <x v="27"/>
    <n v="2030"/>
    <s v="Global"/>
    <s v="v23.2"/>
    <s v="Gavi 6.0"/>
    <n v="-5348502.8"/>
    <m/>
    <n v="-5.3485027999999994"/>
    <n v="0"/>
    <s v="Outbreak / Stockpile"/>
  </r>
  <r>
    <s v="Vaccine"/>
    <s v="Campaign"/>
    <x v="19"/>
    <n v="2028"/>
    <s v="Bangladesh"/>
    <s v="v23.2"/>
    <s v="Gavi 6.0"/>
    <n v="11563450.125600001"/>
    <n v="19538166.719999999"/>
    <n v="11.563450125600001"/>
    <n v="19.53816672"/>
    <s v="Discretionary"/>
  </r>
  <r>
    <s v="Vaccine"/>
    <s v="Campaign"/>
    <x v="25"/>
    <n v="2027"/>
    <s v="Mozambique"/>
    <s v="v23.2"/>
    <s v="Gavi 6.0"/>
    <n v="10086597.2322"/>
    <n v="6300000"/>
    <n v="10.086597232200001"/>
    <n v="6.3"/>
    <s v="Discretionary"/>
  </r>
  <r>
    <s v="Vaccine"/>
    <s v="Campaign"/>
    <x v="25"/>
    <n v="2028"/>
    <s v="Nigeria"/>
    <s v="v23.2"/>
    <s v="Gavi 6.0"/>
    <n v="10217773.0923"/>
    <n v="6030000"/>
    <n v="10.2177730923"/>
    <n v="6.03"/>
    <s v="Discretionary"/>
  </r>
  <r>
    <s v="Vaccine"/>
    <s v="Campaign"/>
    <x v="25"/>
    <n v="2029"/>
    <s v="Nigeria"/>
    <s v="v23.2"/>
    <s v="Gavi 6.0"/>
    <n v="13147694.501399999"/>
    <n v="7200000"/>
    <n v="13.1476945014"/>
    <n v="7.2"/>
    <s v="Discretionary"/>
  </r>
  <r>
    <s v="Vaccine"/>
    <s v="Campaign"/>
    <x v="25"/>
    <n v="2030"/>
    <s v="Nigeria"/>
    <s v="v23.2"/>
    <s v="Gavi 6.0"/>
    <n v="13656431.343599999"/>
    <n v="7200000"/>
    <n v="13.6564313436"/>
    <n v="7.2"/>
    <s v="Discretionary"/>
  </r>
  <r>
    <s v="Vaccine"/>
    <s v="Campaign"/>
    <x v="25"/>
    <n v="2029"/>
    <s v="Sudan"/>
    <s v="v23.2"/>
    <s v="Gavi 6.0"/>
    <n v="7806443.6102"/>
    <n v="4275000"/>
    <n v="7.8064436101999997"/>
    <n v="4.2750000000000004"/>
    <s v="Discretionary"/>
  </r>
  <r>
    <s v="Vaccine"/>
    <s v="Campaign"/>
    <x v="25"/>
    <n v="2030"/>
    <s v="Sudan"/>
    <s v="v23.2"/>
    <s v="Gavi 6.0"/>
    <n v="8108506.1102"/>
    <n v="4275000"/>
    <n v="8.1085061102000004"/>
    <n v="4.2750000000000004"/>
    <s v="Discretionary"/>
  </r>
  <r>
    <s v="Vaccine"/>
    <s v="Campaign"/>
    <x v="25"/>
    <n v="2026"/>
    <s v="Mozambique"/>
    <s v="v23.2"/>
    <s v="Gavi 6.0"/>
    <n v="14435471.7972"/>
    <n v="10000000"/>
    <n v="14.4354717972"/>
    <n v="10"/>
    <s v="Discretionary"/>
  </r>
  <r>
    <s v="Vaccine"/>
    <s v="Campaign"/>
    <x v="25"/>
    <n v="2026"/>
    <s v="Bangladesh"/>
    <s v="v23.2"/>
    <s v="Gavi 6.0"/>
    <n v="9931604.5965"/>
    <n v="8950500"/>
    <n v="9.9316045964999997"/>
    <n v="8.9504999999999999"/>
    <s v="Discretionary"/>
  </r>
  <r>
    <s v="Vaccine"/>
    <s v="Campaign"/>
    <x v="25"/>
    <n v="2027"/>
    <s v="Bangladesh"/>
    <s v="v23.2"/>
    <s v="Gavi 6.0"/>
    <n v="11015204.5965"/>
    <n v="8950500"/>
    <n v="11.0152045965"/>
    <n v="8.9504999999999999"/>
    <s v="Discretionary"/>
  </r>
  <r>
    <s v="Vaccine"/>
    <s v="Campaign"/>
    <x v="25"/>
    <n v="2028"/>
    <s v="Bangladesh"/>
    <s v="v23.2"/>
    <s v="Gavi 6.0"/>
    <n v="11658089.365700001"/>
    <n v="8950500"/>
    <n v="11.6580893657"/>
    <n v="8.9504999999999999"/>
    <s v="Discretionary"/>
  </r>
  <r>
    <s v="Vaccine"/>
    <s v="Campaign"/>
    <x v="25"/>
    <n v="2029"/>
    <s v="Bangladesh"/>
    <s v="v23.2"/>
    <s v="Gavi 6.0"/>
    <n v="12563352.523600001"/>
    <n v="8950500"/>
    <n v="12.563352523600001"/>
    <n v="8.9504999999999999"/>
    <s v="Discretionary"/>
  </r>
  <r>
    <s v="Vaccine"/>
    <s v="Campaign"/>
    <x v="25"/>
    <n v="2026"/>
    <s v="Congo, the Democratic Republic of the"/>
    <s v="v23.2"/>
    <s v="Gavi 6.0"/>
    <n v="24540302.055199999"/>
    <n v="17000000"/>
    <n v="24.540302055199998"/>
    <n v="17"/>
    <s v="Discretionary"/>
  </r>
  <r>
    <s v="Vaccine"/>
    <s v="Campaign"/>
    <x v="25"/>
    <n v="2027"/>
    <s v="Congo, the Democratic Republic of the"/>
    <s v="v23.2"/>
    <s v="Gavi 6.0"/>
    <n v="16010471.7972"/>
    <n v="10000000"/>
    <n v="16.010471797200001"/>
    <n v="10"/>
    <s v="Discretionary"/>
  </r>
  <r>
    <s v="Vaccine"/>
    <s v="Campaign"/>
    <x v="25"/>
    <n v="2028"/>
    <s v="Congo, the Democratic Republic of the"/>
    <s v="v23.2"/>
    <s v="Gavi 6.0"/>
    <n v="11014183.267000001"/>
    <n v="6500000"/>
    <n v="11.014183267000002"/>
    <n v="6.5"/>
    <s v="Discretionary"/>
  </r>
  <r>
    <s v="Vaccine"/>
    <s v="Campaign"/>
    <x v="25"/>
    <n v="2028"/>
    <s v="Malawi"/>
    <s v="v23.2"/>
    <s v="Gavi 6.0"/>
    <n v="9153833.4894999992"/>
    <n v="5402118"/>
    <n v="9.1538334894999984"/>
    <n v="5.4021179999999998"/>
    <s v="Discretionary"/>
  </r>
  <r>
    <s v="Vaccine"/>
    <s v="Campaign"/>
    <x v="25"/>
    <n v="2029"/>
    <s v="Malawi"/>
    <s v="v23.2"/>
    <s v="Gavi 6.0"/>
    <n v="2333234.9701"/>
    <n v="1277736.7"/>
    <n v="2.3332349700999999"/>
    <n v="1.2777366999999999"/>
    <s v="Discretionary"/>
  </r>
  <r>
    <s v="Vaccine"/>
    <s v="Campaign"/>
    <x v="25"/>
    <n v="2027"/>
    <s v="Kenya"/>
    <s v="v23.2"/>
    <s v="Gavi 6.0"/>
    <n v="6301212.5663999999"/>
    <n v="3935682"/>
    <n v="6.3012125664000003"/>
    <n v="3.9356819999999999"/>
    <s v="Discretionary"/>
  </r>
  <r>
    <s v="Vaccine"/>
    <s v="Campaign"/>
    <x v="25"/>
    <n v="2028"/>
    <s v="Zambia"/>
    <s v="v23.2"/>
    <s v="Gavi 6.0"/>
    <n v="6862683.4201999996"/>
    <n v="4050000"/>
    <n v="6.8626834201999998"/>
    <n v="4.05"/>
    <s v="Discretionary"/>
  </r>
  <r>
    <s v="Vaccine"/>
    <s v="Outbreak / Stockpile"/>
    <x v="25"/>
    <n v="2029"/>
    <s v="Global"/>
    <s v="v23.2"/>
    <s v="Gavi 6.0"/>
    <n v="91303434.037799999"/>
    <n v="50000000"/>
    <n v="91.303434037800002"/>
    <n v="50"/>
    <s v="Outbreak / Stockpile"/>
  </r>
  <r>
    <s v="Vaccine"/>
    <s v="Outbreak / Stockpile"/>
    <x v="25"/>
    <n v="2030"/>
    <s v="Global"/>
    <s v="v23.2"/>
    <s v="Gavi 6.0"/>
    <n v="94836328.774700001"/>
    <n v="50000000"/>
    <n v="94.836328774700007"/>
    <n v="50"/>
    <s v="Outbreak / Stockpile"/>
  </r>
  <r>
    <s v="Vaccine"/>
    <s v="Outbreak / Stockpile"/>
    <x v="28"/>
    <n v="2028"/>
    <s v="Global"/>
    <s v="v23.2"/>
    <s v="Gavi 6.0"/>
    <n v="-37766879.501599997"/>
    <m/>
    <n v="-37.766879501599995"/>
    <n v="0"/>
    <s v="Outbreak / Stockpile"/>
  </r>
  <r>
    <s v="Vaccine"/>
    <s v="Outbreak / Stockpile"/>
    <x v="28"/>
    <n v="2029"/>
    <s v="Global"/>
    <s v="v23.2"/>
    <s v="Gavi 6.0"/>
    <n v="-75533759.003099993"/>
    <m/>
    <n v="-75.533759003099988"/>
    <n v="0"/>
    <s v="Outbreak / Stockpile"/>
  </r>
  <r>
    <s v="Vaccine"/>
    <s v="Outbreak / Stockpile"/>
    <x v="28"/>
    <n v="2030"/>
    <s v="Global"/>
    <s v="v23.2"/>
    <s v="Gavi 6.0"/>
    <n v="-75533759.003099993"/>
    <m/>
    <n v="-75.533759003099988"/>
    <n v="0"/>
    <s v="Outbreak / Stockpile"/>
  </r>
  <r>
    <s v="Vaccine"/>
    <s v="Outbreak / Stockpile"/>
    <x v="8"/>
    <n v="2026"/>
    <s v="Global"/>
    <s v="v23.2"/>
    <s v="Gavi 6.0"/>
    <n v="3376629.2738999999"/>
    <n v="7400000"/>
    <n v="3.3766292738999999"/>
    <n v="7.4"/>
    <s v="Outbreak / Stockpile"/>
  </r>
  <r>
    <s v="Vaccine"/>
    <s v="Outbreak / Stockpile"/>
    <x v="8"/>
    <n v="2027"/>
    <s v="Global"/>
    <s v="v23.2"/>
    <s v="Gavi 6.0"/>
    <n v="3376629.2738999999"/>
    <n v="7400000"/>
    <n v="3.3766292738999999"/>
    <n v="7.4"/>
    <s v="Outbreak / Stockpile"/>
  </r>
  <r>
    <s v="Vaccine"/>
    <s v="Outbreak / Stockpile"/>
    <x v="8"/>
    <n v="2028"/>
    <s v="Global"/>
    <s v="v23.2"/>
    <s v="Gavi 6.0"/>
    <n v="3288486.3728"/>
    <n v="7400000"/>
    <n v="3.2884863728"/>
    <n v="7.4"/>
    <s v="Outbreak / Stockpile"/>
  </r>
  <r>
    <s v="Vaccine"/>
    <s v="Outbreak / Stockpile"/>
    <x v="8"/>
    <n v="2029"/>
    <s v="Global"/>
    <s v="v23.2"/>
    <s v="Gavi 6.0"/>
    <n v="3288486.3728"/>
    <n v="7400000"/>
    <n v="3.2884863728"/>
    <n v="7.4"/>
    <s v="Outbreak / Stockpile"/>
  </r>
  <r>
    <s v="Vaccine"/>
    <s v="Outbreak / Stockpile"/>
    <x v="8"/>
    <n v="2030"/>
    <s v="Global"/>
    <s v="v23.2"/>
    <s v="Gavi 6.0"/>
    <n v="3288486.3728"/>
    <n v="7400000"/>
    <n v="3.2884863728"/>
    <n v="7.4"/>
    <s v="Outbreak / Stockpile"/>
  </r>
  <r>
    <s v="Vaccine"/>
    <s v="Campaign"/>
    <x v="4"/>
    <n v="2027"/>
    <s v="Liberia"/>
    <s v="v23.2"/>
    <s v="Gavi 6.0"/>
    <n v="1536494.6913999999"/>
    <n v="1448359.1521874999"/>
    <n v="1.5364946913999999"/>
    <n v="1.4483591521874999"/>
    <s v="Guaranteed"/>
  </r>
  <r>
    <s v="Vaccine"/>
    <s v="Campaign"/>
    <x v="4"/>
    <n v="2029"/>
    <s v="Central African Republic"/>
    <s v="v23.2"/>
    <s v="Gavi 6.0"/>
    <n v="2271158.4674"/>
    <n v="1965063.0798750001"/>
    <n v="2.2711584673999998"/>
    <n v="1.965063079875"/>
    <s v="Guaranteed"/>
  </r>
  <r>
    <s v="Vaccine"/>
    <s v="Campaign"/>
    <x v="4"/>
    <n v="2029"/>
    <s v="Chad"/>
    <s v="v23.2"/>
    <s v="Gavi 6.0"/>
    <n v="8208085.1162"/>
    <n v="7101840.4261875004"/>
    <n v="8.2080851161999995"/>
    <n v="7.1018404261875006"/>
    <s v="Guaranteed"/>
  </r>
  <r>
    <s v="Vaccine"/>
    <s v="Campaign"/>
    <x v="4"/>
    <n v="2028"/>
    <s v="Madagascar"/>
    <s v="v23.2"/>
    <s v="Gavi 6.0"/>
    <n v="9564195.4365999997"/>
    <n v="8660720.0846250001"/>
    <n v="9.5641954366000004"/>
    <n v="8.6607200846249999"/>
    <s v="Guaranteed"/>
  </r>
  <r>
    <s v="Vaccine"/>
    <s v="Campaign"/>
    <x v="4"/>
    <n v="2027"/>
    <s v="Somalia"/>
    <s v="v23.2"/>
    <s v="Gavi 6.0"/>
    <n v="5033325.0694000004"/>
    <n v="4744606.3243333297"/>
    <n v="5.0333250694"/>
    <n v="4.7446063243333301"/>
    <s v="Guaranteed"/>
  </r>
  <r>
    <s v="Vaccine"/>
    <s v="Campaign"/>
    <x v="4"/>
    <n v="2029"/>
    <s v="South Sudan"/>
    <s v="v23.2"/>
    <s v="Gavi 6.0"/>
    <n v="3408938.6630000002"/>
    <n v="2949498.9470624998"/>
    <n v="3.4089386630000003"/>
    <n v="2.9494989470624997"/>
    <s v="Guaranteed"/>
  </r>
  <r>
    <s v="Vaccine"/>
    <s v="Campaign"/>
    <x v="4"/>
    <n v="2028"/>
    <s v="Niger"/>
    <s v="v23.2"/>
    <s v="Gavi 6.0"/>
    <n v="9922466.8010000009"/>
    <n v="8985147.5831250008"/>
    <n v="9.9224668010000006"/>
    <n v="8.9851475831250003"/>
    <s v="Guaranteed"/>
  </r>
  <r>
    <s v="Vaccine"/>
    <s v="Campaign"/>
    <x v="4"/>
    <n v="2028"/>
    <s v="Ethiopia"/>
    <s v="v23.2"/>
    <s v="Gavi 6.0"/>
    <n v="39886556.1567"/>
    <n v="36118699.194375001"/>
    <n v="39.886556156700003"/>
    <n v="36.118699194375004"/>
    <s v="Guaranteed"/>
  </r>
  <r>
    <s v="Vaccine"/>
    <s v="Campaign"/>
    <x v="4"/>
    <n v="2028"/>
    <s v="Guinea"/>
    <s v="v23.2"/>
    <s v="Gavi 6.0"/>
    <n v="4268648.5880000005"/>
    <n v="3875119.376625"/>
    <n v="4.2686485880000005"/>
    <n v="3.8751193766249998"/>
    <s v="Guaranteed"/>
  </r>
  <r>
    <s v="Vaccine"/>
    <s v="Campaign"/>
    <x v="4"/>
    <n v="2027"/>
    <s v="Djibouti"/>
    <s v="v23.2"/>
    <s v="Gavi 6.0"/>
    <n v="190335.13630000001"/>
    <n v="179886.58799999999"/>
    <n v="0.19033513630000001"/>
    <n v="0.17988658799999999"/>
    <s v="Guaranteed"/>
  </r>
  <r>
    <s v="Vaccine"/>
    <s v="Campaign"/>
    <x v="4"/>
    <n v="2028"/>
    <s v="Afghanistan"/>
    <s v="v23.2"/>
    <s v="Gavi 6.0"/>
    <n v="14052330.8807"/>
    <n v="12724886.803125"/>
    <n v="14.0523308807"/>
    <n v="12.724886803124999"/>
    <s v="Guaranteed"/>
  </r>
  <r>
    <s v="Vaccine"/>
    <s v="Campaign"/>
    <x v="4"/>
    <n v="2030"/>
    <s v="Lao People’s Democratic Republic"/>
    <s v="v23.2"/>
    <s v="Gavi 6.0"/>
    <n v="700152.29029999999"/>
    <n v="580064.30521875003"/>
    <n v="0.70015229030000004"/>
    <n v="0.58006430521875008"/>
    <s v="Guaranteed"/>
  </r>
  <r>
    <s v="Vaccine"/>
    <s v="Campaign"/>
    <x v="4"/>
    <n v="2028"/>
    <s v="Lesotho"/>
    <s v="v23.2"/>
    <s v="Gavi 6.0"/>
    <n v="253674.84969999999"/>
    <n v="230288.416875"/>
    <n v="0.25367484969999998"/>
    <n v="0.23028841687499998"/>
    <s v="Guaranteed"/>
  </r>
  <r>
    <s v="Vaccine"/>
    <s v="Campaign"/>
    <x v="4"/>
    <n v="2027"/>
    <s v="Zambia"/>
    <s v="v23.2"/>
    <s v="Gavi 6.0"/>
    <n v="4511312.3735999996"/>
    <n v="4263657.5231717303"/>
    <n v="4.5113123735999991"/>
    <n v="4.2636575231717302"/>
    <s v="Guaranteed"/>
  </r>
  <r>
    <s v="Vaccine"/>
    <s v="Campaign"/>
    <x v="4"/>
    <n v="2027"/>
    <s v="Benin"/>
    <s v="v23.2"/>
    <s v="Gavi 6.0"/>
    <n v="3450183.0813000002"/>
    <n v="3260780.41883589"/>
    <n v="3.4501830813000001"/>
    <n v="3.26078041883589"/>
    <s v="Guaranteed"/>
  </r>
  <r>
    <s v="Vaccine"/>
    <s v="Campaign"/>
    <x v="4"/>
    <n v="2029"/>
    <s v="Benin"/>
    <s v="v23.2"/>
    <s v="Gavi 6.0"/>
    <n v="2018555.6784000001"/>
    <n v="1750694.52009375"/>
    <n v="2.0185556784000003"/>
    <n v="1.75069452009375"/>
    <s v="Guaranteed"/>
  </r>
  <r>
    <s v="Vaccine"/>
    <s v="Campaign"/>
    <x v="4"/>
    <n v="2027"/>
    <s v="Burkina Faso"/>
    <s v="v23.2"/>
    <s v="Gavi 6.0"/>
    <n v="3977257.5323000001"/>
    <n v="3749116.33579246"/>
    <n v="3.9772575322999999"/>
    <n v="3.74911633579246"/>
    <s v="Guaranteed"/>
  </r>
  <r>
    <s v="Vaccine"/>
    <s v="Campaign"/>
    <x v="4"/>
    <n v="2028"/>
    <s v="Togo"/>
    <s v="v23.2"/>
    <s v="Gavi 6.0"/>
    <n v="1236417.7476999999"/>
    <n v="1122431.67196875"/>
    <n v="1.2364177477"/>
    <n v="1.1224316719687499"/>
    <s v="Guaranteed"/>
  </r>
  <r>
    <s v="Vaccine"/>
    <s v="Campaign"/>
    <x v="4"/>
    <n v="2026"/>
    <s v="Uganda"/>
    <s v="v23.2"/>
    <s v="Gavi 6.0"/>
    <n v="7723603.7589999996"/>
    <n v="7633086.3377999999"/>
    <n v="7.7236037589999995"/>
    <n v="7.6330863378"/>
    <s v="Guaranteed"/>
  </r>
  <r>
    <s v="Vaccine"/>
    <s v="Campaign"/>
    <x v="4"/>
    <n v="2029"/>
    <s v="Uganda"/>
    <s v="v23.2"/>
    <s v="Gavi 6.0"/>
    <n v="7340725.9561999999"/>
    <n v="6366615.9139687503"/>
    <n v="7.3407259562"/>
    <n v="6.3666159139687499"/>
    <s v="Guaranteed"/>
  </r>
  <r>
    <s v="Vaccine"/>
    <s v="Campaign"/>
    <x v="4"/>
    <n v="2026"/>
    <s v="Burundi"/>
    <s v="v23.2"/>
    <s v="Gavi 6.0"/>
    <n v="2331198.5063"/>
    <n v="2303877.8300999999"/>
    <n v="2.3311985062999998"/>
    <n v="2.3038778300999998"/>
    <s v="Guaranteed"/>
  </r>
  <r>
    <s v="Vaccine"/>
    <s v="Campaign"/>
    <x v="4"/>
    <n v="2030"/>
    <s v="Burundi"/>
    <s v="v23.2"/>
    <s v="Gavi 6.0"/>
    <n v="2601246.0584999998"/>
    <n v="2150161.1071875002"/>
    <n v="2.6012460584999997"/>
    <n v="2.1501611071875004"/>
    <s v="Guaranteed"/>
  </r>
  <r>
    <s v="Vaccine"/>
    <s v="Campaign"/>
    <x v="4"/>
    <n v="2028"/>
    <s v="Cambodia"/>
    <s v="v23.2"/>
    <s v="Gavi 6.0"/>
    <n v="1705171.2305000001"/>
    <n v="1547970.496875"/>
    <n v="1.7051712305"/>
    <n v="1.5479704968749999"/>
    <s v="Guaranteed"/>
  </r>
  <r>
    <s v="Vaccine"/>
    <s v="Campaign"/>
    <x v="4"/>
    <n v="2026"/>
    <s v="Cameroon"/>
    <s v="v23.2"/>
    <s v="Gavi 6.0"/>
    <n v="5819922.3026999999"/>
    <n v="5757823.7640000004"/>
    <n v="5.8199223027000002"/>
    <n v="5.7578237640000003"/>
    <s v="Guaranteed"/>
  </r>
  <r>
    <s v="Vaccine"/>
    <s v="Campaign"/>
    <x v="4"/>
    <n v="2029"/>
    <s v="Cameroon"/>
    <s v="v23.2"/>
    <s v="Gavi 6.0"/>
    <n v="4091102.9616"/>
    <n v="3548215.9906875002"/>
    <n v="4.0911029615999999"/>
    <n v="3.5482159906875004"/>
    <s v="Guaranteed"/>
  </r>
  <r>
    <s v="Vaccine"/>
    <s v="Campaign"/>
    <x v="4"/>
    <n v="2030"/>
    <s v="Liberia"/>
    <s v="v23.2"/>
    <s v="Gavi 6.0"/>
    <n v="801877.7611"/>
    <n v="662823.25312500005"/>
    <n v="0.80187776109999997"/>
    <n v="0.66282325312500001"/>
    <s v="Guaranteed"/>
  </r>
  <r>
    <s v="Vaccine"/>
    <s v="Campaign"/>
    <x v="4"/>
    <n v="2030"/>
    <s v="Madagascar"/>
    <s v="v23.2"/>
    <s v="Gavi 6.0"/>
    <n v="4779084.4666999998"/>
    <n v="3950338.1522343801"/>
    <n v="4.7790844666999996"/>
    <n v="3.9503381522343801"/>
    <s v="Guaranteed"/>
  </r>
  <r>
    <s v="Vaccine"/>
    <s v="Campaign"/>
    <x v="4"/>
    <n v="2026"/>
    <s v="Malawi"/>
    <s v="v23.2"/>
    <s v="Gavi 6.0"/>
    <n v="5802103.6489000004"/>
    <n v="5721500"/>
    <n v="5.8021036489000002"/>
    <n v="5.7214999999999998"/>
    <s v="Guaranteed"/>
  </r>
  <r>
    <s v="Vaccine"/>
    <s v="Campaign"/>
    <x v="4"/>
    <n v="2030"/>
    <s v="Mauritania"/>
    <s v="v23.2"/>
    <s v="Gavi 6.0"/>
    <n v="814425.00840000005"/>
    <n v="674737.3153125"/>
    <n v="0.81442500840000009"/>
    <n v="0.67473731531250003"/>
    <s v="Guaranteed"/>
  </r>
  <r>
    <s v="Vaccine"/>
    <s v="Campaign"/>
    <x v="4"/>
    <n v="2026"/>
    <s v="Yemen"/>
    <s v="v23.2"/>
    <s v="Gavi 6.0"/>
    <n v="5759235.7534999996"/>
    <n v="5691739.9077000003"/>
    <n v="5.7592357534999996"/>
    <n v="5.6917399077000006"/>
    <s v="Guaranteed"/>
  </r>
  <r>
    <s v="Vaccine"/>
    <s v="Campaign"/>
    <x v="4"/>
    <n v="2029"/>
    <s v="Comoros"/>
    <s v="v23.2"/>
    <s v="Gavi 6.0"/>
    <n v="102708.9207"/>
    <n v="89079.506999999998"/>
    <n v="0.1027089207"/>
    <n v="8.9079507000000002E-2"/>
    <s v="Guaranteed"/>
  </r>
  <r>
    <s v="Vaccine"/>
    <s v="Campaign"/>
    <x v="4"/>
    <n v="2029"/>
    <s v="Malawi"/>
    <s v="v23.2"/>
    <s v="Gavi 6.0"/>
    <n v="3645237.1342000002"/>
    <n v="3153950.2912499998"/>
    <n v="3.6452371342000003"/>
    <n v="3.1539502912499997"/>
    <s v="Guaranteed"/>
  </r>
  <r>
    <s v="Vaccine"/>
    <s v="Campaign"/>
    <x v="4"/>
    <n v="2029"/>
    <s v="Yemen"/>
    <s v="v23.2"/>
    <s v="Gavi 6.0"/>
    <n v="6261118.2598000001"/>
    <n v="5417276.0322656296"/>
    <n v="6.2611182597999999"/>
    <n v="5.4172760322656295"/>
    <s v="Guaranteed"/>
  </r>
  <r>
    <s v="Vaccine"/>
    <s v="Campaign"/>
    <x v="4"/>
    <n v="2027"/>
    <s v="Mali"/>
    <s v="v23.2"/>
    <s v="Gavi 6.0"/>
    <n v="3771304.4550000001"/>
    <n v="3554977.0224374998"/>
    <n v="3.7713044550000001"/>
    <n v="3.5549770224374999"/>
    <s v="Guaranteed"/>
  </r>
  <r>
    <s v="Vaccine"/>
    <s v="Campaign"/>
    <x v="4"/>
    <n v="2030"/>
    <s v="Mali"/>
    <s v="v23.2"/>
    <s v="Gavi 6.0"/>
    <n v="4318245.4029000001"/>
    <n v="3577593.12384375"/>
    <n v="4.3182454028999997"/>
    <n v="3.5775931238437502"/>
    <s v="Guaranteed"/>
  </r>
  <r>
    <s v="Vaccine"/>
    <s v="Campaign"/>
    <x v="4"/>
    <n v="2027"/>
    <s v="Mauritania"/>
    <s v="v23.2"/>
    <s v="Gavi 6.0"/>
    <n v="688704.53489999997"/>
    <n v="650897.12886043603"/>
    <n v="0.68870453489999994"/>
    <n v="0.65089712886043605"/>
    <s v="Guaranteed"/>
  </r>
  <r>
    <s v="Vaccine"/>
    <s v="Campaign"/>
    <x v="4"/>
    <n v="2027"/>
    <s v="Mozambique"/>
    <s v="v23.2"/>
    <s v="Gavi 6.0"/>
    <n v="8553200.7152999993"/>
    <n v="8062576.8547499999"/>
    <n v="8.5532007152999991"/>
    <n v="8.0625768547500005"/>
    <s v="Guaranteed"/>
  </r>
  <r>
    <s v="Vaccine"/>
    <s v="Campaign"/>
    <x v="4"/>
    <n v="2029"/>
    <s v="Zimbabwe"/>
    <s v="v23.2"/>
    <s v="Gavi 6.0"/>
    <n v="2481801.3665"/>
    <n v="2152467.7762500001"/>
    <n v="2.4818013665000001"/>
    <n v="2.15246777625"/>
    <s v="Guaranteed"/>
  </r>
  <r>
    <s v="Vaccine"/>
    <s v="Campaign"/>
    <x v="4"/>
    <n v="2029"/>
    <s v="Pakistan"/>
    <s v="v23.2"/>
    <s v="Gavi 6.0"/>
    <n v="28404315.429400001"/>
    <n v="24635079.3799688"/>
    <n v="28.4043154294"/>
    <n v="24.635079379968801"/>
    <s v="Guaranteed"/>
  </r>
  <r>
    <s v="Vaccine"/>
    <s v="Campaign"/>
    <x v="4"/>
    <n v="2027"/>
    <s v="Papua New Guinea"/>
    <s v="v23.2"/>
    <s v="Gavi 6.0"/>
    <n v="983096.74860000005"/>
    <n v="929129.13119502296"/>
    <n v="0.98309674860000007"/>
    <n v="0.92912913119502294"/>
    <s v="Guaranteed"/>
  </r>
  <r>
    <s v="Vaccine"/>
    <s v="Campaign"/>
    <x v="4"/>
    <n v="2026"/>
    <s v="Myanmar"/>
    <s v="v23.2"/>
    <s v="Gavi 6.0"/>
    <n v="2687453.5666"/>
    <n v="2658778.452"/>
    <n v="2.6874535665999999"/>
    <n v="2.658778452"/>
    <s v="Guaranteed"/>
  </r>
  <r>
    <s v="Vaccine"/>
    <s v="Campaign"/>
    <x v="4"/>
    <n v="2028"/>
    <s v="Nepal"/>
    <s v="v23.2"/>
    <s v="Gavi 6.0"/>
    <n v="2560278.9517000001"/>
    <n v="2324245.336875"/>
    <n v="2.5602789517"/>
    <n v="2.3242453368750002"/>
    <s v="Guaranteed"/>
  </r>
  <r>
    <s v="Vaccine"/>
    <s v="Campaign"/>
    <x v="4"/>
    <n v="2030"/>
    <s v="Papua New Guinea"/>
    <s v="v23.2"/>
    <s v="Gavi 6.0"/>
    <n v="1012069.9528"/>
    <n v="838482.80174999998"/>
    <n v="1.0120699527999999"/>
    <n v="0.83848280175000001"/>
    <s v="Guaranteed"/>
  </r>
  <r>
    <s v="Vaccine"/>
    <s v="Campaign"/>
    <x v="4"/>
    <n v="2028"/>
    <s v="Rwanda"/>
    <s v="v23.2"/>
    <s v="Gavi 6.0"/>
    <n v="2035668.0319999999"/>
    <n v="1843370.0071874999"/>
    <n v="2.0356680319999998"/>
    <n v="1.8433700071874999"/>
    <s v="Guaranteed"/>
  </r>
  <r>
    <s v="Vaccine"/>
    <s v="Campaign"/>
    <x v="4"/>
    <n v="2028"/>
    <s v="Senegal"/>
    <s v="v23.2"/>
    <s v="Gavi 6.0"/>
    <n v="2606319.1179"/>
    <n v="2366041.0331250001"/>
    <n v="2.6063191179"/>
    <n v="2.3660410331250001"/>
    <s v="Guaranteed"/>
  </r>
  <r>
    <s v="Vaccine"/>
    <s v="Campaign"/>
    <x v="4"/>
    <n v="2028"/>
    <s v="Sierra Leone"/>
    <s v="v23.2"/>
    <s v="Gavi 6.0"/>
    <n v="1047867.6175000001"/>
    <n v="948881.50087500003"/>
    <n v="1.0478676175000001"/>
    <n v="0.94888150087500001"/>
    <s v="Guaranteed"/>
  </r>
  <r>
    <s v="Vaccine"/>
    <s v="Campaign"/>
    <x v="4"/>
    <n v="2029"/>
    <s v="Solomon Islands"/>
    <s v="v23.2"/>
    <s v="Gavi 6.0"/>
    <n v="97002.930200000003"/>
    <n v="84130.698093750005"/>
    <n v="9.7002930200000004E-2"/>
    <n v="8.4130698093750012E-2"/>
    <s v="Guaranteed"/>
  </r>
  <r>
    <s v="Vaccine"/>
    <s v="Campaign"/>
    <x v="4"/>
    <n v="2029"/>
    <s v="Somalia"/>
    <s v="v23.2"/>
    <s v="Gavi 6.0"/>
    <n v="3529902.3394999998"/>
    <n v="3054159.74376562"/>
    <n v="3.5299023395"/>
    <n v="3.05415974376562"/>
    <s v="Guaranteed"/>
  </r>
  <r>
    <s v="Vaccine"/>
    <s v="Campaign"/>
    <x v="4"/>
    <n v="2027"/>
    <s v="Sudan"/>
    <s v="v23.2"/>
    <s v="Gavi 6.0"/>
    <n v="6701613.4039000003"/>
    <n v="6317199.2472187504"/>
    <n v="6.7016134039000006"/>
    <n v="6.3171992472187508"/>
    <s v="Guaranteed"/>
  </r>
  <r>
    <s v="Vaccine"/>
    <s v="Campaign"/>
    <x v="4"/>
    <n v="2029"/>
    <s v="Sudan"/>
    <s v="v23.2"/>
    <s v="Gavi 6.0"/>
    <n v="7476898.9973999998"/>
    <n v="6469199.9181562504"/>
    <n v="7.4768989974000002"/>
    <n v="6.4691999181562503"/>
    <s v="Guaranteed"/>
  </r>
  <r>
    <s v="Vaccine"/>
    <s v="Campaign"/>
    <x v="4"/>
    <n v="2028"/>
    <s v="Republic of Syria"/>
    <s v="v23.2"/>
    <s v="Gavi 6.0"/>
    <n v="2694878.1351000001"/>
    <n v="2440308.2668593698"/>
    <n v="2.6948781351000002"/>
    <n v="2.4403082668593696"/>
    <s v="Guaranteed"/>
  </r>
  <r>
    <s v="Vaccine"/>
    <s v="Campaign"/>
    <x v="4"/>
    <n v="2026"/>
    <s v="Tajikistan"/>
    <s v="v23.2"/>
    <s v="Gavi 6.0"/>
    <n v="778005.5747"/>
    <n v="769704.25950000004"/>
    <n v="0.77800557469999998"/>
    <n v="0.7697042595000001"/>
    <s v="Guaranteed"/>
  </r>
  <r>
    <s v="Vaccine"/>
    <s v="Campaign"/>
    <x v="4"/>
    <n v="2028"/>
    <s v="United Republic of Tanzania"/>
    <s v="v23.2"/>
    <s v="Gavi 6.0"/>
    <n v="11480245.5266"/>
    <n v="10421874.973125"/>
    <n v="11.480245526599999"/>
    <n v="10.421874973125"/>
    <s v="Guaranteed"/>
  </r>
  <r>
    <s v="Vaccine"/>
    <s v="Campaign"/>
    <x v="4"/>
    <n v="2027"/>
    <s v="Timor-Leste"/>
    <s v="v23.2"/>
    <s v="Gavi 6.0"/>
    <n v="137574.88329999999"/>
    <n v="130022.51625"/>
    <n v="0.13757488329999998"/>
    <n v="0.13002251625"/>
    <s v="Guaranteed"/>
  </r>
  <r>
    <s v="Vaccine"/>
    <s v="Campaign"/>
    <x v="4"/>
    <n v="2029"/>
    <s v="Kyrgyzstan"/>
    <s v="v23.2"/>
    <s v="Gavi 6.0"/>
    <n v="755288.41769999999"/>
    <n v="655062.08625000005"/>
    <n v="0.75528841769999999"/>
    <n v="0.65506208625000006"/>
    <s v="Guaranteed"/>
  </r>
  <r>
    <s v="Vaccine"/>
    <s v="Campaign"/>
    <x v="4"/>
    <n v="2027"/>
    <s v="Lao People’s Democratic Republic"/>
    <s v="v23.2"/>
    <s v="Gavi 6.0"/>
    <n v="582917.61679999996"/>
    <n v="550917.5326875"/>
    <n v="0.58291761679999998"/>
    <n v="0.55091753268749999"/>
    <s v="Guaranteed"/>
  </r>
  <r>
    <s v="Vaccine"/>
    <s v="Campaign"/>
    <x v="4"/>
    <n v="2027"/>
    <s v="Nigeria"/>
    <s v="v23.2"/>
    <s v="Gavi 6.0"/>
    <n v="22124970.842"/>
    <n v="20910389.387708899"/>
    <n v="22.124970842"/>
    <n v="20.9103893877089"/>
    <s v="Guaranteed"/>
  </r>
  <r>
    <s v="Vaccine"/>
    <s v="Campaign"/>
    <x v="4"/>
    <n v="2029"/>
    <s v="Nigeria"/>
    <s v="v23.2"/>
    <s v="Gavi 6.0"/>
    <n v="30816694.152100001"/>
    <n v="26727336.856687501"/>
    <n v="30.816694152100002"/>
    <n v="26.727336856687501"/>
    <s v="Guaranteed"/>
  </r>
  <r>
    <s v="Vaccine"/>
    <s v="Campaign"/>
    <x v="4"/>
    <n v="2029"/>
    <s v="Gambia"/>
    <s v="v23.2"/>
    <s v="Gavi 6.0"/>
    <n v="432341.53840000002"/>
    <n v="374072.70656249998"/>
    <n v="0.4323415384"/>
    <n v="0.37407270656249997"/>
    <s v="Guaranteed"/>
  </r>
  <r>
    <s v="Vaccine"/>
    <s v="Campaign"/>
    <x v="4"/>
    <n v="2028"/>
    <s v="Eritrea"/>
    <s v="v23.2"/>
    <s v="Gavi 6.0"/>
    <n v="440665.67420000001"/>
    <n v="399038.48479687498"/>
    <n v="0.44066567420000002"/>
    <n v="0.39903848479687498"/>
    <s v="Guaranteed"/>
  </r>
  <r>
    <s v="Vaccine"/>
    <s v="Campaign"/>
    <x v="4"/>
    <n v="2028"/>
    <s v="Congo"/>
    <s v="v23.2"/>
    <s v="Gavi 6.0"/>
    <n v="824139.18909999996"/>
    <n v="748161.31499999994"/>
    <n v="0.82413918909999995"/>
    <n v="0.74816131499999994"/>
    <s v="Guaranteed"/>
  </r>
  <r>
    <s v="Vaccine"/>
    <s v="Campaign"/>
    <x v="4"/>
    <n v="2027"/>
    <s v="Ghana"/>
    <s v="v23.2"/>
    <s v="Gavi 6.0"/>
    <n v="5313447.6464999998"/>
    <n v="5021763.12"/>
    <n v="5.3134476465000002"/>
    <n v="5.0217631200000001"/>
    <s v="Guaranteed"/>
  </r>
  <r>
    <s v="Vaccine"/>
    <s v="Campaign"/>
    <x v="4"/>
    <n v="2030"/>
    <s v="Guinea"/>
    <s v="v23.2"/>
    <s v="Gavi 6.0"/>
    <n v="2105120.1305999998"/>
    <n v="1744056.3473437501"/>
    <n v="2.1051201305999996"/>
    <n v="1.74405634734375"/>
    <s v="Guaranteed"/>
  </r>
  <r>
    <s v="Vaccine"/>
    <s v="Campaign"/>
    <x v="4"/>
    <n v="2027"/>
    <s v="Guinea-Bissau"/>
    <s v="v23.2"/>
    <s v="Gavi 6.0"/>
    <n v="258802.3009"/>
    <n v="243957.02976562499"/>
    <n v="0.2588023009"/>
    <n v="0.243957029765625"/>
    <s v="Guaranteed"/>
  </r>
  <r>
    <s v="Vaccine"/>
    <s v="Campaign"/>
    <x v="4"/>
    <n v="2030"/>
    <s v="Guinea-Bissau"/>
    <s v="v23.2"/>
    <s v="Gavi 6.0"/>
    <n v="285951.18109999999"/>
    <n v="236905.70681249999"/>
    <n v="0.28595118110000001"/>
    <n v="0.23690570681250001"/>
    <s v="Guaranteed"/>
  </r>
  <r>
    <s v="Vaccine"/>
    <s v="Campaign"/>
    <x v="4"/>
    <n v="2026"/>
    <s v="Haiti"/>
    <s v="v23.2"/>
    <s v="Gavi 6.0"/>
    <n v="1175452.4516"/>
    <n v="1162910.3805"/>
    <n v="1.1754524516"/>
    <n v="1.1629103805000001"/>
    <s v="Guaranteed"/>
  </r>
  <r>
    <s v="Vaccine"/>
    <s v="Campaign"/>
    <x v="4"/>
    <n v="2028"/>
    <s v="Haiti"/>
    <s v="v23.2"/>
    <s v="Gavi 6.0"/>
    <n v="1188710.9101"/>
    <n v="1079122.9556249999"/>
    <n v="1.1887109101"/>
    <n v="1.0791229556249999"/>
    <s v="Guaranteed"/>
  </r>
  <r>
    <s v="Vaccine"/>
    <s v="Campaign"/>
    <x v="4"/>
    <n v="2028"/>
    <s v="Kenya"/>
    <s v="v23.2"/>
    <s v="Gavi 6.0"/>
    <n v="7278632.2608000003"/>
    <n v="6607610.8931250004"/>
    <n v="7.2786322608000003"/>
    <n v="6.6076108931250008"/>
    <s v="Guaranteed"/>
  </r>
  <r>
    <s v="Vaccine"/>
    <s v="Campaign"/>
    <x v="4"/>
    <n v="2028"/>
    <s v="Angola"/>
    <s v="v23.2"/>
    <s v="Gavi 6.0"/>
    <n v="6642545.6590999998"/>
    <n v="6030165.4874999998"/>
    <n v="6.6425456590999996"/>
    <n v="6.0301654874999997"/>
    <s v="Guaranteed"/>
  </r>
  <r>
    <s v="Vaccine"/>
    <s v="Campaign"/>
    <x v="4"/>
    <n v="2030"/>
    <s v="Angola"/>
    <s v="v23.2"/>
    <s v="Gavi 6.0"/>
    <n v="7580753.6480999999"/>
    <n v="6280525.9068750003"/>
    <n v="7.5807536481"/>
    <n v="6.2805259068749999"/>
    <s v="Guaranteed"/>
  </r>
  <r>
    <s v="Vaccine"/>
    <s v="Campaign"/>
    <x v="4"/>
    <n v="2028"/>
    <s v="Congo, the Democratic Republic of the"/>
    <s v="v23.2"/>
    <s v="Gavi 6.0"/>
    <n v="9558960.1802999992"/>
    <n v="8655979.3732500002"/>
    <n v="9.5589601802999997"/>
    <n v="8.6559793732500001"/>
    <s v="Guaranteed"/>
  </r>
  <r>
    <s v="Vaccine"/>
    <s v="Campaign"/>
    <x v="4"/>
    <n v="2029"/>
    <s v="Congo, the Democratic Republic of the"/>
    <s v="v23.2"/>
    <s v="Gavi 6.0"/>
    <n v="10004310.319"/>
    <n v="8655979.3732500002"/>
    <n v="10.004310319"/>
    <n v="8.6559793732500001"/>
    <s v="Guaranteed"/>
  </r>
  <r>
    <s v="Vaccine"/>
    <s v="Campaign"/>
    <x v="4"/>
    <n v="2027"/>
    <s v="Côte d’Ivoire"/>
    <s v="v23.2"/>
    <s v="Gavi 6.0"/>
    <n v="5591081.3683000002"/>
    <n v="5284155.9914240604"/>
    <n v="5.5910813683000002"/>
    <n v="5.2841559914240603"/>
    <s v="Guaranteed"/>
  </r>
  <r>
    <s v="Vaccine"/>
    <s v="Other"/>
    <x v="29"/>
    <n v="2026"/>
    <s v="Global"/>
    <s v="v23.2"/>
    <s v="Gavi 6.0"/>
    <n v="97108657.739999995"/>
    <m/>
    <n v="97.108657739999998"/>
    <n v="0"/>
    <s v="Other"/>
  </r>
  <r>
    <s v="Vaccine"/>
    <s v="Other"/>
    <x v="29"/>
    <n v="2027"/>
    <s v="Global"/>
    <s v="v23.2"/>
    <s v="Gavi 6.0"/>
    <n v="14608657.74"/>
    <m/>
    <n v="14.60865774"/>
    <n v="0"/>
    <s v="Other"/>
  </r>
  <r>
    <s v="Vaccine"/>
    <s v="Other"/>
    <x v="29"/>
    <n v="2028"/>
    <s v="Global"/>
    <s v="v23.2"/>
    <s v="Gavi 6.0"/>
    <n v="10375883.74"/>
    <m/>
    <n v="10.375883740000001"/>
    <n v="0"/>
    <s v="Other"/>
  </r>
  <r>
    <s v="Vaccine"/>
    <s v="Other"/>
    <x v="29"/>
    <n v="2029"/>
    <s v="Global"/>
    <s v="v23.2"/>
    <s v="Gavi 6.0"/>
    <n v="10375883.74"/>
    <m/>
    <n v="10.375883740000001"/>
    <n v="0"/>
    <s v="Other"/>
  </r>
  <r>
    <s v="Vaccine"/>
    <s v="Other"/>
    <x v="29"/>
    <n v="2030"/>
    <s v="Global"/>
    <s v="v23.2"/>
    <s v="Gavi 6.0"/>
    <n v="10375883.74"/>
    <m/>
    <n v="10.375883740000001"/>
    <n v="0"/>
    <s v="Other"/>
  </r>
  <r>
    <s v="Vaccine"/>
    <s v="Other"/>
    <x v="29"/>
    <n v="2026"/>
    <s v="Global"/>
    <s v="v23.2"/>
    <s v="Gavi 6.0"/>
    <n v="5391342.2599999998"/>
    <m/>
    <n v="5.3913422600000001"/>
    <n v="0"/>
    <s v="Other"/>
  </r>
  <r>
    <s v="Vaccine"/>
    <s v="Other"/>
    <x v="29"/>
    <n v="2027"/>
    <s v="Global"/>
    <s v="v23.2"/>
    <s v="Gavi 6.0"/>
    <n v="5391342.2599999998"/>
    <m/>
    <n v="5.3913422600000001"/>
    <n v="0"/>
    <s v="Other"/>
  </r>
  <r>
    <s v="Vaccine"/>
    <s v="Other"/>
    <x v="29"/>
    <n v="2028"/>
    <s v="Global"/>
    <s v="v23.2"/>
    <s v="Gavi 6.0"/>
    <n v="5391342.2599999998"/>
    <m/>
    <n v="5.3913422600000001"/>
    <n v="0"/>
    <s v="Other"/>
  </r>
  <r>
    <s v="Vaccine"/>
    <s v="Other"/>
    <x v="29"/>
    <n v="2029"/>
    <s v="Global"/>
    <s v="v23.2"/>
    <s v="Gavi 6.0"/>
    <n v="5391342.2599999998"/>
    <m/>
    <n v="5.3913422600000001"/>
    <n v="0"/>
    <s v="Other"/>
  </r>
  <r>
    <s v="Vaccine"/>
    <s v="Other"/>
    <x v="29"/>
    <n v="2030"/>
    <s v="Global"/>
    <s v="v23.2"/>
    <s v="Gavi 6.0"/>
    <n v="5391342.2599999998"/>
    <m/>
    <n v="5.3913422600000001"/>
    <n v="0"/>
    <s v="Other"/>
  </r>
  <r>
    <s v="Vaccine"/>
    <s v="Other"/>
    <x v="29"/>
    <n v="2028"/>
    <s v="Global"/>
    <s v="v23.2"/>
    <s v="Gavi 6.0"/>
    <n v="4232774"/>
    <m/>
    <n v="4.232774"/>
    <n v="0"/>
    <s v="Other"/>
  </r>
  <r>
    <s v="Vaccine"/>
    <s v="Other"/>
    <x v="29"/>
    <n v="2029"/>
    <s v="Global"/>
    <s v="v23.2"/>
    <s v="Gavi 6.0"/>
    <n v="4232774"/>
    <m/>
    <n v="4.232774"/>
    <n v="0"/>
    <s v="Other"/>
  </r>
  <r>
    <s v="Vaccine"/>
    <s v="Other"/>
    <x v="29"/>
    <n v="2030"/>
    <s v="Global"/>
    <s v="v23.2"/>
    <s v="Gavi 6.0"/>
    <n v="4232774"/>
    <m/>
    <n v="4.232774"/>
    <n v="0"/>
    <s v="Other"/>
  </r>
  <r>
    <s v="Vaccine"/>
    <s v="Other"/>
    <x v="0"/>
    <n v="2029"/>
    <s v="Global"/>
    <s v="v23.2"/>
    <s v="Gavi 6.0"/>
    <n v="2319876.5355000002"/>
    <m/>
    <n v="2.3198765355000002"/>
    <n v="0"/>
    <s v="Guaranteed"/>
  </r>
  <r>
    <s v="Vaccine"/>
    <s v="Other"/>
    <x v="0"/>
    <n v="2028"/>
    <s v="Global"/>
    <s v="v23.2"/>
    <s v="Gavi 6.0"/>
    <n v="2319876.5355000002"/>
    <m/>
    <n v="2.3198765355000002"/>
    <n v="0"/>
    <s v="Guaranteed"/>
  </r>
  <r>
    <s v="Vaccine"/>
    <s v="Other"/>
    <x v="0"/>
    <n v="2027"/>
    <s v="Global"/>
    <s v="v23.2"/>
    <s v="Gavi 6.0"/>
    <n v="2319876.5355000002"/>
    <m/>
    <n v="2.3198765355000002"/>
    <n v="0"/>
    <s v="Guaranteed"/>
  </r>
  <r>
    <s v="Vaccine"/>
    <s v="Other"/>
    <x v="0"/>
    <n v="2026"/>
    <s v="Global"/>
    <s v="v23.2"/>
    <s v="Gavi 6.0"/>
    <n v="2319876.5355000002"/>
    <m/>
    <n v="2.3198765355000002"/>
    <n v="0"/>
    <s v="Guaranteed"/>
  </r>
  <r>
    <s v="Vaccine"/>
    <s v="Other"/>
    <x v="0"/>
    <n v="2030"/>
    <s v="Global"/>
    <s v="v23.2"/>
    <s v="Gavi 6.0"/>
    <n v="2319876.5355000002"/>
    <m/>
    <n v="2.3198765355000002"/>
    <n v="0"/>
    <s v="Guaranteed"/>
  </r>
  <r>
    <s v="Vaccine"/>
    <s v="Routine"/>
    <x v="11"/>
    <n v="2026"/>
    <s v="Guinea"/>
    <s v="v23.2"/>
    <s v="Gavi 6.0"/>
    <n v="2815540.3311999999"/>
    <n v="666150"/>
    <n v="2.8155403311999998"/>
    <n v="0.66615000000000002"/>
    <s v="Discretionary"/>
  </r>
  <r>
    <s v="Vaccine"/>
    <s v="Other"/>
    <x v="11"/>
    <n v="2030"/>
    <s v="Global"/>
    <s v="v23.2"/>
    <s v="Gavi 6.0"/>
    <n v="40060569.513800003"/>
    <m/>
    <n v="40.060569513800004"/>
    <n v="0"/>
    <s v="Discretionary"/>
  </r>
  <r>
    <s v="Vaccine"/>
    <s v="Other"/>
    <x v="11"/>
    <n v="2029"/>
    <s v="Global"/>
    <s v="v23.2"/>
    <s v="Gavi 6.0"/>
    <n v="40060569.513800003"/>
    <m/>
    <n v="40.060569513800004"/>
    <n v="0"/>
    <s v="Discretionary"/>
  </r>
  <r>
    <s v="Vaccine"/>
    <s v="Other"/>
    <x v="11"/>
    <n v="2028"/>
    <s v="Global"/>
    <s v="v23.2"/>
    <s v="Gavi 6.0"/>
    <n v="40060569.513800003"/>
    <m/>
    <n v="40.060569513800004"/>
    <n v="0"/>
    <s v="Discretionary"/>
  </r>
  <r>
    <s v="Vaccine"/>
    <s v="Routine"/>
    <x v="11"/>
    <n v="2026"/>
    <s v="Niger"/>
    <s v="v23.2"/>
    <s v="Gavi 6.0"/>
    <n v="3643376.9723"/>
    <n v="862150"/>
    <n v="3.6433769723"/>
    <n v="0.86214999999999997"/>
    <s v="Discretionary"/>
  </r>
  <r>
    <s v="Vaccine"/>
    <s v="Routine"/>
    <x v="11"/>
    <n v="2026"/>
    <s v="Benin"/>
    <s v="v23.2"/>
    <s v="Gavi 6.0"/>
    <n v="2196130.9641999998"/>
    <n v="519600"/>
    <n v="2.1961309642"/>
    <n v="0.51959999999999995"/>
    <s v="Discretionary"/>
  </r>
  <r>
    <s v="Vaccine"/>
    <s v="Routine"/>
    <x v="11"/>
    <n v="2026"/>
    <s v="Cameroon"/>
    <s v="v23.2"/>
    <s v="Gavi 6.0"/>
    <n v="1802847.4802999999"/>
    <n v="426550"/>
    <n v="1.8028474802999999"/>
    <n v="0.42654999999999998"/>
    <s v="Discretionary"/>
  </r>
  <r>
    <s v="Vaccine"/>
    <s v="Other"/>
    <x v="11"/>
    <n v="2027"/>
    <s v="Global"/>
    <s v="v23.2"/>
    <s v="Gavi 6.0"/>
    <n v="40060569.513800003"/>
    <m/>
    <n v="40.060569513800004"/>
    <n v="0"/>
    <s v="Discretionary"/>
  </r>
  <r>
    <s v="Vaccine"/>
    <s v="Other"/>
    <x v="11"/>
    <n v="2026"/>
    <s v="Global"/>
    <s v="v23.2"/>
    <s v="Gavi 6.0"/>
    <n v="40060569.513800003"/>
    <m/>
    <n v="40.060569513800004"/>
    <n v="0"/>
    <s v="Discretionary"/>
  </r>
  <r>
    <s v="Vaccine"/>
    <s v="Routine"/>
    <x v="11"/>
    <n v="2028"/>
    <s v="Senegal"/>
    <s v="v23.2"/>
    <s v="Gavi 6.0"/>
    <n v="149879.51"/>
    <n v="46998.845722048798"/>
    <n v="0.14987951000000002"/>
    <n v="4.69988457220488E-2"/>
    <s v="Discretionary"/>
  </r>
  <r>
    <s v="Vaccine"/>
    <s v="Routine"/>
    <x v="11"/>
    <n v="2029"/>
    <s v="Senegal"/>
    <s v="v23.2"/>
    <s v="Gavi 6.0"/>
    <n v="141612.3315"/>
    <n v="44406.444339597001"/>
    <n v="0.14161233149999999"/>
    <n v="4.4406444339597E-2"/>
    <s v="Discretionary"/>
  </r>
  <r>
    <s v="Vaccine"/>
    <s v="Routine"/>
    <x v="11"/>
    <n v="2030"/>
    <s v="Senegal"/>
    <s v="v23.2"/>
    <s v="Gavi 6.0"/>
    <n v="139390.03750000001"/>
    <n v="43709.582892248902"/>
    <n v="0.13939003750000001"/>
    <n v="4.3709582892248904E-2"/>
    <s v="Discretionary"/>
  </r>
  <r>
    <s v="Vaccine"/>
    <s v="Other"/>
    <x v="11"/>
    <n v="2027"/>
    <s v="Global"/>
    <s v="v23.2"/>
    <s v="Gavi 6.0"/>
    <n v="-26750000"/>
    <n v="0"/>
    <n v="-26.75"/>
    <n v="0"/>
    <s v="Other"/>
  </r>
  <r>
    <s v="Vaccine"/>
    <s v="Other"/>
    <x v="11"/>
    <n v="2028"/>
    <s v="Global"/>
    <s v="v23.2"/>
    <s v="Gavi 6.0"/>
    <n v="-26750000"/>
    <n v="0"/>
    <n v="-26.75"/>
    <n v="0"/>
    <s v="Other"/>
  </r>
  <r>
    <s v="Vaccine"/>
    <s v="Other"/>
    <x v="11"/>
    <n v="2026"/>
    <s v="Global"/>
    <s v="v23.2"/>
    <s v="Gavi 6.0"/>
    <n v="-127012159.8"/>
    <n v="0"/>
    <n v="-127.01215979999999"/>
    <n v="0"/>
    <s v="Other"/>
  </r>
  <r>
    <s v="Vaccine"/>
    <s v="Other"/>
    <x v="11"/>
    <n v="2026"/>
    <s v="Global"/>
    <s v="v23.2"/>
    <s v="Gavi 6.0"/>
    <n v="53500000"/>
    <n v="0"/>
    <n v="53.5"/>
    <n v="0"/>
    <s v="Other"/>
  </r>
  <r>
    <s v="Vaccine"/>
    <s v="Other"/>
    <x v="7"/>
    <n v="2030"/>
    <s v="Global"/>
    <s v="v23.2"/>
    <s v="Gavi 6.0"/>
    <n v="15774187.0832"/>
    <m/>
    <n v="15.774187083200001"/>
    <n v="0"/>
    <s v="Guaranteed"/>
  </r>
  <r>
    <s v="Vaccine"/>
    <s v="Other"/>
    <x v="7"/>
    <n v="2029"/>
    <s v="Global"/>
    <s v="v23.2"/>
    <s v="Gavi 6.0"/>
    <n v="15774187.0832"/>
    <m/>
    <n v="15.774187083200001"/>
    <n v="0"/>
    <s v="Guaranteed"/>
  </r>
  <r>
    <s v="Vaccine"/>
    <s v="Other"/>
    <x v="7"/>
    <n v="2028"/>
    <s v="Global"/>
    <s v="v23.2"/>
    <s v="Gavi 6.0"/>
    <n v="15774187.0832"/>
    <m/>
    <n v="15.774187083200001"/>
    <n v="0"/>
    <s v="Guaranteed"/>
  </r>
  <r>
    <s v="Vaccine"/>
    <s v="Other"/>
    <x v="7"/>
    <n v="2027"/>
    <s v="Global"/>
    <s v="v23.2"/>
    <s v="Gavi 6.0"/>
    <n v="15774187.0832"/>
    <m/>
    <n v="15.774187083200001"/>
    <n v="0"/>
    <s v="Guaranteed"/>
  </r>
  <r>
    <s v="Vaccine"/>
    <s v="Other"/>
    <x v="7"/>
    <n v="2026"/>
    <s v="Global"/>
    <s v="v23.2"/>
    <s v="Gavi 6.0"/>
    <n v="15774187.0832"/>
    <m/>
    <n v="15.774187083200001"/>
    <n v="0"/>
    <s v="Guaranteed"/>
  </r>
  <r>
    <s v="Vaccine"/>
    <s v="Routine"/>
    <x v="7"/>
    <n v="2027"/>
    <s v="Nigeria"/>
    <s v="v23.2"/>
    <s v="Gavi 6.0"/>
    <n v="-1154046.8600000001"/>
    <m/>
    <n v="-1.15404686"/>
    <n v="0"/>
    <s v="Guaranteed"/>
  </r>
  <r>
    <s v="Vaccine"/>
    <s v="Routine"/>
    <x v="7"/>
    <n v="2026"/>
    <s v="Myanmar"/>
    <s v="v23.2"/>
    <s v="Gavi 6.0"/>
    <n v="1788196.9993"/>
    <n v="627286.68000000005"/>
    <n v="1.7881969993"/>
    <n v="0.6272866800000001"/>
    <s v="Guaranteed"/>
  </r>
  <r>
    <s v="Vaccine"/>
    <s v="Routine"/>
    <x v="7"/>
    <n v="2027"/>
    <s v="Myanmar"/>
    <s v="v23.2"/>
    <s v="Gavi 6.0"/>
    <n v="1537282.3273"/>
    <n v="627286.68000000005"/>
    <n v="1.5372823273"/>
    <n v="0.6272866800000001"/>
    <s v="Guaranteed"/>
  </r>
  <r>
    <s v="Vaccine"/>
    <s v="Routine"/>
    <x v="7"/>
    <n v="2028"/>
    <s v="Myanmar"/>
    <s v="v23.2"/>
    <s v="Gavi 6.0"/>
    <n v="1528998.8058"/>
    <n v="627286.68000000005"/>
    <n v="1.5289988057999999"/>
    <n v="0.6272866800000001"/>
    <s v="Guaranteed"/>
  </r>
  <r>
    <s v="Vaccine"/>
    <s v="Routine"/>
    <x v="7"/>
    <n v="2027"/>
    <s v="South Sudan"/>
    <s v="v23.2"/>
    <s v="Gavi 6.0"/>
    <n v="266473.80989999999"/>
    <n v="108734.39999999999"/>
    <n v="0.26647380989999997"/>
    <n v="0.10873439999999999"/>
    <s v="Guaranteed"/>
  </r>
  <r>
    <s v="Vaccine"/>
    <s v="Routine"/>
    <x v="7"/>
    <n v="2028"/>
    <s v="South Sudan"/>
    <s v="v23.2"/>
    <s v="Gavi 6.0"/>
    <n v="270439.78320000001"/>
    <n v="110950.56"/>
    <n v="0.27043978320000001"/>
    <n v="0.11095056"/>
    <s v="Guaranteed"/>
  </r>
  <r>
    <s v="Vaccine"/>
    <s v="Routine"/>
    <x v="7"/>
    <n v="2027"/>
    <s v="SYRIA-TAR"/>
    <s v="v23.2"/>
    <s v="Gavi 6.0"/>
    <n v="43171.9686"/>
    <n v="17616.283200000002"/>
    <n v="4.3171968599999999E-2"/>
    <n v="1.7616283200000003E-2"/>
    <s v="Guaranteed"/>
  </r>
  <r>
    <s v="Vaccine"/>
    <s v="Routine"/>
    <x v="7"/>
    <n v="2028"/>
    <s v="SYRIA-TAR"/>
    <s v="v23.2"/>
    <s v="Gavi 6.0"/>
    <n v="54999.699800000002"/>
    <n v="22564.163519999998"/>
    <n v="5.4999699800000003E-2"/>
    <n v="2.256416352E-2"/>
    <s v="Guaranteed"/>
  </r>
  <r>
    <s v="Vaccine"/>
    <s v="Routine"/>
    <x v="12"/>
    <n v="2027"/>
    <s v="South Sudan"/>
    <s v="v23.2"/>
    <s v="Gavi 6.0"/>
    <n v="109604.2752"/>
    <n v="108734.39999999999"/>
    <n v="0.1096042752"/>
    <n v="0.10873439999999999"/>
    <s v="Guaranteed"/>
  </r>
  <r>
    <s v="Vaccine"/>
    <s v="Routine"/>
    <x v="12"/>
    <n v="2028"/>
    <s v="South Sudan"/>
    <s v="v23.2"/>
    <s v="Gavi 6.0"/>
    <n v="106512.5376"/>
    <n v="110950.56"/>
    <n v="0.1065125376"/>
    <n v="0.11095056"/>
    <s v="Guaranteed"/>
  </r>
  <r>
    <s v="Vaccine"/>
    <s v="Routine"/>
    <x v="12"/>
    <n v="2026"/>
    <s v="Myanmar"/>
    <s v="v23.2"/>
    <s v="Gavi 6.0"/>
    <n v="857420.66669999994"/>
    <n v="402702.56"/>
    <n v="0.85742066669999994"/>
    <n v="0.40270255999999999"/>
    <s v="Guaranteed"/>
  </r>
  <r>
    <s v="Vaccine"/>
    <s v="Routine"/>
    <x v="12"/>
    <n v="2027"/>
    <s v="Myanmar"/>
    <s v="v23.2"/>
    <s v="Gavi 6.0"/>
    <n v="865474.71790000005"/>
    <n v="402702.56"/>
    <n v="0.86547471790000008"/>
    <n v="0.40270255999999999"/>
    <s v="Guaranteed"/>
  </r>
  <r>
    <s v="Vaccine"/>
    <s v="Routine"/>
    <x v="12"/>
    <n v="2028"/>
    <s v="Myanmar"/>
    <s v="v23.2"/>
    <s v="Gavi 6.0"/>
    <n v="857188.38459999999"/>
    <n v="402702.56"/>
    <n v="0.85718838460000002"/>
    <n v="0.40270255999999999"/>
    <s v="Guaranteed"/>
  </r>
  <r>
    <s v="Vaccine"/>
    <s v="Routine"/>
    <x v="12"/>
    <n v="2027"/>
    <s v="SYRIA-TAR"/>
    <s v="v23.2"/>
    <s v="Gavi 6.0"/>
    <n v="18809.4784"/>
    <n v="18660.196800000002"/>
    <n v="1.8809478399999999E-2"/>
    <n v="1.8660196800000001E-2"/>
    <s v="Guaranteed"/>
  </r>
  <r>
    <s v="Vaccine"/>
    <s v="Routine"/>
    <x v="12"/>
    <n v="2028"/>
    <s v="SYRIA-TAR"/>
    <s v="v23.2"/>
    <s v="Gavi 6.0"/>
    <n v="21661.597000000002"/>
    <n v="22564.163519999998"/>
    <n v="2.1661597000000001E-2"/>
    <n v="2.256416352E-2"/>
    <s v="Guaranteed"/>
  </r>
  <r>
    <s v="Vaccine"/>
    <s v="Other"/>
    <x v="12"/>
    <n v="2026"/>
    <s v="Global"/>
    <s v="v23.2"/>
    <s v="Gavi 6.0"/>
    <n v="-14982164.1"/>
    <m/>
    <n v="-14.9821641"/>
    <n v="0"/>
    <s v="Other"/>
  </r>
  <r>
    <s v="Vaccine"/>
    <s v="Other"/>
    <x v="12"/>
    <n v="2027"/>
    <s v="Global"/>
    <s v="v23.2"/>
    <s v="Gavi 6.0"/>
    <n v="-14982164.1"/>
    <m/>
    <n v="-14.9821641"/>
    <n v="0"/>
    <s v="Other"/>
  </r>
  <r>
    <s v="Vaccine"/>
    <s v="Other"/>
    <x v="12"/>
    <n v="2028"/>
    <s v="Global"/>
    <s v="v23.2"/>
    <s v="Gavi 6.0"/>
    <n v="-14982164.1"/>
    <m/>
    <n v="-14.9821641"/>
    <n v="0"/>
    <s v="Other"/>
  </r>
  <r>
    <s v="Vaccine"/>
    <s v="Routine"/>
    <x v="23"/>
    <n v="2029"/>
    <s v="Bangladesh"/>
    <s v="v23.2"/>
    <s v="Gavi 6.0"/>
    <n v="811079.18770000001"/>
    <n v="218129.216440413"/>
    <n v="0.81107918769999998"/>
    <n v="0.218129216440413"/>
    <s v="Discretionary"/>
  </r>
  <r>
    <s v="Vaccine"/>
    <s v="Routine"/>
    <x v="23"/>
    <n v="2030"/>
    <s v="Gambia"/>
    <s v="v23.2"/>
    <s v="Gavi 6.0"/>
    <n v="264412.32870000001"/>
    <n v="71062.588494698401"/>
    <n v="0.26441232870000003"/>
    <n v="7.1062588494698403E-2"/>
    <s v="Discretionary"/>
  </r>
  <r>
    <s v="Vaccine"/>
    <s v="Routine"/>
    <x v="23"/>
    <n v="2030"/>
    <s v="Kenya"/>
    <s v="v23.2"/>
    <s v="Gavi 6.0"/>
    <n v="1130337.5492"/>
    <n v="303989.60750420601"/>
    <n v="1.1303375492000001"/>
    <n v="0.30398960750420601"/>
    <s v="Discretionary"/>
  </r>
  <r>
    <s v="Vaccine"/>
    <s v="Routine"/>
    <x v="23"/>
    <n v="2030"/>
    <s v="United Republic of Tanzania"/>
    <s v="v23.2"/>
    <s v="Gavi 6.0"/>
    <n v="6391188.2317000004"/>
    <n v="1718827.0914705901"/>
    <n v="6.3911882317000002"/>
    <n v="1.7188270914705901"/>
    <s v="Discretionary"/>
  </r>
  <r>
    <s v="Vaccine"/>
    <s v="Routine"/>
    <x v="13"/>
    <n v="2027"/>
    <s v="Bangladesh"/>
    <s v="v23.2"/>
    <s v="Gavi 6.0"/>
    <n v="45391.116499999996"/>
    <n v="41100"/>
    <n v="4.5391116499999995E-2"/>
    <n v="4.1099999999999998E-2"/>
    <s v="Discretionary"/>
  </r>
  <r>
    <s v="Vaccine"/>
    <s v="Routine"/>
    <x v="13"/>
    <n v="2028"/>
    <s v="Bangladesh"/>
    <s v="v23.2"/>
    <s v="Gavi 6.0"/>
    <n v="44572.091899999999"/>
    <n v="40650"/>
    <n v="4.4572091899999999E-2"/>
    <n v="4.0649999999999999E-2"/>
    <s v="Discretionary"/>
  </r>
  <r>
    <s v="Vaccine"/>
    <s v="Routine"/>
    <x v="13"/>
    <n v="2028"/>
    <s v="Nepal"/>
    <s v="v23.2"/>
    <s v="Gavi 6.0"/>
    <n v="396550.2132"/>
    <n v="361656.03784157301"/>
    <n v="0.3965502132"/>
    <n v="0.36165603784157302"/>
    <s v="Discretionary"/>
  </r>
  <r>
    <s v="Vaccine"/>
    <s v="Routine"/>
    <x v="13"/>
    <n v="2029"/>
    <s v="Nepal"/>
    <s v="v23.2"/>
    <s v="Gavi 6.0"/>
    <n v="364941.22930000001"/>
    <n v="332828.465636915"/>
    <n v="0.3649412293"/>
    <n v="0.33282846563691498"/>
    <s v="Discretionary"/>
  </r>
  <r>
    <s v="Vaccine"/>
    <s v="Routine"/>
    <x v="13"/>
    <n v="2030"/>
    <s v="Nepal"/>
    <s v="v23.2"/>
    <s v="Gavi 6.0"/>
    <n v="329000.68449999997"/>
    <n v="300050.48546858103"/>
    <n v="0.32900068449999997"/>
    <n v="0.30005048546858104"/>
    <s v="Discretionary"/>
  </r>
  <r>
    <s v="Vaccine"/>
    <s v="Routine"/>
    <x v="13"/>
    <n v="2026"/>
    <s v="Nepal"/>
    <s v="v23.2"/>
    <s v="Gavi 6.0"/>
    <n v="451812.78460000001"/>
    <n v="409100"/>
    <n v="0.45181278460000002"/>
    <n v="0.40910000000000002"/>
    <s v="Discretionary"/>
  </r>
  <r>
    <s v="Vaccine"/>
    <s v="Routine"/>
    <x v="13"/>
    <n v="2027"/>
    <s v="Nepal"/>
    <s v="v23.2"/>
    <s v="Gavi 6.0"/>
    <n v="427555.82539999997"/>
    <n v="387136.20094622998"/>
    <n v="0.42755582539999998"/>
    <n v="0.38713620094622997"/>
    <s v="Discretionary"/>
  </r>
  <r>
    <s v="Vaccine"/>
    <s v="Routine"/>
    <x v="13"/>
    <n v="2026"/>
    <s v="Niger"/>
    <s v="v23.2"/>
    <s v="Gavi 6.0"/>
    <n v="1380930.8966999999"/>
    <n v="1238780.43335752"/>
    <n v="1.3809308967"/>
    <n v="1.2387804333575201"/>
    <s v="Discretionary"/>
  </r>
  <r>
    <s v="Vaccine"/>
    <s v="Routine"/>
    <x v="13"/>
    <n v="2027"/>
    <s v="Niger"/>
    <s v="v23.2"/>
    <s v="Gavi 6.0"/>
    <n v="1207433.4409"/>
    <n v="1083142.48371473"/>
    <n v="1.2074334409"/>
    <n v="1.0831424837147301"/>
    <s v="Discretionary"/>
  </r>
  <r>
    <s v="Vaccine"/>
    <s v="Routine"/>
    <x v="13"/>
    <n v="2028"/>
    <s v="Niger"/>
    <s v="v23.2"/>
    <s v="Gavi 6.0"/>
    <n v="1215291.7811"/>
    <n v="1097995.1276793601"/>
    <n v="1.2152917810999999"/>
    <n v="1.09799512767936"/>
    <s v="Discretionary"/>
  </r>
  <r>
    <s v="Vaccine"/>
    <s v="Routine"/>
    <x v="13"/>
    <n v="2026"/>
    <s v="Liberia"/>
    <s v="v23.2"/>
    <s v="Gavi 6.0"/>
    <n v="251548.53200000001"/>
    <n v="225654.59300043801"/>
    <n v="0.25154853199999999"/>
    <n v="0.225654593000438"/>
    <s v="Discretionary"/>
  </r>
  <r>
    <s v="Vaccine"/>
    <s v="Routine"/>
    <x v="13"/>
    <n v="2027"/>
    <s v="Liberia"/>
    <s v="v23.2"/>
    <s v="Gavi 6.0"/>
    <n v="154923.5306"/>
    <n v="138975.98997183901"/>
    <n v="0.1549235306"/>
    <n v="0.13897598997183902"/>
    <s v="Discretionary"/>
  </r>
  <r>
    <s v="Vaccine"/>
    <s v="Routine"/>
    <x v="13"/>
    <n v="2028"/>
    <s v="Liberia"/>
    <s v="v23.2"/>
    <s v="Gavi 6.0"/>
    <n v="155179.7591"/>
    <n v="140202.23133862601"/>
    <n v="0.15517975910000001"/>
    <n v="0.140202231338626"/>
    <s v="Discretionary"/>
  </r>
  <r>
    <s v="Vaccine"/>
    <s v="Routine"/>
    <x v="13"/>
    <n v="2028"/>
    <s v="Bangladesh"/>
    <s v="v23.2"/>
    <s v="Gavi 6.0"/>
    <n v="1611934.1077000001"/>
    <n v="1470093.0252901199"/>
    <n v="1.6119341077"/>
    <n v="1.4700930252901199"/>
    <s v="Discretionary"/>
  </r>
  <r>
    <s v="Vaccine"/>
    <s v="Routine"/>
    <x v="13"/>
    <n v="2026"/>
    <s v="Bangladesh"/>
    <s v="v23.2"/>
    <s v="Gavi 6.0"/>
    <n v="-0.31209999999999999"/>
    <n v="-0.2826439"/>
    <n v="-3.121E-7"/>
    <n v="-2.8264390000000001E-7"/>
    <s v="Discretionary"/>
  </r>
  <r>
    <s v="Vaccine"/>
    <s v="Routine"/>
    <x v="13"/>
    <n v="2027"/>
    <s v="Bangladesh"/>
    <s v="v23.2"/>
    <s v="Gavi 6.0"/>
    <n v="1949351.5607"/>
    <n v="1765066.7181472001"/>
    <n v="1.9493515607"/>
    <n v="1.7650667181472002"/>
    <s v="Discretionary"/>
  </r>
  <r>
    <s v="Vaccine"/>
    <s v="Routine"/>
    <x v="13"/>
    <n v="2029"/>
    <s v="Niger"/>
    <s v="v23.2"/>
    <s v="Gavi 6.0"/>
    <n v="1246782.4410999999"/>
    <n v="1126446.39489451"/>
    <n v="1.2467824410999999"/>
    <n v="1.12644639489451"/>
    <s v="Discretionary"/>
  </r>
  <r>
    <s v="Vaccine"/>
    <s v="Routine"/>
    <x v="13"/>
    <n v="2030"/>
    <s v="Niger"/>
    <s v="v23.2"/>
    <s v="Gavi 6.0"/>
    <n v="1268789.3192"/>
    <n v="1146329.2290397901"/>
    <n v="1.2687893191999999"/>
    <n v="1.1463292290397902"/>
    <s v="Discretionary"/>
  </r>
  <r>
    <s v="Vaccine"/>
    <s v="Routine"/>
    <x v="13"/>
    <n v="2029"/>
    <s v="Bangladesh"/>
    <s v="v23.2"/>
    <s v="Gavi 6.0"/>
    <n v="1237293.8707000001"/>
    <n v="1128419.0097519299"/>
    <n v="1.2372938707000001"/>
    <n v="1.12841900975193"/>
    <s v="Discretionary"/>
  </r>
  <r>
    <s v="Vaccine"/>
    <s v="Routine"/>
    <x v="13"/>
    <n v="2029"/>
    <s v="Cambodia"/>
    <s v="v23.2"/>
    <s v="Gavi 6.0"/>
    <n v="251836.2254"/>
    <n v="229676.06223871"/>
    <n v="0.2518362254"/>
    <n v="0.22967606223871001"/>
    <s v="Discretionary"/>
  </r>
  <r>
    <s v="Vaccine"/>
    <s v="Routine"/>
    <x v="13"/>
    <n v="2030"/>
    <s v="Cambodia"/>
    <s v="v23.2"/>
    <s v="Gavi 6.0"/>
    <n v="207828.88029999999"/>
    <n v="189541.114589492"/>
    <n v="0.20782888029999999"/>
    <n v="0.18954111458949199"/>
    <s v="Discretionary"/>
  </r>
  <r>
    <s v="Vaccine"/>
    <s v="Routine"/>
    <x v="13"/>
    <n v="2026"/>
    <s v="Burkina Faso"/>
    <s v="v23.2"/>
    <s v="Gavi 6.0"/>
    <n v="892133.93350000004"/>
    <n v="801900"/>
    <n v="0.89213393350000003"/>
    <n v="0.80189999999999995"/>
    <s v="Discretionary"/>
  </r>
  <r>
    <s v="Vaccine"/>
    <s v="Routine"/>
    <x v="13"/>
    <n v="2027"/>
    <s v="Burkina Faso"/>
    <s v="v23.2"/>
    <s v="Gavi 6.0"/>
    <n v="824783.97459999996"/>
    <n v="739882.24315941299"/>
    <n v="0.82478397459999997"/>
    <n v="0.73988224315941298"/>
    <s v="Discretionary"/>
  </r>
  <r>
    <s v="Vaccine"/>
    <s v="Routine"/>
    <x v="13"/>
    <n v="2028"/>
    <s v="Burkina Faso"/>
    <s v="v23.2"/>
    <s v="Gavi 6.0"/>
    <n v="830156.52650000004"/>
    <n v="750032.07908107503"/>
    <n v="0.83015652650000005"/>
    <n v="0.75003207908107505"/>
    <s v="Discretionary"/>
  </r>
  <r>
    <s v="Vaccine"/>
    <s v="Routine"/>
    <x v="13"/>
    <n v="2029"/>
    <s v="Burkina Faso"/>
    <s v="v23.2"/>
    <s v="Gavi 6.0"/>
    <n v="841500.96070000005"/>
    <n v="760281.57937840698"/>
    <n v="0.84150096070000002"/>
    <n v="0.76028157937840701"/>
    <s v="Discretionary"/>
  </r>
  <r>
    <s v="Vaccine"/>
    <s v="Routine"/>
    <x v="13"/>
    <n v="2030"/>
    <s v="Burkina Faso"/>
    <s v="v23.2"/>
    <s v="Gavi 6.0"/>
    <n v="864811.58629999997"/>
    <n v="788713.05916984903"/>
    <n v="0.86481158629999999"/>
    <n v="0.78871305916984902"/>
    <s v="Discretionary"/>
  </r>
  <r>
    <s v="Vaccine"/>
    <s v="Routine"/>
    <x v="13"/>
    <n v="2028"/>
    <s v="Sierra Leone"/>
    <s v="v23.2"/>
    <s v="Gavi 6.0"/>
    <n v="261026.62169999999"/>
    <n v="235172.211989667"/>
    <n v="0.26102662169999996"/>
    <n v="0.23517221198966701"/>
    <s v="Discretionary"/>
  </r>
  <r>
    <s v="Vaccine"/>
    <s v="Routine"/>
    <x v="13"/>
    <n v="2029"/>
    <s v="Sierra Leone"/>
    <s v="v23.2"/>
    <s v="Gavi 6.0"/>
    <n v="234935.2824"/>
    <n v="211665.192082322"/>
    <n v="0.2349352824"/>
    <n v="0.21166519208232201"/>
    <s v="Discretionary"/>
  </r>
  <r>
    <s v="Vaccine"/>
    <s v="Routine"/>
    <x v="13"/>
    <n v="2030"/>
    <s v="Sierra Leone"/>
    <s v="v23.2"/>
    <s v="Gavi 6.0"/>
    <n v="237501.3585"/>
    <n v="213977.10112440001"/>
    <n v="0.23750135850000001"/>
    <n v="0.21397710112440002"/>
    <s v="Discretionary"/>
  </r>
  <r>
    <s v="Vaccine"/>
    <s v="Routine"/>
    <x v="13"/>
    <n v="2026"/>
    <s v="Malawi"/>
    <s v="v23.2"/>
    <s v="Gavi 6.0"/>
    <n v="803411.10970000003"/>
    <n v="722150"/>
    <n v="0.80341110970000007"/>
    <n v="0.72214999999999996"/>
    <s v="Discretionary"/>
  </r>
  <r>
    <s v="Vaccine"/>
    <s v="Routine"/>
    <x v="13"/>
    <n v="2027"/>
    <s v="Malawi"/>
    <s v="v23.2"/>
    <s v="Gavi 6.0"/>
    <n v="781199.51930000004"/>
    <n v="700784.29078098596"/>
    <n v="0.78119951930000009"/>
    <n v="0.70078429078098592"/>
    <s v="Discretionary"/>
  </r>
  <r>
    <s v="Vaccine"/>
    <s v="Routine"/>
    <x v="13"/>
    <n v="2028"/>
    <s v="Malawi"/>
    <s v="v23.2"/>
    <s v="Gavi 6.0"/>
    <n v="787993.60199999996"/>
    <n v="711938.60526379605"/>
    <n v="0.7879936019999999"/>
    <n v="0.71193860526379604"/>
    <s v="Discretionary"/>
  </r>
  <r>
    <s v="Vaccine"/>
    <s v="Routine"/>
    <x v="13"/>
    <n v="2029"/>
    <s v="Malawi"/>
    <s v="v23.2"/>
    <s v="Gavi 6.0"/>
    <n v="800498.55870000005"/>
    <n v="723236.61757644801"/>
    <n v="0.80049855870000008"/>
    <n v="0.72323661757644797"/>
    <s v="Discretionary"/>
  </r>
  <r>
    <s v="Vaccine"/>
    <s v="Routine"/>
    <x v="13"/>
    <n v="2030"/>
    <s v="Malawi"/>
    <s v="v23.2"/>
    <s v="Gavi 6.0"/>
    <n v="813164.42390000005"/>
    <n v="734680.00794913399"/>
    <n v="0.8131644239000001"/>
    <n v="0.73468000794913402"/>
    <s v="Discretionary"/>
  </r>
  <r>
    <s v="Vaccine"/>
    <s v="Routine"/>
    <x v="13"/>
    <n v="2029"/>
    <s v="Myanmar"/>
    <s v="v23.2"/>
    <s v="Gavi 6.0"/>
    <n v="528684.93779999996"/>
    <n v="482163.65411103499"/>
    <n v="0.52868493779999992"/>
    <n v="0.48216365411103501"/>
    <s v="Discretionary"/>
  </r>
  <r>
    <s v="Vaccine"/>
    <s v="Routine"/>
    <x v="13"/>
    <n v="2030"/>
    <s v="Myanmar"/>
    <s v="v23.2"/>
    <s v="Gavi 6.0"/>
    <n v="467975.83049999998"/>
    <n v="426796.60484599799"/>
    <n v="0.46797583049999997"/>
    <n v="0.42679660484599802"/>
    <s v="Discretionary"/>
  </r>
  <r>
    <s v="Vaccine"/>
    <s v="Routine"/>
    <x v="13"/>
    <n v="2029"/>
    <s v="Liberia"/>
    <s v="v23.2"/>
    <s v="Gavi 6.0"/>
    <n v="156464.7861"/>
    <n v="141363.23101312399"/>
    <n v="0.1564647861"/>
    <n v="0.14136323101312398"/>
    <s v="Discretionary"/>
  </r>
  <r>
    <s v="Vaccine"/>
    <s v="Routine"/>
    <x v="13"/>
    <n v="2030"/>
    <s v="Liberia"/>
    <s v="v23.2"/>
    <s v="Gavi 6.0"/>
    <n v="158767.40590000001"/>
    <n v="143443.608193803"/>
    <n v="0.15876740590000002"/>
    <n v="0.143443608193803"/>
    <s v="Discretionary"/>
  </r>
  <r>
    <s v="Vaccine"/>
    <s v="Routine"/>
    <x v="13"/>
    <n v="2026"/>
    <s v="Kenya"/>
    <s v="v23.2"/>
    <s v="Gavi 6.0"/>
    <n v="845478.57440000004"/>
    <n v="765550"/>
    <n v="0.84547857440000007"/>
    <n v="0.76554999999999995"/>
    <s v="Discretionary"/>
  </r>
  <r>
    <s v="Vaccine"/>
    <s v="Routine"/>
    <x v="13"/>
    <n v="2027"/>
    <s v="Kenya"/>
    <s v="v23.2"/>
    <s v="Gavi 6.0"/>
    <n v="666897.44559999998"/>
    <n v="603851.30599122704"/>
    <n v="0.66689744559999997"/>
    <n v="0.60385130599122705"/>
    <s v="Discretionary"/>
  </r>
  <r>
    <s v="Vaccine"/>
    <s v="Routine"/>
    <x v="13"/>
    <n v="2028"/>
    <s v="Kenya"/>
    <s v="v23.2"/>
    <s v="Gavi 6.0"/>
    <n v="474298.4583"/>
    <n v="432562.877196535"/>
    <n v="0.4742984583"/>
    <n v="0.43256287719653502"/>
    <s v="Discretionary"/>
  </r>
  <r>
    <s v="Vaccine"/>
    <s v="Routine"/>
    <x v="13"/>
    <n v="2029"/>
    <s v="Kenya"/>
    <s v="v23.2"/>
    <s v="Gavi 6.0"/>
    <n v="400885.54330000002"/>
    <n v="365609.883341907"/>
    <n v="0.40088554330000004"/>
    <n v="0.36560988334190703"/>
    <s v="Discretionary"/>
  </r>
  <r>
    <s v="Vaccine"/>
    <s v="Routine"/>
    <x v="13"/>
    <n v="2030"/>
    <s v="Kenya"/>
    <s v="v23.2"/>
    <s v="Gavi 6.0"/>
    <n v="405904.70850000001"/>
    <n v="370187.39039770199"/>
    <n v="0.40590470849999999"/>
    <n v="0.37018739039770199"/>
    <s v="Discretionary"/>
  </r>
  <r>
    <s v="Vaccine"/>
    <s v="Routine"/>
    <x v="13"/>
    <n v="2026"/>
    <s v="Zimbabwe"/>
    <s v="v23.2"/>
    <s v="Gavi 6.0"/>
    <n v="449493.59029999998"/>
    <n v="407000"/>
    <n v="0.44949359029999997"/>
    <n v="0.40699999999999997"/>
    <s v="Discretionary"/>
  </r>
  <r>
    <s v="Vaccine"/>
    <s v="Routine"/>
    <x v="13"/>
    <n v="2027"/>
    <s v="Zimbabwe"/>
    <s v="v23.2"/>
    <s v="Gavi 6.0"/>
    <n v="444280.4693"/>
    <n v="402279.75586399599"/>
    <n v="0.44428046929999998"/>
    <n v="0.402279755863996"/>
    <s v="Discretionary"/>
  </r>
  <r>
    <s v="Vaccine"/>
    <s v="Routine"/>
    <x v="13"/>
    <n v="2028"/>
    <s v="Zimbabwe"/>
    <s v="v23.2"/>
    <s v="Gavi 6.0"/>
    <n v="434346.54060000001"/>
    <n v="396126.50217258401"/>
    <n v="0.4343465406"/>
    <n v="0.39612650217258399"/>
    <s v="Discretionary"/>
  </r>
  <r>
    <s v="Vaccine"/>
    <s v="Routine"/>
    <x v="13"/>
    <n v="2029"/>
    <s v="Zimbabwe"/>
    <s v="v23.2"/>
    <s v="Gavi 6.0"/>
    <n v="425000.9792"/>
    <n v="387603.29733581602"/>
    <n v="0.42500097920000002"/>
    <n v="0.387603297335816"/>
    <s v="Discretionary"/>
  </r>
  <r>
    <s v="Vaccine"/>
    <s v="Routine"/>
    <x v="13"/>
    <n v="2030"/>
    <s v="Zimbabwe"/>
    <s v="v23.2"/>
    <s v="Gavi 6.0"/>
    <n v="412653.26189999998"/>
    <n v="376342.109292434"/>
    <n v="0.41265326189999996"/>
    <n v="0.376342109292434"/>
    <s v="Discretionary"/>
  </r>
  <r>
    <s v="Vaccine"/>
    <s v="Routine"/>
    <x v="13"/>
    <n v="2029"/>
    <s v="Rwanda"/>
    <s v="v23.2"/>
    <s v="Gavi 6.0"/>
    <n v="442796.10509999999"/>
    <n v="400058.630785794"/>
    <n v="0.4427961051"/>
    <n v="0.40005863078579401"/>
    <s v="Discretionary"/>
  </r>
  <r>
    <s v="Vaccine"/>
    <s v="Routine"/>
    <x v="13"/>
    <n v="2030"/>
    <s v="Rwanda"/>
    <s v="v23.2"/>
    <s v="Gavi 6.0"/>
    <n v="407833.43119999999"/>
    <n v="368470.45893059397"/>
    <n v="0.40783343119999999"/>
    <n v="0.36847045893059399"/>
    <s v="Discretionary"/>
  </r>
  <r>
    <s v="Vaccine"/>
    <s v="Routine"/>
    <x v="13"/>
    <n v="2026"/>
    <s v="Pakistan"/>
    <s v="v23.2"/>
    <s v="Gavi 6.0"/>
    <n v="3020110.6512000002"/>
    <n v="2734600"/>
    <n v="3.0201106512"/>
    <n v="2.7345999999999999"/>
    <s v="Discretionary"/>
  </r>
  <r>
    <s v="Vaccine"/>
    <s v="Routine"/>
    <x v="13"/>
    <n v="2027"/>
    <s v="Pakistan"/>
    <s v="v23.2"/>
    <s v="Gavi 6.0"/>
    <n v="2389399.3354000002"/>
    <n v="2163513.9234209801"/>
    <n v="2.3893993354000003"/>
    <n v="2.1635139234209801"/>
    <s v="Discretionary"/>
  </r>
  <r>
    <s v="Vaccine"/>
    <s v="Routine"/>
    <x v="13"/>
    <n v="2028"/>
    <s v="Pakistan"/>
    <s v="v23.2"/>
    <s v="Gavi 6.0"/>
    <n v="1645506.9463"/>
    <n v="1500711.6439817899"/>
    <n v="1.6455069463000001"/>
    <n v="1.50071164398179"/>
    <s v="Discretionary"/>
  </r>
  <r>
    <s v="Vaccine"/>
    <s v="Routine"/>
    <x v="13"/>
    <n v="2029"/>
    <s v="Pakistan"/>
    <s v="v23.2"/>
    <s v="Gavi 6.0"/>
    <n v="1519491.3903000001"/>
    <n v="1385784.7439943"/>
    <n v="1.5194913903"/>
    <n v="1.3857847439943001"/>
    <s v="Discretionary"/>
  </r>
  <r>
    <s v="Vaccine"/>
    <s v="Routine"/>
    <x v="13"/>
    <n v="2030"/>
    <s v="Pakistan"/>
    <s v="v23.2"/>
    <s v="Gavi 6.0"/>
    <n v="1541932.1051"/>
    <n v="1406250.8028414"/>
    <n v="1.5419321051000001"/>
    <n v="1.4062508028414"/>
    <s v="Discretionary"/>
  </r>
  <r>
    <s v="Vaccine"/>
    <s v="Routine"/>
    <x v="13"/>
    <n v="2030"/>
    <s v="Togo"/>
    <s v="v23.2"/>
    <s v="Gavi 6.0"/>
    <n v="223580.39550000001"/>
    <n v="203906.58554052701"/>
    <n v="0.2235803955"/>
    <n v="0.20390658554052701"/>
    <s v="Discretionary"/>
  </r>
  <r>
    <s v="Vaccine"/>
    <s v="Campaign"/>
    <x v="4"/>
    <n v="2026"/>
    <s v="Congo, the Democratic Republic of the"/>
    <s v="v23.2"/>
    <s v="Gavi 6.0"/>
    <n v="0"/>
    <n v="26285074.722141799"/>
    <n v="0"/>
    <n v="26.285074722141797"/>
    <s v="Guaranteed"/>
  </r>
  <r>
    <s v="Vaccine"/>
    <s v="Other"/>
    <x v="30"/>
    <n v="2030"/>
    <s v="Global"/>
    <s v="v23.2"/>
    <s v="Gavi 6.0"/>
    <n v="10159364"/>
    <m/>
    <n v="10.159364"/>
    <n v="0"/>
    <s v="Other"/>
  </r>
  <r>
    <s v="Vaccine"/>
    <s v="Other"/>
    <x v="30"/>
    <n v="2029"/>
    <s v="Global"/>
    <s v="v23.2"/>
    <s v="Gavi 6.0"/>
    <n v="34586"/>
    <m/>
    <n v="3.4585999999999999E-2"/>
    <n v="0"/>
    <s v="Other"/>
  </r>
  <r>
    <s v="Vaccine"/>
    <s v="Other"/>
    <x v="30"/>
    <n v="2028"/>
    <s v="Global"/>
    <s v="v23.2"/>
    <s v="Gavi 6.0"/>
    <n v="2814493"/>
    <m/>
    <n v="2.8144930000000001"/>
    <n v="0"/>
    <s v="Other"/>
  </r>
  <r>
    <s v="Vaccine"/>
    <s v="Other"/>
    <x v="30"/>
    <n v="2029"/>
    <s v="Global"/>
    <s v="v23.2"/>
    <s v="Gavi 6.0"/>
    <n v="7043861"/>
    <m/>
    <n v="7.0438609999999997"/>
    <n v="0"/>
    <s v="Other"/>
  </r>
  <r>
    <s v="Vaccine"/>
    <s v="Other"/>
    <x v="30"/>
    <n v="2027"/>
    <s v="Global"/>
    <s v="v23.2"/>
    <s v="Gavi 6.0"/>
    <n v="6247723"/>
    <m/>
    <n v="6.2477229999999997"/>
    <n v="0"/>
    <s v="Other"/>
  </r>
  <r>
    <s v="Vaccine"/>
    <s v="Other"/>
    <x v="30"/>
    <n v="2028"/>
    <s v="Global"/>
    <s v="v23.2"/>
    <s v="Gavi 6.0"/>
    <n v="18750654"/>
    <m/>
    <n v="18.750654000000001"/>
    <n v="0"/>
    <s v="Other"/>
  </r>
  <r>
    <s v="Vaccine"/>
    <s v="Other"/>
    <x v="30"/>
    <n v="2027"/>
    <s v="Global"/>
    <s v="v23.2"/>
    <s v="Gavi 6.0"/>
    <n v="13016357"/>
    <m/>
    <n v="13.016356999999999"/>
    <n v="0"/>
    <s v="Other"/>
  </r>
  <r>
    <s v="Vaccine"/>
    <s v="Other"/>
    <x v="30"/>
    <n v="2030"/>
    <s v="Global"/>
    <s v="v23.2"/>
    <s v="Gavi 6.0"/>
    <n v="23119"/>
    <m/>
    <n v="2.3119000000000001E-2"/>
    <n v="0"/>
    <s v="Other"/>
  </r>
  <r>
    <s v="Vaccine"/>
    <s v="Other"/>
    <x v="30"/>
    <n v="2029"/>
    <s v="Global"/>
    <s v="v23.2"/>
    <s v="Gavi 6.0"/>
    <n v="4095099"/>
    <m/>
    <n v="4.0950990000000003"/>
    <n v="0"/>
    <s v="Other"/>
  </r>
  <r>
    <s v="Vaccine"/>
    <s v="Other"/>
    <x v="30"/>
    <n v="2028"/>
    <s v="Global"/>
    <s v="v23.2"/>
    <s v="Gavi 6.0"/>
    <n v="36108"/>
    <m/>
    <n v="3.6108000000000001E-2"/>
    <n v="0"/>
    <s v="Other"/>
  </r>
  <r>
    <s v="Vaccine"/>
    <s v="Other"/>
    <x v="30"/>
    <n v="2027"/>
    <s v="Global"/>
    <s v="v23.2"/>
    <s v="Gavi 6.0"/>
    <n v="3789223"/>
    <m/>
    <n v="3.7892229999999998"/>
    <n v="0"/>
    <s v="Other"/>
  </r>
  <r>
    <s v="Vaccine"/>
    <s v="Other"/>
    <x v="30"/>
    <n v="2026"/>
    <s v="Global"/>
    <s v="v23.2"/>
    <s v="Gavi 6.0"/>
    <n v="240677"/>
    <m/>
    <n v="0.240677"/>
    <n v="0"/>
    <s v="Other"/>
  </r>
  <r>
    <s v="Vaccine"/>
    <s v="Other"/>
    <x v="30"/>
    <n v="2026"/>
    <s v="Global"/>
    <s v="v23.2"/>
    <s v="Gavi 6.0"/>
    <n v="240677"/>
    <m/>
    <n v="0.240677"/>
    <n v="0"/>
    <s v="Other"/>
  </r>
  <r>
    <s v="Vaccine"/>
    <s v="Other"/>
    <x v="30"/>
    <n v="2026"/>
    <s v="Global"/>
    <s v="v23.2"/>
    <s v="Gavi 6.0"/>
    <n v="240677"/>
    <m/>
    <n v="0.240677"/>
    <n v="0"/>
    <s v="Other"/>
  </r>
  <r>
    <s v="Vaccine"/>
    <s v="Other"/>
    <x v="31"/>
    <n v="2030"/>
    <s v="Global"/>
    <s v="v23.2"/>
    <s v="Gavi 6.0"/>
    <n v="51767675"/>
    <m/>
    <n v="51.767674999999997"/>
    <n v="0"/>
    <s v="Other"/>
  </r>
  <r>
    <s v="Vaccine"/>
    <s v="Other"/>
    <x v="31"/>
    <n v="2029"/>
    <s v="Global"/>
    <s v="v23.2"/>
    <s v="Gavi 6.0"/>
    <n v="51767675"/>
    <m/>
    <n v="51.767674999999997"/>
    <n v="0"/>
    <s v="Other"/>
  </r>
  <r>
    <s v="Vaccine"/>
    <s v="Other"/>
    <x v="31"/>
    <n v="2028"/>
    <s v="Global"/>
    <s v="v23.2"/>
    <s v="Gavi 6.0"/>
    <n v="48767675"/>
    <m/>
    <n v="48.767674999999997"/>
    <n v="0"/>
    <s v="Other"/>
  </r>
  <r>
    <s v="Vaccine"/>
    <s v="Other"/>
    <x v="31"/>
    <n v="2027"/>
    <s v="Global"/>
    <s v="v23.2"/>
    <s v="Gavi 6.0"/>
    <n v="49977675"/>
    <m/>
    <n v="49.977674999999998"/>
    <n v="0"/>
    <s v="Other"/>
  </r>
  <r>
    <s v="Vaccine"/>
    <s v="Other"/>
    <x v="31"/>
    <n v="2026"/>
    <s v="Global"/>
    <s v="v23.2"/>
    <s v="Gavi 6.0"/>
    <n v="7622222"/>
    <m/>
    <n v="7.6222219999999998"/>
    <n v="0"/>
    <s v="Other"/>
  </r>
  <r>
    <s v="Vaccine"/>
    <s v="Other"/>
    <x v="31"/>
    <n v="2026"/>
    <s v="Global"/>
    <s v="v23.2"/>
    <s v="Gavi 6.0"/>
    <n v="7622222"/>
    <m/>
    <n v="7.6222219999999998"/>
    <n v="0"/>
    <s v="Other"/>
  </r>
  <r>
    <s v="Vaccine"/>
    <s v="Other"/>
    <x v="31"/>
    <n v="2026"/>
    <s v="Global"/>
    <s v="v23.2"/>
    <s v="Gavi 6.0"/>
    <n v="7622222"/>
    <m/>
    <n v="7.6222219999999998"/>
    <n v="0"/>
    <s v="Other"/>
  </r>
  <r>
    <s v="Vaccine"/>
    <s v="Other"/>
    <x v="31"/>
    <n v="2026"/>
    <s v="Global"/>
    <s v="v23.2"/>
    <s v="Gavi 6.0"/>
    <n v="5463044"/>
    <m/>
    <n v="5.463044"/>
    <n v="0"/>
    <s v="Other"/>
  </r>
  <r>
    <s v="Vaccine"/>
    <s v="Other"/>
    <x v="31"/>
    <n v="2026"/>
    <s v="Global"/>
    <s v="v23.2"/>
    <s v="Gavi 6.0"/>
    <n v="5463044"/>
    <m/>
    <n v="5.463044"/>
    <n v="0"/>
    <s v="Other"/>
  </r>
  <r>
    <s v="Vaccine"/>
    <s v="Other"/>
    <x v="31"/>
    <n v="2026"/>
    <s v="Global"/>
    <s v="v23.2"/>
    <s v="Gavi 6.0"/>
    <n v="5463044"/>
    <m/>
    <n v="5.463044"/>
    <n v="0"/>
    <s v="Other"/>
  </r>
  <r>
    <s v="Vaccine"/>
    <s v="Other"/>
    <x v="31"/>
    <n v="2026"/>
    <s v="Global"/>
    <s v="v23.2"/>
    <s v="Gavi 6.0"/>
    <n v="4814057"/>
    <m/>
    <n v="4.814057"/>
    <n v="0"/>
    <s v="Other"/>
  </r>
  <r>
    <s v="Vaccine"/>
    <s v="Other"/>
    <x v="31"/>
    <n v="2026"/>
    <s v="Global"/>
    <s v="v23.2"/>
    <s v="Gavi 6.0"/>
    <n v="4814057"/>
    <m/>
    <n v="4.814057"/>
    <n v="0"/>
    <s v="Other"/>
  </r>
  <r>
    <s v="Vaccine"/>
    <s v="Other"/>
    <x v="31"/>
    <n v="2026"/>
    <s v="Global"/>
    <s v="v23.2"/>
    <s v="Gavi 6.0"/>
    <n v="4814057"/>
    <m/>
    <n v="4.814057"/>
    <n v="0"/>
    <s v="Other"/>
  </r>
  <r>
    <s v="Vaccine"/>
    <s v="Other"/>
    <x v="31"/>
    <n v="2026"/>
    <s v="Global"/>
    <s v="v23.2"/>
    <s v="Gavi 6.0"/>
    <n v="300000"/>
    <m/>
    <n v="0.3"/>
    <n v="0"/>
    <s v="Other"/>
  </r>
  <r>
    <s v="Vaccine"/>
    <s v="Other"/>
    <x v="31"/>
    <n v="2026"/>
    <s v="Global"/>
    <s v="v23.2"/>
    <s v="Gavi 6.0"/>
    <n v="300000"/>
    <m/>
    <n v="0.3"/>
    <n v="0"/>
    <s v="Other"/>
  </r>
  <r>
    <s v="Vaccine"/>
    <s v="Other"/>
    <x v="31"/>
    <n v="2026"/>
    <s v="Global"/>
    <s v="v23.2"/>
    <s v="Gavi 6.0"/>
    <n v="300000"/>
    <m/>
    <n v="0.3"/>
    <n v="0"/>
    <s v="Other"/>
  </r>
  <r>
    <s v="Vaccine"/>
    <s v="Campaign"/>
    <x v="32"/>
    <n v="2026"/>
    <s v="Global"/>
    <s v="v23.2"/>
    <s v="Gavi 6.0"/>
    <n v="1600000"/>
    <m/>
    <n v="1.6"/>
    <n v="0"/>
    <s v="Other"/>
  </r>
  <r>
    <s v="Vaccine"/>
    <s v="Campaign"/>
    <x v="32"/>
    <n v="2027"/>
    <s v="Global"/>
    <s v="v23.2"/>
    <s v="Gavi 6.0"/>
    <n v="1600000"/>
    <m/>
    <n v="1.6"/>
    <n v="0"/>
    <s v="Other"/>
  </r>
  <r>
    <s v="Vaccine"/>
    <s v="Campaign"/>
    <x v="32"/>
    <n v="2028"/>
    <s v="Global"/>
    <s v="v23.2"/>
    <s v="Gavi 6.0"/>
    <n v="1600000"/>
    <m/>
    <n v="1.6"/>
    <n v="0"/>
    <s v="Other"/>
  </r>
  <r>
    <s v="Vaccine"/>
    <s v="Campaign"/>
    <x v="32"/>
    <n v="2029"/>
    <s v="Global"/>
    <s v="v23.2"/>
    <s v="Gavi 6.0"/>
    <n v="1600000"/>
    <m/>
    <n v="1.6"/>
    <n v="0"/>
    <s v="Other"/>
  </r>
  <r>
    <s v="Vaccine"/>
    <s v="Campaign"/>
    <x v="32"/>
    <n v="2030"/>
    <s v="Global"/>
    <s v="v23.2"/>
    <s v="Gavi 6.0"/>
    <n v="1600000"/>
    <m/>
    <n v="1.6"/>
    <n v="0"/>
    <s v="Other"/>
  </r>
  <r>
    <s v="Vaccine"/>
    <s v="Other"/>
    <x v="29"/>
    <n v="2026"/>
    <s v="Global"/>
    <s v="v23.2"/>
    <s v="Gavi 6.0"/>
    <n v="-44900000"/>
    <m/>
    <n v="-44.9"/>
    <n v="0"/>
    <s v="Oth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32C21-418E-4D40-B6D2-DA195C39F7F3}" name="PivotTable2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7" firstHeaderRow="1" firstDataRow="1" firstDataCol="1"/>
  <pivotFields count="12">
    <pivotField showAll="0"/>
    <pivotField showAll="0"/>
    <pivotField axis="axisRow" showAll="0" sortType="descending">
      <items count="38">
        <item m="1" x="35"/>
        <item x="30"/>
        <item x="32"/>
        <item x="29"/>
        <item x="20"/>
        <item m="1" x="34"/>
        <item x="10"/>
        <item m="1" x="36"/>
        <item x="27"/>
        <item x="31"/>
        <item x="14"/>
        <item x="21"/>
        <item x="5"/>
        <item x="0"/>
        <item x="6"/>
        <item x="19"/>
        <item m="1" x="33"/>
        <item x="11"/>
        <item x="1"/>
        <item x="2"/>
        <item x="22"/>
        <item x="4"/>
        <item x="25"/>
        <item x="28"/>
        <item x="7"/>
        <item x="8"/>
        <item x="15"/>
        <item x="23"/>
        <item x="12"/>
        <item x="13"/>
        <item x="9"/>
        <item x="3"/>
        <item x="16"/>
        <item x="17"/>
        <item x="18"/>
        <item x="24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showAll="0"/>
    <pivotField dataField="1" numFmtId="164" showAll="0"/>
    <pivotField numFmtId="164" showAll="0"/>
    <pivotField showAll="0"/>
  </pivotFields>
  <rowFields count="1">
    <field x="2"/>
  </rowFields>
  <rowItems count="34">
    <i>
      <x v="24"/>
    </i>
    <i>
      <x v="17"/>
    </i>
    <i>
      <x v="21"/>
    </i>
    <i>
      <x v="22"/>
    </i>
    <i>
      <x v="14"/>
    </i>
    <i>
      <x v="28"/>
    </i>
    <i>
      <x v="12"/>
    </i>
    <i>
      <x v="25"/>
    </i>
    <i>
      <x v="13"/>
    </i>
    <i>
      <x v="19"/>
    </i>
    <i>
      <x v="30"/>
    </i>
    <i>
      <x v="9"/>
    </i>
    <i>
      <x v="3"/>
    </i>
    <i>
      <x v="29"/>
    </i>
    <i>
      <x v="35"/>
    </i>
    <i>
      <x v="1"/>
    </i>
    <i>
      <x v="31"/>
    </i>
    <i>
      <x v="32"/>
    </i>
    <i>
      <x v="20"/>
    </i>
    <i>
      <x v="18"/>
    </i>
    <i>
      <x v="27"/>
    </i>
    <i>
      <x v="15"/>
    </i>
    <i>
      <x v="10"/>
    </i>
    <i>
      <x v="26"/>
    </i>
    <i>
      <x v="2"/>
    </i>
    <i>
      <x v="4"/>
    </i>
    <i>
      <x v="6"/>
    </i>
    <i>
      <x v="11"/>
    </i>
    <i>
      <x v="33"/>
    </i>
    <i>
      <x v="8"/>
    </i>
    <i>
      <x v="34"/>
    </i>
    <i>
      <x v="23"/>
    </i>
    <i>
      <x v="36"/>
    </i>
    <i t="grand">
      <x/>
    </i>
  </rowItems>
  <colItems count="1">
    <i/>
  </colItems>
  <dataFields count="1">
    <dataField name="Sum of USD in M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FF44-705D-4EC1-A40D-1E760024FCB2}">
  <sheetPr>
    <tabColor theme="9" tint="0.59999389629810485"/>
  </sheetPr>
  <dimension ref="B1:M2347"/>
  <sheetViews>
    <sheetView showGridLines="0" workbookViewId="0">
      <selection activeCell="D21" sqref="D21"/>
    </sheetView>
  </sheetViews>
  <sheetFormatPr defaultRowHeight="15" x14ac:dyDescent="0.25"/>
  <cols>
    <col min="2" max="2" width="11.85546875" bestFit="1" customWidth="1"/>
    <col min="3" max="4" width="27.140625" customWidth="1"/>
    <col min="5" max="5" width="7.28515625" bestFit="1" customWidth="1"/>
    <col min="6" max="8" width="27.140625" customWidth="1"/>
    <col min="9" max="9" width="16.85546875" style="2" bestFit="1" customWidth="1"/>
    <col min="10" max="10" width="15.28515625" style="2" bestFit="1" customWidth="1"/>
    <col min="11" max="11" width="11.28515625" bestFit="1" customWidth="1"/>
    <col min="12" max="12" width="15.85546875" bestFit="1" customWidth="1"/>
  </cols>
  <sheetData>
    <row r="1" spans="2:13" x14ac:dyDescent="0.25">
      <c r="B1" s="1"/>
    </row>
    <row r="2" spans="2:13" x14ac:dyDescent="0.25">
      <c r="B2" s="3" t="s">
        <v>114</v>
      </c>
    </row>
    <row r="3" spans="2:13" x14ac:dyDescent="0.25">
      <c r="B3" s="4" t="s">
        <v>126</v>
      </c>
    </row>
    <row r="4" spans="2:13" x14ac:dyDescent="0.25">
      <c r="B4" s="5" t="s">
        <v>0</v>
      </c>
    </row>
    <row r="6" spans="2:13" x14ac:dyDescent="0.25"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7" t="s">
        <v>8</v>
      </c>
      <c r="J6" s="7" t="s">
        <v>9</v>
      </c>
      <c r="K6" s="6" t="s">
        <v>10</v>
      </c>
      <c r="L6" s="6" t="s">
        <v>11</v>
      </c>
      <c r="M6" s="6" t="s">
        <v>12</v>
      </c>
    </row>
    <row r="7" spans="2:13" x14ac:dyDescent="0.25">
      <c r="B7" t="s">
        <v>13</v>
      </c>
      <c r="C7" t="s">
        <v>14</v>
      </c>
      <c r="D7" t="s">
        <v>15</v>
      </c>
      <c r="E7">
        <v>2029</v>
      </c>
      <c r="F7" t="s">
        <v>16</v>
      </c>
      <c r="G7" t="s">
        <v>17</v>
      </c>
      <c r="H7" t="s">
        <v>18</v>
      </c>
      <c r="I7" s="8">
        <v>7115838.4813000001</v>
      </c>
      <c r="J7" s="8">
        <v>2365934.4</v>
      </c>
      <c r="K7" s="8">
        <f>I7/1000000</f>
        <v>7.1158384813</v>
      </c>
      <c r="L7" s="8">
        <f>J7/1000000</f>
        <v>2.3659344</v>
      </c>
      <c r="M7" t="s">
        <v>19</v>
      </c>
    </row>
    <row r="8" spans="2:13" x14ac:dyDescent="0.25">
      <c r="B8" t="s">
        <v>13</v>
      </c>
      <c r="C8" t="s">
        <v>46</v>
      </c>
      <c r="D8" t="s">
        <v>52</v>
      </c>
      <c r="E8">
        <v>2029</v>
      </c>
      <c r="F8" t="s">
        <v>16</v>
      </c>
      <c r="G8" t="s">
        <v>17</v>
      </c>
      <c r="H8" t="s">
        <v>18</v>
      </c>
      <c r="I8" s="8">
        <v>2213872.4356</v>
      </c>
      <c r="J8" s="8">
        <v>1749858.1635020999</v>
      </c>
      <c r="K8" s="8">
        <f>I8/1000000</f>
        <v>2.2138724355999999</v>
      </c>
      <c r="L8" s="8">
        <f>J8/1000000</f>
        <v>1.7498581635021</v>
      </c>
      <c r="M8" t="s">
        <v>19</v>
      </c>
    </row>
    <row r="9" spans="2:13" x14ac:dyDescent="0.25">
      <c r="B9" t="s">
        <v>13</v>
      </c>
      <c r="C9" t="s">
        <v>46</v>
      </c>
      <c r="D9" t="s">
        <v>52</v>
      </c>
      <c r="E9">
        <v>2030</v>
      </c>
      <c r="F9" t="s">
        <v>16</v>
      </c>
      <c r="G9" t="s">
        <v>17</v>
      </c>
      <c r="H9" t="s">
        <v>18</v>
      </c>
      <c r="I9" s="8">
        <v>2296818.6565</v>
      </c>
      <c r="J9" s="8">
        <v>1799322.32358771</v>
      </c>
      <c r="K9" s="8">
        <f>I9/1000000</f>
        <v>2.2968186565000002</v>
      </c>
      <c r="L9" s="8">
        <f>J9/1000000</f>
        <v>1.79932232358771</v>
      </c>
      <c r="M9" t="s">
        <v>19</v>
      </c>
    </row>
    <row r="10" spans="2:13" x14ac:dyDescent="0.25">
      <c r="B10" t="s">
        <v>13</v>
      </c>
      <c r="C10" t="s">
        <v>46</v>
      </c>
      <c r="D10" t="s">
        <v>75</v>
      </c>
      <c r="E10">
        <v>2029</v>
      </c>
      <c r="F10" t="s">
        <v>16</v>
      </c>
      <c r="G10" t="s">
        <v>17</v>
      </c>
      <c r="H10" t="s">
        <v>18</v>
      </c>
      <c r="I10" s="8">
        <v>339882.51459999999</v>
      </c>
      <c r="J10" s="8">
        <v>739782.46727114404</v>
      </c>
      <c r="K10" s="8">
        <f>I10/1000000</f>
        <v>0.33988251460000002</v>
      </c>
      <c r="L10" s="8">
        <f>J10/1000000</f>
        <v>0.73978246727114405</v>
      </c>
      <c r="M10" t="s">
        <v>39</v>
      </c>
    </row>
    <row r="11" spans="2:13" x14ac:dyDescent="0.25">
      <c r="B11" t="s">
        <v>13</v>
      </c>
      <c r="C11" t="s">
        <v>46</v>
      </c>
      <c r="D11" t="s">
        <v>75</v>
      </c>
      <c r="E11">
        <v>2030</v>
      </c>
      <c r="F11" t="s">
        <v>16</v>
      </c>
      <c r="G11" t="s">
        <v>17</v>
      </c>
      <c r="H11" t="s">
        <v>18</v>
      </c>
      <c r="I11" s="8">
        <v>309459.57949999999</v>
      </c>
      <c r="J11" s="8">
        <v>673564.42723470496</v>
      </c>
      <c r="K11" s="8">
        <f>I11/1000000</f>
        <v>0.30945957949999997</v>
      </c>
      <c r="L11" s="8">
        <f>J11/1000000</f>
        <v>0.673564427234705</v>
      </c>
      <c r="M11" t="s">
        <v>39</v>
      </c>
    </row>
    <row r="12" spans="2:13" x14ac:dyDescent="0.25">
      <c r="B12" t="s">
        <v>13</v>
      </c>
      <c r="C12" t="s">
        <v>46</v>
      </c>
      <c r="D12" t="s">
        <v>69</v>
      </c>
      <c r="E12">
        <v>2029</v>
      </c>
      <c r="F12" t="s">
        <v>16</v>
      </c>
      <c r="G12" t="s">
        <v>17</v>
      </c>
      <c r="H12" t="s">
        <v>18</v>
      </c>
      <c r="I12" s="8">
        <v>11546688.4166</v>
      </c>
      <c r="J12" s="8">
        <v>5044626.7765586805</v>
      </c>
      <c r="K12" s="8">
        <f>I12/1000000</f>
        <v>11.5466884166</v>
      </c>
      <c r="L12" s="8">
        <f>J12/1000000</f>
        <v>5.0446267765586805</v>
      </c>
      <c r="M12" t="s">
        <v>19</v>
      </c>
    </row>
    <row r="13" spans="2:13" x14ac:dyDescent="0.25">
      <c r="B13" t="s">
        <v>13</v>
      </c>
      <c r="C13" t="s">
        <v>46</v>
      </c>
      <c r="D13" t="s">
        <v>69</v>
      </c>
      <c r="E13">
        <v>2030</v>
      </c>
      <c r="F13" t="s">
        <v>16</v>
      </c>
      <c r="G13" t="s">
        <v>17</v>
      </c>
      <c r="H13" t="s">
        <v>18</v>
      </c>
      <c r="I13" s="8">
        <v>10714107.5778</v>
      </c>
      <c r="J13" s="8">
        <v>4669982.45637473</v>
      </c>
      <c r="K13" s="8">
        <f>I13/1000000</f>
        <v>10.7141075778</v>
      </c>
      <c r="L13" s="8">
        <f>J13/1000000</f>
        <v>4.6699824563747301</v>
      </c>
      <c r="M13" t="s">
        <v>19</v>
      </c>
    </row>
    <row r="14" spans="2:13" x14ac:dyDescent="0.25">
      <c r="B14" t="s">
        <v>13</v>
      </c>
      <c r="C14" t="s">
        <v>46</v>
      </c>
      <c r="D14" t="s">
        <v>73</v>
      </c>
      <c r="E14">
        <v>2026</v>
      </c>
      <c r="F14" t="s">
        <v>16</v>
      </c>
      <c r="G14" t="s">
        <v>17</v>
      </c>
      <c r="H14" t="s">
        <v>18</v>
      </c>
      <c r="I14" s="8">
        <v>3592822.9087999999</v>
      </c>
      <c r="J14" s="8">
        <v>3774482.9595610299</v>
      </c>
      <c r="K14" s="8">
        <f>I14/1000000</f>
        <v>3.5928229087999997</v>
      </c>
      <c r="L14" s="8">
        <f>J14/1000000</f>
        <v>3.7744829595610301</v>
      </c>
      <c r="M14" t="s">
        <v>19</v>
      </c>
    </row>
    <row r="15" spans="2:13" x14ac:dyDescent="0.25">
      <c r="B15" t="s">
        <v>13</v>
      </c>
      <c r="C15" t="s">
        <v>46</v>
      </c>
      <c r="D15" t="s">
        <v>73</v>
      </c>
      <c r="E15">
        <v>2027</v>
      </c>
      <c r="F15" t="s">
        <v>16</v>
      </c>
      <c r="G15" t="s">
        <v>17</v>
      </c>
      <c r="H15" t="s">
        <v>18</v>
      </c>
      <c r="I15" s="8">
        <v>4264661.7823999999</v>
      </c>
      <c r="J15" s="8">
        <v>4491327.4913962903</v>
      </c>
      <c r="K15" s="8">
        <f>I15/1000000</f>
        <v>4.2646617824000002</v>
      </c>
      <c r="L15" s="8">
        <f>J15/1000000</f>
        <v>4.49132749139629</v>
      </c>
      <c r="M15" t="s">
        <v>19</v>
      </c>
    </row>
    <row r="16" spans="2:13" x14ac:dyDescent="0.25">
      <c r="B16" t="s">
        <v>13</v>
      </c>
      <c r="C16" t="s">
        <v>46</v>
      </c>
      <c r="D16" t="s">
        <v>73</v>
      </c>
      <c r="E16">
        <v>2028</v>
      </c>
      <c r="F16" t="s">
        <v>16</v>
      </c>
      <c r="G16" t="s">
        <v>17</v>
      </c>
      <c r="H16" t="s">
        <v>18</v>
      </c>
      <c r="I16" s="8">
        <v>1966351.0952999999</v>
      </c>
      <c r="J16" s="8">
        <v>1937582.7405115799</v>
      </c>
      <c r="K16" s="8">
        <f>I16/1000000</f>
        <v>1.9663510952999999</v>
      </c>
      <c r="L16" s="8">
        <f>J16/1000000</f>
        <v>1.93758274051158</v>
      </c>
      <c r="M16" t="s">
        <v>19</v>
      </c>
    </row>
    <row r="17" spans="2:13" x14ac:dyDescent="0.25">
      <c r="B17" t="s">
        <v>13</v>
      </c>
      <c r="C17" t="s">
        <v>46</v>
      </c>
      <c r="D17" t="s">
        <v>70</v>
      </c>
      <c r="E17">
        <v>2026</v>
      </c>
      <c r="F17" t="s">
        <v>16</v>
      </c>
      <c r="G17" t="s">
        <v>17</v>
      </c>
      <c r="H17" t="s">
        <v>18</v>
      </c>
      <c r="I17" s="8">
        <v>7270731.7567999996</v>
      </c>
      <c r="J17" s="8">
        <v>3575832.0150000001</v>
      </c>
      <c r="K17" s="8">
        <f>I17/1000000</f>
        <v>7.2707317568000001</v>
      </c>
      <c r="L17" s="8">
        <f>J17/1000000</f>
        <v>3.575832015</v>
      </c>
      <c r="M17" t="s">
        <v>19</v>
      </c>
    </row>
    <row r="18" spans="2:13" x14ac:dyDescent="0.25">
      <c r="B18" t="s">
        <v>13</v>
      </c>
      <c r="C18" t="s">
        <v>46</v>
      </c>
      <c r="D18" t="s">
        <v>70</v>
      </c>
      <c r="E18">
        <v>2027</v>
      </c>
      <c r="F18" t="s">
        <v>16</v>
      </c>
      <c r="G18" t="s">
        <v>17</v>
      </c>
      <c r="H18" t="s">
        <v>18</v>
      </c>
      <c r="I18" s="8">
        <v>4964458.6721000001</v>
      </c>
      <c r="J18" s="8">
        <v>3661650.93</v>
      </c>
      <c r="K18" s="8">
        <f>I18/1000000</f>
        <v>4.9644586721000001</v>
      </c>
      <c r="L18" s="8">
        <f>J18/1000000</f>
        <v>3.66165093</v>
      </c>
      <c r="M18" t="s">
        <v>19</v>
      </c>
    </row>
    <row r="19" spans="2:13" x14ac:dyDescent="0.25">
      <c r="B19" t="s">
        <v>13</v>
      </c>
      <c r="C19" t="s">
        <v>46</v>
      </c>
      <c r="D19" t="s">
        <v>70</v>
      </c>
      <c r="E19">
        <v>2028</v>
      </c>
      <c r="F19" t="s">
        <v>16</v>
      </c>
      <c r="G19" t="s">
        <v>17</v>
      </c>
      <c r="H19" t="s">
        <v>18</v>
      </c>
      <c r="I19" s="8">
        <v>2292895.9411999998</v>
      </c>
      <c r="J19" s="8">
        <v>1596127.9833333299</v>
      </c>
      <c r="K19" s="8">
        <f>I19/1000000</f>
        <v>2.2928959411999998</v>
      </c>
      <c r="L19" s="8">
        <f>J19/1000000</f>
        <v>1.5961279833333299</v>
      </c>
      <c r="M19" t="s">
        <v>19</v>
      </c>
    </row>
    <row r="20" spans="2:13" x14ac:dyDescent="0.25">
      <c r="B20" t="s">
        <v>13</v>
      </c>
      <c r="C20" t="s">
        <v>46</v>
      </c>
      <c r="D20" t="s">
        <v>15</v>
      </c>
      <c r="E20">
        <v>2030</v>
      </c>
      <c r="F20" t="s">
        <v>16</v>
      </c>
      <c r="G20" t="s">
        <v>17</v>
      </c>
      <c r="H20" t="s">
        <v>18</v>
      </c>
      <c r="I20" s="8">
        <v>853562.99029999995</v>
      </c>
      <c r="J20" s="8">
        <v>283851.60421086999</v>
      </c>
      <c r="K20" s="8">
        <f>I20/1000000</f>
        <v>0.85356299029999994</v>
      </c>
      <c r="L20" s="8">
        <f>J20/1000000</f>
        <v>0.28385160421086997</v>
      </c>
      <c r="M20" t="s">
        <v>19</v>
      </c>
    </row>
    <row r="21" spans="2:13" x14ac:dyDescent="0.25">
      <c r="B21" t="s">
        <v>13</v>
      </c>
      <c r="C21" t="s">
        <v>46</v>
      </c>
      <c r="D21" t="s">
        <v>100</v>
      </c>
      <c r="E21">
        <v>2029</v>
      </c>
      <c r="F21" t="s">
        <v>16</v>
      </c>
      <c r="G21" t="s">
        <v>17</v>
      </c>
      <c r="H21" t="s">
        <v>18</v>
      </c>
      <c r="I21" s="8">
        <v>6778789.6941</v>
      </c>
      <c r="J21" s="8">
        <v>2988107.8579291399</v>
      </c>
      <c r="K21" s="8">
        <f>I21/1000000</f>
        <v>6.7787896941000003</v>
      </c>
      <c r="L21" s="8">
        <f>J21/1000000</f>
        <v>2.98810785792914</v>
      </c>
      <c r="M21" t="s">
        <v>19</v>
      </c>
    </row>
    <row r="22" spans="2:13" x14ac:dyDescent="0.25">
      <c r="B22" t="s">
        <v>13</v>
      </c>
      <c r="C22" t="s">
        <v>46</v>
      </c>
      <c r="D22" t="s">
        <v>100</v>
      </c>
      <c r="E22">
        <v>2030</v>
      </c>
      <c r="F22" t="s">
        <v>16</v>
      </c>
      <c r="G22" t="s">
        <v>17</v>
      </c>
      <c r="H22" t="s">
        <v>18</v>
      </c>
      <c r="I22" s="8">
        <v>6851457.1295999996</v>
      </c>
      <c r="J22" s="8">
        <v>3047002.3786165998</v>
      </c>
      <c r="K22" s="8">
        <f>I22/1000000</f>
        <v>6.8514571296</v>
      </c>
      <c r="L22" s="8">
        <f>J22/1000000</f>
        <v>3.0470023786165998</v>
      </c>
      <c r="M22" t="s">
        <v>19</v>
      </c>
    </row>
    <row r="23" spans="2:13" x14ac:dyDescent="0.25">
      <c r="B23" t="s">
        <v>13</v>
      </c>
      <c r="C23" t="s">
        <v>46</v>
      </c>
      <c r="D23" t="s">
        <v>100</v>
      </c>
      <c r="E23">
        <v>2026</v>
      </c>
      <c r="F23" t="s">
        <v>16</v>
      </c>
      <c r="G23" t="s">
        <v>17</v>
      </c>
      <c r="H23" t="s">
        <v>18</v>
      </c>
      <c r="I23" s="8">
        <v>7829997.4031999996</v>
      </c>
      <c r="J23" s="8">
        <v>3265225.8457114398</v>
      </c>
      <c r="K23" s="8">
        <f>I23/1000000</f>
        <v>7.8299974031999993</v>
      </c>
      <c r="L23" s="8">
        <f>J23/1000000</f>
        <v>3.26522584571144</v>
      </c>
      <c r="M23" t="s">
        <v>19</v>
      </c>
    </row>
    <row r="24" spans="2:13" x14ac:dyDescent="0.25">
      <c r="B24" t="s">
        <v>13</v>
      </c>
      <c r="C24" t="s">
        <v>46</v>
      </c>
      <c r="D24" t="s">
        <v>100</v>
      </c>
      <c r="E24">
        <v>2028</v>
      </c>
      <c r="F24" t="s">
        <v>16</v>
      </c>
      <c r="G24" t="s">
        <v>17</v>
      </c>
      <c r="H24" t="s">
        <v>18</v>
      </c>
      <c r="I24" s="8">
        <v>6198562.1752000004</v>
      </c>
      <c r="J24" s="8">
        <v>2912051.65760194</v>
      </c>
      <c r="K24" s="8">
        <f>I24/1000000</f>
        <v>6.1985621752000002</v>
      </c>
      <c r="L24" s="8">
        <f>J24/1000000</f>
        <v>2.91205165760194</v>
      </c>
      <c r="M24" t="s">
        <v>19</v>
      </c>
    </row>
    <row r="25" spans="2:13" x14ac:dyDescent="0.25">
      <c r="B25" t="s">
        <v>13</v>
      </c>
      <c r="C25" t="s">
        <v>46</v>
      </c>
      <c r="D25" t="s">
        <v>100</v>
      </c>
      <c r="E25">
        <v>2027</v>
      </c>
      <c r="F25" t="s">
        <v>16</v>
      </c>
      <c r="G25" t="s">
        <v>17</v>
      </c>
      <c r="H25" t="s">
        <v>18</v>
      </c>
      <c r="I25" s="8">
        <v>6236627.1624999996</v>
      </c>
      <c r="J25" s="8">
        <v>2901882.2527445299</v>
      </c>
      <c r="K25" s="8">
        <f>I25/1000000</f>
        <v>6.2366271624999996</v>
      </c>
      <c r="L25" s="8">
        <f>J25/1000000</f>
        <v>2.9018822527445298</v>
      </c>
      <c r="M25" t="s">
        <v>19</v>
      </c>
    </row>
    <row r="26" spans="2:13" x14ac:dyDescent="0.25">
      <c r="B26" t="s">
        <v>13</v>
      </c>
      <c r="C26" t="s">
        <v>46</v>
      </c>
      <c r="D26" t="s">
        <v>72</v>
      </c>
      <c r="E26">
        <v>2026</v>
      </c>
      <c r="F26" t="s">
        <v>16</v>
      </c>
      <c r="G26" t="s">
        <v>17</v>
      </c>
      <c r="H26" t="s">
        <v>18</v>
      </c>
      <c r="I26" s="8">
        <v>15768407.8431</v>
      </c>
      <c r="J26" s="8">
        <v>5525908.9327530004</v>
      </c>
      <c r="K26" s="8">
        <f>I26/1000000</f>
        <v>15.7684078431</v>
      </c>
      <c r="L26" s="8">
        <f>J26/1000000</f>
        <v>5.5259089327530004</v>
      </c>
      <c r="M26" t="s">
        <v>19</v>
      </c>
    </row>
    <row r="27" spans="2:13" x14ac:dyDescent="0.25">
      <c r="B27" t="s">
        <v>13</v>
      </c>
      <c r="C27" t="s">
        <v>46</v>
      </c>
      <c r="D27" t="s">
        <v>72</v>
      </c>
      <c r="E27">
        <v>2029</v>
      </c>
      <c r="F27" t="s">
        <v>16</v>
      </c>
      <c r="G27" t="s">
        <v>17</v>
      </c>
      <c r="H27" t="s">
        <v>18</v>
      </c>
      <c r="I27" s="8">
        <v>10736003.0198</v>
      </c>
      <c r="J27" s="8">
        <v>5135973.42800886</v>
      </c>
      <c r="K27" s="8">
        <f>I27/1000000</f>
        <v>10.7360030198</v>
      </c>
      <c r="L27" s="8">
        <f>J27/1000000</f>
        <v>5.1359734280088603</v>
      </c>
      <c r="M27" t="s">
        <v>19</v>
      </c>
    </row>
    <row r="28" spans="2:13" x14ac:dyDescent="0.25">
      <c r="B28" t="s">
        <v>13</v>
      </c>
      <c r="C28" t="s">
        <v>46</v>
      </c>
      <c r="D28" t="s">
        <v>72</v>
      </c>
      <c r="E28">
        <v>2030</v>
      </c>
      <c r="F28" t="s">
        <v>16</v>
      </c>
      <c r="G28" t="s">
        <v>17</v>
      </c>
      <c r="H28" t="s">
        <v>18</v>
      </c>
      <c r="I28" s="8">
        <v>10949601.742799999</v>
      </c>
      <c r="J28" s="8">
        <v>5238156.4623737996</v>
      </c>
      <c r="K28" s="8">
        <f>I28/1000000</f>
        <v>10.949601742799999</v>
      </c>
      <c r="L28" s="8">
        <f>J28/1000000</f>
        <v>5.2381564623737997</v>
      </c>
      <c r="M28" t="s">
        <v>19</v>
      </c>
    </row>
    <row r="29" spans="2:13" x14ac:dyDescent="0.25">
      <c r="B29" t="s">
        <v>13</v>
      </c>
      <c r="C29" t="s">
        <v>46</v>
      </c>
      <c r="D29" t="s">
        <v>72</v>
      </c>
      <c r="E29">
        <v>2027</v>
      </c>
      <c r="F29" t="s">
        <v>16</v>
      </c>
      <c r="G29" t="s">
        <v>17</v>
      </c>
      <c r="H29" t="s">
        <v>18</v>
      </c>
      <c r="I29" s="8">
        <v>12346479.4824</v>
      </c>
      <c r="J29" s="8">
        <v>5032106.3938859999</v>
      </c>
      <c r="K29" s="8">
        <f>I29/1000000</f>
        <v>12.346479482399999</v>
      </c>
      <c r="L29" s="8">
        <f>J29/1000000</f>
        <v>5.032106393886</v>
      </c>
      <c r="M29" t="s">
        <v>19</v>
      </c>
    </row>
    <row r="30" spans="2:13" x14ac:dyDescent="0.25">
      <c r="B30" t="s">
        <v>13</v>
      </c>
      <c r="C30" t="s">
        <v>46</v>
      </c>
      <c r="D30" t="s">
        <v>72</v>
      </c>
      <c r="E30">
        <v>2028</v>
      </c>
      <c r="F30" t="s">
        <v>16</v>
      </c>
      <c r="G30" t="s">
        <v>17</v>
      </c>
      <c r="H30" t="s">
        <v>18</v>
      </c>
      <c r="I30" s="8">
        <v>12323156.888499999</v>
      </c>
      <c r="J30" s="8">
        <v>5049741.3386984998</v>
      </c>
      <c r="K30" s="8">
        <f>I30/1000000</f>
        <v>12.3231568885</v>
      </c>
      <c r="L30" s="8">
        <f>J30/1000000</f>
        <v>5.0497413386984995</v>
      </c>
      <c r="M30" t="s">
        <v>19</v>
      </c>
    </row>
    <row r="31" spans="2:13" x14ac:dyDescent="0.25">
      <c r="B31" t="s">
        <v>13</v>
      </c>
      <c r="C31" t="s">
        <v>46</v>
      </c>
      <c r="D31" t="s">
        <v>69</v>
      </c>
      <c r="E31">
        <v>2028</v>
      </c>
      <c r="F31" t="s">
        <v>16</v>
      </c>
      <c r="G31" t="s">
        <v>17</v>
      </c>
      <c r="H31" t="s">
        <v>18</v>
      </c>
      <c r="I31" s="8">
        <v>7052693.8279999997</v>
      </c>
      <c r="J31" s="8">
        <v>2688493.4199813302</v>
      </c>
      <c r="K31" s="8">
        <f>I31/1000000</f>
        <v>7.0526938279999998</v>
      </c>
      <c r="L31" s="8">
        <f>J31/1000000</f>
        <v>2.68849341998133</v>
      </c>
      <c r="M31" t="s">
        <v>19</v>
      </c>
    </row>
    <row r="32" spans="2:13" x14ac:dyDescent="0.25">
      <c r="B32" t="s">
        <v>13</v>
      </c>
      <c r="C32" t="s">
        <v>46</v>
      </c>
      <c r="D32" t="s">
        <v>75</v>
      </c>
      <c r="E32">
        <v>2028</v>
      </c>
      <c r="F32" t="s">
        <v>16</v>
      </c>
      <c r="G32" t="s">
        <v>17</v>
      </c>
      <c r="H32" t="s">
        <v>18</v>
      </c>
      <c r="I32" s="8">
        <v>185800.75390000001</v>
      </c>
      <c r="J32" s="8">
        <v>404410.742611964</v>
      </c>
      <c r="K32" s="8">
        <f>I32/1000000</f>
        <v>0.1858007539</v>
      </c>
      <c r="L32" s="8">
        <f>J32/1000000</f>
        <v>0.40441074261196402</v>
      </c>
      <c r="M32" t="s">
        <v>39</v>
      </c>
    </row>
    <row r="33" spans="2:13" x14ac:dyDescent="0.25">
      <c r="B33" t="s">
        <v>13</v>
      </c>
      <c r="C33" t="s">
        <v>46</v>
      </c>
      <c r="D33" t="s">
        <v>15</v>
      </c>
      <c r="E33">
        <v>2029</v>
      </c>
      <c r="F33" t="s">
        <v>16</v>
      </c>
      <c r="G33" t="s">
        <v>17</v>
      </c>
      <c r="H33" t="s">
        <v>18</v>
      </c>
      <c r="I33" s="8">
        <v>1044829.2134</v>
      </c>
      <c r="J33" s="8">
        <v>347457.01456864201</v>
      </c>
      <c r="K33" s="8">
        <f>I33/1000000</f>
        <v>1.0448292133999999</v>
      </c>
      <c r="L33" s="8">
        <f>J33/1000000</f>
        <v>0.34745701456864203</v>
      </c>
      <c r="M33" t="s">
        <v>19</v>
      </c>
    </row>
    <row r="34" spans="2:13" x14ac:dyDescent="0.25">
      <c r="B34" t="s">
        <v>13</v>
      </c>
      <c r="C34" t="s">
        <v>46</v>
      </c>
      <c r="D34" t="s">
        <v>52</v>
      </c>
      <c r="E34">
        <v>2028</v>
      </c>
      <c r="F34" t="s">
        <v>16</v>
      </c>
      <c r="G34" t="s">
        <v>17</v>
      </c>
      <c r="H34" t="s">
        <v>18</v>
      </c>
      <c r="I34" s="8">
        <v>2127715.6809</v>
      </c>
      <c r="J34" s="8">
        <v>1704280.50666002</v>
      </c>
      <c r="K34" s="8">
        <f>I34/1000000</f>
        <v>2.1277156809000002</v>
      </c>
      <c r="L34" s="8">
        <f>J34/1000000</f>
        <v>1.70428050666002</v>
      </c>
      <c r="M34" t="s">
        <v>19</v>
      </c>
    </row>
    <row r="35" spans="2:13" x14ac:dyDescent="0.25">
      <c r="B35" t="s">
        <v>13</v>
      </c>
      <c r="C35" t="s">
        <v>14</v>
      </c>
      <c r="D35" t="s">
        <v>52</v>
      </c>
      <c r="E35">
        <v>2028</v>
      </c>
      <c r="F35" t="s">
        <v>16</v>
      </c>
      <c r="G35" t="s">
        <v>17</v>
      </c>
      <c r="H35" t="s">
        <v>18</v>
      </c>
      <c r="I35" s="8">
        <v>14052330.8807</v>
      </c>
      <c r="J35" s="8">
        <v>12724886.803125</v>
      </c>
      <c r="K35" s="8">
        <f>I35/1000000</f>
        <v>14.0523308807</v>
      </c>
      <c r="L35" s="8">
        <f>J35/1000000</f>
        <v>12.724886803124999</v>
      </c>
      <c r="M35" t="s">
        <v>19</v>
      </c>
    </row>
    <row r="36" spans="2:13" x14ac:dyDescent="0.25">
      <c r="B36" t="s">
        <v>13</v>
      </c>
      <c r="C36" t="s">
        <v>46</v>
      </c>
      <c r="D36" t="s">
        <v>69</v>
      </c>
      <c r="E36">
        <v>2029</v>
      </c>
      <c r="F36" t="s">
        <v>85</v>
      </c>
      <c r="G36" t="s">
        <v>17</v>
      </c>
      <c r="H36" t="s">
        <v>18</v>
      </c>
      <c r="I36" s="8">
        <v>1673012.0904999999</v>
      </c>
      <c r="J36" s="8">
        <v>732444.40231333498</v>
      </c>
      <c r="K36" s="8">
        <f>I36/1000000</f>
        <v>1.6730120904999999</v>
      </c>
      <c r="L36" s="8">
        <f>J36/1000000</f>
        <v>0.73244440231333496</v>
      </c>
      <c r="M36" t="s">
        <v>19</v>
      </c>
    </row>
    <row r="37" spans="2:13" x14ac:dyDescent="0.25">
      <c r="B37" t="s">
        <v>13</v>
      </c>
      <c r="C37" t="s">
        <v>46</v>
      </c>
      <c r="D37" t="s">
        <v>69</v>
      </c>
      <c r="E37">
        <v>2030</v>
      </c>
      <c r="F37" t="s">
        <v>85</v>
      </c>
      <c r="G37" t="s">
        <v>17</v>
      </c>
      <c r="H37" t="s">
        <v>18</v>
      </c>
      <c r="I37" s="8">
        <v>1554605.8681999999</v>
      </c>
      <c r="J37" s="8">
        <v>679014.52496478905</v>
      </c>
      <c r="K37" s="8">
        <f>I37/1000000</f>
        <v>1.5546058681999999</v>
      </c>
      <c r="L37" s="8">
        <f>J37/1000000</f>
        <v>0.67901452496478909</v>
      </c>
      <c r="M37" t="s">
        <v>19</v>
      </c>
    </row>
    <row r="38" spans="2:13" x14ac:dyDescent="0.25">
      <c r="B38" t="s">
        <v>13</v>
      </c>
      <c r="C38" t="s">
        <v>46</v>
      </c>
      <c r="D38" t="s">
        <v>73</v>
      </c>
      <c r="E38">
        <v>2026</v>
      </c>
      <c r="F38" t="s">
        <v>85</v>
      </c>
      <c r="G38" t="s">
        <v>17</v>
      </c>
      <c r="H38" t="s">
        <v>18</v>
      </c>
      <c r="I38" s="8">
        <v>321667.4951</v>
      </c>
      <c r="J38" s="8">
        <v>341833.88237280003</v>
      </c>
      <c r="K38" s="8">
        <f>I38/1000000</f>
        <v>0.32166749509999998</v>
      </c>
      <c r="L38" s="8">
        <f>J38/1000000</f>
        <v>0.34183388237280005</v>
      </c>
      <c r="M38" t="s">
        <v>19</v>
      </c>
    </row>
    <row r="39" spans="2:13" x14ac:dyDescent="0.25">
      <c r="B39" t="s">
        <v>13</v>
      </c>
      <c r="C39" t="s">
        <v>46</v>
      </c>
      <c r="D39" t="s">
        <v>73</v>
      </c>
      <c r="E39">
        <v>2027</v>
      </c>
      <c r="F39" t="s">
        <v>85</v>
      </c>
      <c r="G39" t="s">
        <v>17</v>
      </c>
      <c r="H39" t="s">
        <v>18</v>
      </c>
      <c r="I39" s="8">
        <v>611392.54040000006</v>
      </c>
      <c r="J39" s="8">
        <v>651761.65438560001</v>
      </c>
      <c r="K39" s="8">
        <f>I39/1000000</f>
        <v>0.61139254040000002</v>
      </c>
      <c r="L39" s="8">
        <f>J39/1000000</f>
        <v>0.65176165438559996</v>
      </c>
      <c r="M39" t="s">
        <v>19</v>
      </c>
    </row>
    <row r="40" spans="2:13" x14ac:dyDescent="0.25">
      <c r="B40" t="s">
        <v>13</v>
      </c>
      <c r="C40" t="s">
        <v>46</v>
      </c>
      <c r="D40" t="s">
        <v>73</v>
      </c>
      <c r="E40">
        <v>2028</v>
      </c>
      <c r="F40" t="s">
        <v>85</v>
      </c>
      <c r="G40" t="s">
        <v>17</v>
      </c>
      <c r="H40" t="s">
        <v>18</v>
      </c>
      <c r="I40" s="8">
        <v>282902.7095</v>
      </c>
      <c r="J40" s="8">
        <v>281419.88166000001</v>
      </c>
      <c r="K40" s="8">
        <f>I40/1000000</f>
        <v>0.28290270950000002</v>
      </c>
      <c r="L40" s="8">
        <f>J40/1000000</f>
        <v>0.28141988166000004</v>
      </c>
      <c r="M40" t="s">
        <v>19</v>
      </c>
    </row>
    <row r="41" spans="2:13" x14ac:dyDescent="0.25">
      <c r="B41" t="s">
        <v>13</v>
      </c>
      <c r="C41" t="s">
        <v>46</v>
      </c>
      <c r="D41" t="s">
        <v>70</v>
      </c>
      <c r="E41">
        <v>2026</v>
      </c>
      <c r="F41" t="s">
        <v>85</v>
      </c>
      <c r="G41" t="s">
        <v>17</v>
      </c>
      <c r="H41" t="s">
        <v>18</v>
      </c>
      <c r="I41" s="8">
        <v>4462494.4289999995</v>
      </c>
      <c r="J41" s="8">
        <v>2585606.4635999999</v>
      </c>
      <c r="K41" s="8">
        <f>I41/1000000</f>
        <v>4.4624944289999995</v>
      </c>
      <c r="L41" s="8">
        <f>J41/1000000</f>
        <v>2.5856064636</v>
      </c>
      <c r="M41" t="s">
        <v>19</v>
      </c>
    </row>
    <row r="42" spans="2:13" x14ac:dyDescent="0.25">
      <c r="B42" t="s">
        <v>13</v>
      </c>
      <c r="C42" t="s">
        <v>46</v>
      </c>
      <c r="D42" t="s">
        <v>70</v>
      </c>
      <c r="E42">
        <v>2027</v>
      </c>
      <c r="F42" t="s">
        <v>85</v>
      </c>
      <c r="G42" t="s">
        <v>17</v>
      </c>
      <c r="H42" t="s">
        <v>18</v>
      </c>
      <c r="I42" s="8">
        <v>2682615.1623</v>
      </c>
      <c r="J42" s="8">
        <v>1920329.9835999999</v>
      </c>
      <c r="K42" s="8">
        <f>I42/1000000</f>
        <v>2.6826151622999999</v>
      </c>
      <c r="L42" s="8">
        <f>J42/1000000</f>
        <v>1.9203299835999998</v>
      </c>
      <c r="M42" t="s">
        <v>19</v>
      </c>
    </row>
    <row r="43" spans="2:13" x14ac:dyDescent="0.25">
      <c r="B43" t="s">
        <v>13</v>
      </c>
      <c r="C43" t="s">
        <v>46</v>
      </c>
      <c r="D43" t="s">
        <v>70</v>
      </c>
      <c r="E43">
        <v>2028</v>
      </c>
      <c r="F43" t="s">
        <v>85</v>
      </c>
      <c r="G43" t="s">
        <v>17</v>
      </c>
      <c r="H43" t="s">
        <v>18</v>
      </c>
      <c r="I43" s="8">
        <v>1163662.8034000001</v>
      </c>
      <c r="J43" s="8">
        <v>823674.375</v>
      </c>
      <c r="K43" s="8">
        <f>I43/1000000</f>
        <v>1.1636628034000001</v>
      </c>
      <c r="L43" s="8">
        <f>J43/1000000</f>
        <v>0.82367437499999996</v>
      </c>
      <c r="M43" t="s">
        <v>19</v>
      </c>
    </row>
    <row r="44" spans="2:13" x14ac:dyDescent="0.25">
      <c r="B44" t="s">
        <v>13</v>
      </c>
      <c r="C44" t="s">
        <v>46</v>
      </c>
      <c r="D44" t="s">
        <v>15</v>
      </c>
      <c r="E44">
        <v>2029</v>
      </c>
      <c r="F44" t="s">
        <v>85</v>
      </c>
      <c r="G44" t="s">
        <v>17</v>
      </c>
      <c r="H44" t="s">
        <v>18</v>
      </c>
      <c r="I44" s="8">
        <v>196427.34890000001</v>
      </c>
      <c r="J44" s="8">
        <v>65367.017594652301</v>
      </c>
      <c r="K44" s="8">
        <f>I44/1000000</f>
        <v>0.19642734890000002</v>
      </c>
      <c r="L44" s="8">
        <f>J44/1000000</f>
        <v>6.5367017594652299E-2</v>
      </c>
      <c r="M44" t="s">
        <v>19</v>
      </c>
    </row>
    <row r="45" spans="2:13" x14ac:dyDescent="0.25">
      <c r="B45" t="s">
        <v>13</v>
      </c>
      <c r="C45" t="s">
        <v>46</v>
      </c>
      <c r="D45" t="s">
        <v>15</v>
      </c>
      <c r="E45">
        <v>2026</v>
      </c>
      <c r="F45" t="s">
        <v>85</v>
      </c>
      <c r="G45" t="s">
        <v>17</v>
      </c>
      <c r="H45" t="s">
        <v>18</v>
      </c>
      <c r="I45" s="8">
        <v>373991.81270000001</v>
      </c>
      <c r="J45" s="8">
        <v>123721.38</v>
      </c>
      <c r="K45" s="8">
        <f>I45/1000000</f>
        <v>0.37399181270000004</v>
      </c>
      <c r="L45" s="8">
        <f>J45/1000000</f>
        <v>0.12372138000000001</v>
      </c>
      <c r="M45" t="s">
        <v>19</v>
      </c>
    </row>
    <row r="46" spans="2:13" x14ac:dyDescent="0.25">
      <c r="B46" t="s">
        <v>13</v>
      </c>
      <c r="C46" t="s">
        <v>46</v>
      </c>
      <c r="D46" t="s">
        <v>15</v>
      </c>
      <c r="E46">
        <v>2027</v>
      </c>
      <c r="F46" t="s">
        <v>85</v>
      </c>
      <c r="G46" t="s">
        <v>17</v>
      </c>
      <c r="H46" t="s">
        <v>18</v>
      </c>
      <c r="I46" s="8">
        <v>265287.76130000001</v>
      </c>
      <c r="J46" s="8">
        <v>87760.6589473684</v>
      </c>
      <c r="K46" s="8">
        <f>I46/1000000</f>
        <v>0.26528776130000004</v>
      </c>
      <c r="L46" s="8">
        <f>J46/1000000</f>
        <v>8.7760658947368397E-2</v>
      </c>
      <c r="M46" t="s">
        <v>19</v>
      </c>
    </row>
    <row r="47" spans="2:13" x14ac:dyDescent="0.25">
      <c r="B47" t="s">
        <v>13</v>
      </c>
      <c r="C47" t="s">
        <v>46</v>
      </c>
      <c r="D47" t="s">
        <v>15</v>
      </c>
      <c r="E47">
        <v>2028</v>
      </c>
      <c r="F47" t="s">
        <v>85</v>
      </c>
      <c r="G47" t="s">
        <v>17</v>
      </c>
      <c r="H47" t="s">
        <v>18</v>
      </c>
      <c r="I47" s="8">
        <v>268250.39789999998</v>
      </c>
      <c r="J47" s="8">
        <v>89268.264210526293</v>
      </c>
      <c r="K47" s="8">
        <f>I47/1000000</f>
        <v>0.26825039789999999</v>
      </c>
      <c r="L47" s="8">
        <f>J47/1000000</f>
        <v>8.9268264210526291E-2</v>
      </c>
      <c r="M47" t="s">
        <v>19</v>
      </c>
    </row>
    <row r="48" spans="2:13" x14ac:dyDescent="0.25">
      <c r="B48" t="s">
        <v>13</v>
      </c>
      <c r="C48" t="s">
        <v>46</v>
      </c>
      <c r="D48" t="s">
        <v>15</v>
      </c>
      <c r="E48">
        <v>2030</v>
      </c>
      <c r="F48" t="s">
        <v>85</v>
      </c>
      <c r="G48" t="s">
        <v>17</v>
      </c>
      <c r="H48" t="s">
        <v>18</v>
      </c>
      <c r="I48" s="8">
        <v>200981.742</v>
      </c>
      <c r="J48" s="8">
        <v>66882.626785219603</v>
      </c>
      <c r="K48" s="8">
        <f>I48/1000000</f>
        <v>0.20098174199999999</v>
      </c>
      <c r="L48" s="8">
        <f>J48/1000000</f>
        <v>6.6882626785219598E-2</v>
      </c>
      <c r="M48" t="s">
        <v>19</v>
      </c>
    </row>
    <row r="49" spans="2:13" x14ac:dyDescent="0.25">
      <c r="B49" t="s">
        <v>13</v>
      </c>
      <c r="C49" t="s">
        <v>46</v>
      </c>
      <c r="D49" t="s">
        <v>100</v>
      </c>
      <c r="E49">
        <v>2029</v>
      </c>
      <c r="F49" t="s">
        <v>85</v>
      </c>
      <c r="G49" t="s">
        <v>17</v>
      </c>
      <c r="H49" t="s">
        <v>18</v>
      </c>
      <c r="I49" s="8">
        <v>633806.02099999995</v>
      </c>
      <c r="J49" s="8">
        <v>279383.317256846</v>
      </c>
      <c r="K49" s="8">
        <f>I49/1000000</f>
        <v>0.63380602099999994</v>
      </c>
      <c r="L49" s="8">
        <f>J49/1000000</f>
        <v>0.27938331725684601</v>
      </c>
      <c r="M49" t="s">
        <v>19</v>
      </c>
    </row>
    <row r="50" spans="2:13" x14ac:dyDescent="0.25">
      <c r="B50" t="s">
        <v>13</v>
      </c>
      <c r="C50" t="s">
        <v>46</v>
      </c>
      <c r="D50" t="s">
        <v>100</v>
      </c>
      <c r="E50">
        <v>2030</v>
      </c>
      <c r="F50" t="s">
        <v>85</v>
      </c>
      <c r="G50" t="s">
        <v>17</v>
      </c>
      <c r="H50" t="s">
        <v>18</v>
      </c>
      <c r="I50" s="8">
        <v>643621.92689999996</v>
      </c>
      <c r="J50" s="8">
        <v>286233.64417147398</v>
      </c>
      <c r="K50" s="8">
        <f>I50/1000000</f>
        <v>0.64362192689999997</v>
      </c>
      <c r="L50" s="8">
        <f>J50/1000000</f>
        <v>0.28623364417147396</v>
      </c>
      <c r="M50" t="s">
        <v>19</v>
      </c>
    </row>
    <row r="51" spans="2:13" x14ac:dyDescent="0.25">
      <c r="B51" t="s">
        <v>13</v>
      </c>
      <c r="C51" t="s">
        <v>46</v>
      </c>
      <c r="D51" t="s">
        <v>100</v>
      </c>
      <c r="E51">
        <v>2026</v>
      </c>
      <c r="F51" t="s">
        <v>85</v>
      </c>
      <c r="G51" t="s">
        <v>17</v>
      </c>
      <c r="H51" t="s">
        <v>18</v>
      </c>
      <c r="I51" s="8">
        <v>82499.775800000003</v>
      </c>
      <c r="J51" s="8">
        <v>38747.457600000002</v>
      </c>
      <c r="K51" s="8">
        <f>I51/1000000</f>
        <v>8.2499775800000008E-2</v>
      </c>
      <c r="L51" s="8">
        <f>J51/1000000</f>
        <v>3.87474576E-2</v>
      </c>
      <c r="M51" t="s">
        <v>19</v>
      </c>
    </row>
    <row r="52" spans="2:13" x14ac:dyDescent="0.25">
      <c r="B52" t="s">
        <v>13</v>
      </c>
      <c r="C52" t="s">
        <v>46</v>
      </c>
      <c r="D52" t="s">
        <v>100</v>
      </c>
      <c r="E52">
        <v>2027</v>
      </c>
      <c r="F52" t="s">
        <v>85</v>
      </c>
      <c r="G52" t="s">
        <v>17</v>
      </c>
      <c r="H52" t="s">
        <v>18</v>
      </c>
      <c r="I52" s="8">
        <v>717549.37250000006</v>
      </c>
      <c r="J52" s="8">
        <v>333873.37984000001</v>
      </c>
      <c r="K52" s="8">
        <f>I52/1000000</f>
        <v>0.71754937250000006</v>
      </c>
      <c r="L52" s="8">
        <f>J52/1000000</f>
        <v>0.33387337983999998</v>
      </c>
      <c r="M52" t="s">
        <v>19</v>
      </c>
    </row>
    <row r="53" spans="2:13" x14ac:dyDescent="0.25">
      <c r="B53" t="s">
        <v>13</v>
      </c>
      <c r="C53" t="s">
        <v>46</v>
      </c>
      <c r="D53" t="s">
        <v>100</v>
      </c>
      <c r="E53">
        <v>2028</v>
      </c>
      <c r="F53" t="s">
        <v>85</v>
      </c>
      <c r="G53" t="s">
        <v>17</v>
      </c>
      <c r="H53" t="s">
        <v>18</v>
      </c>
      <c r="I53" s="8">
        <v>746183.68200000003</v>
      </c>
      <c r="J53" s="8">
        <v>350553.13903999998</v>
      </c>
      <c r="K53" s="8">
        <f>I53/1000000</f>
        <v>0.74618368200000007</v>
      </c>
      <c r="L53" s="8">
        <f>J53/1000000</f>
        <v>0.35055313903999996</v>
      </c>
      <c r="M53" t="s">
        <v>19</v>
      </c>
    </row>
    <row r="54" spans="2:13" x14ac:dyDescent="0.25">
      <c r="B54" t="s">
        <v>13</v>
      </c>
      <c r="C54" t="s">
        <v>46</v>
      </c>
      <c r="D54" t="s">
        <v>72</v>
      </c>
      <c r="E54">
        <v>2026</v>
      </c>
      <c r="F54" t="s">
        <v>85</v>
      </c>
      <c r="G54" t="s">
        <v>17</v>
      </c>
      <c r="H54" t="s">
        <v>18</v>
      </c>
      <c r="I54" s="8">
        <v>590761.24159999995</v>
      </c>
      <c r="J54" s="8">
        <v>207187.3587904</v>
      </c>
      <c r="K54" s="8">
        <f>I54/1000000</f>
        <v>0.59076124159999999</v>
      </c>
      <c r="L54" s="8">
        <f>J54/1000000</f>
        <v>0.20718735879040001</v>
      </c>
      <c r="M54" t="s">
        <v>19</v>
      </c>
    </row>
    <row r="55" spans="2:13" x14ac:dyDescent="0.25">
      <c r="B55" t="s">
        <v>13</v>
      </c>
      <c r="C55" t="s">
        <v>46</v>
      </c>
      <c r="D55" t="s">
        <v>72</v>
      </c>
      <c r="E55">
        <v>2029</v>
      </c>
      <c r="F55" t="s">
        <v>85</v>
      </c>
      <c r="G55" t="s">
        <v>17</v>
      </c>
      <c r="H55" t="s">
        <v>18</v>
      </c>
      <c r="I55" s="8">
        <v>1356665.8104999999</v>
      </c>
      <c r="J55" s="8">
        <v>649708.19133673003</v>
      </c>
      <c r="K55" s="8">
        <f>I55/1000000</f>
        <v>1.3566658105</v>
      </c>
      <c r="L55" s="8">
        <f>J55/1000000</f>
        <v>0.64970819133673008</v>
      </c>
      <c r="M55" t="s">
        <v>19</v>
      </c>
    </row>
    <row r="56" spans="2:13" x14ac:dyDescent="0.25">
      <c r="B56" t="s">
        <v>13</v>
      </c>
      <c r="C56" t="s">
        <v>46</v>
      </c>
      <c r="D56" t="s">
        <v>72</v>
      </c>
      <c r="E56">
        <v>2030</v>
      </c>
      <c r="F56" t="s">
        <v>85</v>
      </c>
      <c r="G56" t="s">
        <v>17</v>
      </c>
      <c r="H56" t="s">
        <v>18</v>
      </c>
      <c r="I56" s="8">
        <v>1384492.3951000001</v>
      </c>
      <c r="J56" s="8">
        <v>663034.36189171497</v>
      </c>
      <c r="K56" s="8">
        <f>I56/1000000</f>
        <v>1.3844923951000001</v>
      </c>
      <c r="L56" s="8">
        <f>J56/1000000</f>
        <v>0.66303436189171494</v>
      </c>
      <c r="M56" t="s">
        <v>19</v>
      </c>
    </row>
    <row r="57" spans="2:13" x14ac:dyDescent="0.25">
      <c r="B57" t="s">
        <v>13</v>
      </c>
      <c r="C57" t="s">
        <v>46</v>
      </c>
      <c r="D57" t="s">
        <v>72</v>
      </c>
      <c r="E57">
        <v>2027</v>
      </c>
      <c r="F57" t="s">
        <v>85</v>
      </c>
      <c r="G57" t="s">
        <v>17</v>
      </c>
      <c r="H57" t="s">
        <v>18</v>
      </c>
      <c r="I57" s="8">
        <v>1576294.2174</v>
      </c>
      <c r="J57" s="8">
        <v>643031.87446079997</v>
      </c>
      <c r="K57" s="8">
        <f>I57/1000000</f>
        <v>1.5762942173999999</v>
      </c>
      <c r="L57" s="8">
        <f>J57/1000000</f>
        <v>0.64303187446080001</v>
      </c>
      <c r="M57" t="s">
        <v>19</v>
      </c>
    </row>
    <row r="58" spans="2:13" x14ac:dyDescent="0.25">
      <c r="B58" t="s">
        <v>13</v>
      </c>
      <c r="C58" t="s">
        <v>46</v>
      </c>
      <c r="D58" t="s">
        <v>72</v>
      </c>
      <c r="E58">
        <v>2028</v>
      </c>
      <c r="F58" t="s">
        <v>85</v>
      </c>
      <c r="G58" t="s">
        <v>17</v>
      </c>
      <c r="H58" t="s">
        <v>18</v>
      </c>
      <c r="I58" s="8">
        <v>1639272.9247000001</v>
      </c>
      <c r="J58" s="8">
        <v>672352.4200248</v>
      </c>
      <c r="K58" s="8">
        <f>I58/1000000</f>
        <v>1.6392729247000002</v>
      </c>
      <c r="L58" s="8">
        <f>J58/1000000</f>
        <v>0.6723524200248</v>
      </c>
      <c r="M58" t="s">
        <v>19</v>
      </c>
    </row>
    <row r="59" spans="2:13" x14ac:dyDescent="0.25">
      <c r="B59" t="s">
        <v>13</v>
      </c>
      <c r="C59" t="s">
        <v>46</v>
      </c>
      <c r="D59" t="s">
        <v>69</v>
      </c>
      <c r="E59">
        <v>2028</v>
      </c>
      <c r="F59" t="s">
        <v>85</v>
      </c>
      <c r="G59" t="s">
        <v>17</v>
      </c>
      <c r="H59" t="s">
        <v>18</v>
      </c>
      <c r="I59" s="8">
        <v>1022075.2829</v>
      </c>
      <c r="J59" s="8">
        <v>390223.9719</v>
      </c>
      <c r="K59" s="8">
        <f>I59/1000000</f>
        <v>1.0220752828999999</v>
      </c>
      <c r="L59" s="8">
        <f>J59/1000000</f>
        <v>0.39022397190000002</v>
      </c>
      <c r="M59" t="s">
        <v>19</v>
      </c>
    </row>
    <row r="60" spans="2:13" x14ac:dyDescent="0.25">
      <c r="B60" t="s">
        <v>13</v>
      </c>
      <c r="C60" t="s">
        <v>14</v>
      </c>
      <c r="D60" t="s">
        <v>74</v>
      </c>
      <c r="E60">
        <v>2028</v>
      </c>
      <c r="F60" t="s">
        <v>85</v>
      </c>
      <c r="G60" t="s">
        <v>17</v>
      </c>
      <c r="H60" t="s">
        <v>18</v>
      </c>
      <c r="I60" s="8">
        <v>6519318.6323999995</v>
      </c>
      <c r="J60" s="8">
        <v>3835609.5922403298</v>
      </c>
      <c r="K60" s="8">
        <f>I60/1000000</f>
        <v>6.5193186323999992</v>
      </c>
      <c r="L60" s="8">
        <f>J60/1000000</f>
        <v>3.8356095922403299</v>
      </c>
      <c r="M60" t="s">
        <v>39</v>
      </c>
    </row>
    <row r="61" spans="2:13" x14ac:dyDescent="0.25">
      <c r="B61" t="s">
        <v>13</v>
      </c>
      <c r="C61" t="s">
        <v>14</v>
      </c>
      <c r="D61" t="s">
        <v>74</v>
      </c>
      <c r="E61">
        <v>2029</v>
      </c>
      <c r="F61" t="s">
        <v>85</v>
      </c>
      <c r="G61" t="s">
        <v>17</v>
      </c>
      <c r="H61" t="s">
        <v>18</v>
      </c>
      <c r="I61" s="8">
        <v>6348755.7121000001</v>
      </c>
      <c r="J61" s="8">
        <v>3820599.5684819501</v>
      </c>
      <c r="K61" s="8">
        <f>I61/1000000</f>
        <v>6.3487557121</v>
      </c>
      <c r="L61" s="8">
        <f>J61/1000000</f>
        <v>3.82059956848195</v>
      </c>
      <c r="M61" t="s">
        <v>39</v>
      </c>
    </row>
    <row r="62" spans="2:13" x14ac:dyDescent="0.25">
      <c r="B62" t="s">
        <v>13</v>
      </c>
      <c r="C62" t="s">
        <v>14</v>
      </c>
      <c r="D62" t="s">
        <v>74</v>
      </c>
      <c r="E62">
        <v>2030</v>
      </c>
      <c r="F62" t="s">
        <v>85</v>
      </c>
      <c r="G62" t="s">
        <v>17</v>
      </c>
      <c r="H62" t="s">
        <v>18</v>
      </c>
      <c r="I62" s="8">
        <v>6309237.1468000002</v>
      </c>
      <c r="J62" s="8">
        <v>3807407.12550133</v>
      </c>
      <c r="K62" s="8">
        <f>I62/1000000</f>
        <v>6.3092371468000001</v>
      </c>
      <c r="L62" s="8">
        <f>J62/1000000</f>
        <v>3.8074071255013302</v>
      </c>
      <c r="M62" t="s">
        <v>39</v>
      </c>
    </row>
    <row r="63" spans="2:13" x14ac:dyDescent="0.25">
      <c r="B63" t="s">
        <v>13</v>
      </c>
      <c r="C63" t="s">
        <v>14</v>
      </c>
      <c r="D63" t="s">
        <v>52</v>
      </c>
      <c r="E63">
        <v>2028</v>
      </c>
      <c r="F63" t="s">
        <v>85</v>
      </c>
      <c r="G63" t="s">
        <v>17</v>
      </c>
      <c r="H63" t="s">
        <v>18</v>
      </c>
      <c r="I63" s="8">
        <v>6642545.6590999998</v>
      </c>
      <c r="J63" s="8">
        <v>6030165.4874999998</v>
      </c>
      <c r="K63" s="8">
        <f>I63/1000000</f>
        <v>6.6425456590999996</v>
      </c>
      <c r="L63" s="8">
        <f>J63/1000000</f>
        <v>6.0301654874999997</v>
      </c>
      <c r="M63" t="s">
        <v>19</v>
      </c>
    </row>
    <row r="64" spans="2:13" x14ac:dyDescent="0.25">
      <c r="B64" t="s">
        <v>13</v>
      </c>
      <c r="C64" t="s">
        <v>14</v>
      </c>
      <c r="D64" t="s">
        <v>52</v>
      </c>
      <c r="E64">
        <v>2030</v>
      </c>
      <c r="F64" t="s">
        <v>85</v>
      </c>
      <c r="G64" t="s">
        <v>17</v>
      </c>
      <c r="H64" t="s">
        <v>18</v>
      </c>
      <c r="I64" s="8">
        <v>7580753.6480999999</v>
      </c>
      <c r="J64" s="8">
        <v>6280525.9068750003</v>
      </c>
      <c r="K64" s="8">
        <f>I64/1000000</f>
        <v>7.5807536481</v>
      </c>
      <c r="L64" s="8">
        <f>J64/1000000</f>
        <v>6.2805259068749999</v>
      </c>
      <c r="M64" t="s">
        <v>19</v>
      </c>
    </row>
    <row r="65" spans="2:13" x14ac:dyDescent="0.25">
      <c r="B65" t="s">
        <v>13</v>
      </c>
      <c r="C65" t="s">
        <v>46</v>
      </c>
      <c r="D65" t="s">
        <v>52</v>
      </c>
      <c r="E65">
        <v>2028</v>
      </c>
      <c r="F65" t="s">
        <v>62</v>
      </c>
      <c r="G65" t="s">
        <v>17</v>
      </c>
      <c r="H65" t="s">
        <v>18</v>
      </c>
      <c r="I65" s="8">
        <v>165050.9895</v>
      </c>
      <c r="J65" s="8">
        <v>133720.48892857099</v>
      </c>
      <c r="K65" s="8">
        <f>I65/1000000</f>
        <v>0.16505098949999999</v>
      </c>
      <c r="L65" s="8">
        <f>J65/1000000</f>
        <v>0.133720488928571</v>
      </c>
      <c r="M65" t="s">
        <v>19</v>
      </c>
    </row>
    <row r="66" spans="2:13" x14ac:dyDescent="0.25">
      <c r="B66" t="s">
        <v>13</v>
      </c>
      <c r="C66" t="s">
        <v>46</v>
      </c>
      <c r="D66" t="s">
        <v>52</v>
      </c>
      <c r="E66">
        <v>2027</v>
      </c>
      <c r="F66" t="s">
        <v>62</v>
      </c>
      <c r="G66" t="s">
        <v>17</v>
      </c>
      <c r="H66" t="s">
        <v>18</v>
      </c>
      <c r="I66" s="8">
        <v>163936.99979999999</v>
      </c>
      <c r="J66" s="8">
        <v>133147.17285714301</v>
      </c>
      <c r="K66" s="8">
        <f>I66/1000000</f>
        <v>0.16393699979999998</v>
      </c>
      <c r="L66" s="8">
        <f>J66/1000000</f>
        <v>0.133147172857143</v>
      </c>
      <c r="M66" t="s">
        <v>19</v>
      </c>
    </row>
    <row r="67" spans="2:13" x14ac:dyDescent="0.25">
      <c r="B67" t="s">
        <v>13</v>
      </c>
      <c r="C67" t="s">
        <v>46</v>
      </c>
      <c r="D67" t="s">
        <v>70</v>
      </c>
      <c r="E67">
        <v>2028</v>
      </c>
      <c r="F67" t="s">
        <v>62</v>
      </c>
      <c r="G67" t="s">
        <v>17</v>
      </c>
      <c r="H67" t="s">
        <v>18</v>
      </c>
      <c r="I67" s="8">
        <v>140012.5147</v>
      </c>
      <c r="J67" s="8">
        <v>99104.929895994006</v>
      </c>
      <c r="K67" s="8">
        <f>I67/1000000</f>
        <v>0.14001251470000001</v>
      </c>
      <c r="L67" s="8">
        <f>J67/1000000</f>
        <v>9.9104929895994009E-2</v>
      </c>
      <c r="M67" t="s">
        <v>19</v>
      </c>
    </row>
    <row r="68" spans="2:13" x14ac:dyDescent="0.25">
      <c r="B68" t="s">
        <v>13</v>
      </c>
      <c r="C68" t="s">
        <v>46</v>
      </c>
      <c r="D68" t="s">
        <v>70</v>
      </c>
      <c r="E68">
        <v>2027</v>
      </c>
      <c r="F68" t="s">
        <v>62</v>
      </c>
      <c r="G68" t="s">
        <v>17</v>
      </c>
      <c r="H68" t="s">
        <v>18</v>
      </c>
      <c r="I68" s="8">
        <v>140121.8769</v>
      </c>
      <c r="J68" s="8">
        <v>100305.196690108</v>
      </c>
      <c r="K68" s="8">
        <f>I68/1000000</f>
        <v>0.1401218769</v>
      </c>
      <c r="L68" s="8">
        <f>J68/1000000</f>
        <v>0.100305196690108</v>
      </c>
      <c r="M68" t="s">
        <v>19</v>
      </c>
    </row>
    <row r="69" spans="2:13" x14ac:dyDescent="0.25">
      <c r="B69" t="s">
        <v>13</v>
      </c>
      <c r="C69" t="s">
        <v>46</v>
      </c>
      <c r="D69" t="s">
        <v>72</v>
      </c>
      <c r="E69">
        <v>2027</v>
      </c>
      <c r="F69" t="s">
        <v>62</v>
      </c>
      <c r="G69" t="s">
        <v>17</v>
      </c>
      <c r="H69" t="s">
        <v>18</v>
      </c>
      <c r="I69" s="8">
        <v>455518.15299999999</v>
      </c>
      <c r="J69" s="8">
        <v>153231.75</v>
      </c>
      <c r="K69" s="8">
        <f>I69/1000000</f>
        <v>0.45551815299999998</v>
      </c>
      <c r="L69" s="8">
        <f>J69/1000000</f>
        <v>0.15323175</v>
      </c>
      <c r="M69" t="s">
        <v>19</v>
      </c>
    </row>
    <row r="70" spans="2:13" x14ac:dyDescent="0.25">
      <c r="B70" t="s">
        <v>13</v>
      </c>
      <c r="C70" t="s">
        <v>46</v>
      </c>
      <c r="D70" t="s">
        <v>72</v>
      </c>
      <c r="E70">
        <v>2028</v>
      </c>
      <c r="F70" t="s">
        <v>62</v>
      </c>
      <c r="G70" t="s">
        <v>17</v>
      </c>
      <c r="H70" t="s">
        <v>18</v>
      </c>
      <c r="I70" s="8">
        <v>320070.53340000001</v>
      </c>
      <c r="J70" s="8">
        <v>153997.90875</v>
      </c>
      <c r="K70" s="8">
        <f>I70/1000000</f>
        <v>0.32007053340000002</v>
      </c>
      <c r="L70" s="8">
        <f>J70/1000000</f>
        <v>0.15399790875</v>
      </c>
      <c r="M70" t="s">
        <v>19</v>
      </c>
    </row>
    <row r="71" spans="2:13" x14ac:dyDescent="0.25">
      <c r="B71" t="s">
        <v>13</v>
      </c>
      <c r="C71" t="s">
        <v>46</v>
      </c>
      <c r="D71" t="s">
        <v>73</v>
      </c>
      <c r="E71">
        <v>2027</v>
      </c>
      <c r="F71" t="s">
        <v>62</v>
      </c>
      <c r="G71" t="s">
        <v>17</v>
      </c>
      <c r="H71" t="s">
        <v>18</v>
      </c>
      <c r="I71" s="8">
        <v>202004.73860000001</v>
      </c>
      <c r="J71" s="8">
        <v>144885.28410793401</v>
      </c>
      <c r="K71" s="8">
        <f>I71/1000000</f>
        <v>0.20200473860000001</v>
      </c>
      <c r="L71" s="8">
        <f>J71/1000000</f>
        <v>0.14488528410793403</v>
      </c>
      <c r="M71" t="s">
        <v>19</v>
      </c>
    </row>
    <row r="72" spans="2:13" x14ac:dyDescent="0.25">
      <c r="B72" t="s">
        <v>13</v>
      </c>
      <c r="C72" t="s">
        <v>46</v>
      </c>
      <c r="D72" t="s">
        <v>73</v>
      </c>
      <c r="E72">
        <v>2028</v>
      </c>
      <c r="F72" t="s">
        <v>62</v>
      </c>
      <c r="G72" t="s">
        <v>17</v>
      </c>
      <c r="H72" t="s">
        <v>18</v>
      </c>
      <c r="I72" s="8">
        <v>199482.71900000001</v>
      </c>
      <c r="J72" s="8">
        <v>143151.565405325</v>
      </c>
      <c r="K72" s="8">
        <f>I72/1000000</f>
        <v>0.199482719</v>
      </c>
      <c r="L72" s="8">
        <f>J72/1000000</f>
        <v>0.143151565405325</v>
      </c>
      <c r="M72" t="s">
        <v>19</v>
      </c>
    </row>
    <row r="73" spans="2:13" x14ac:dyDescent="0.25">
      <c r="B73" t="s">
        <v>13</v>
      </c>
      <c r="C73" t="s">
        <v>46</v>
      </c>
      <c r="D73" t="s">
        <v>73</v>
      </c>
      <c r="E73">
        <v>2026</v>
      </c>
      <c r="F73" t="s">
        <v>62</v>
      </c>
      <c r="G73" t="s">
        <v>17</v>
      </c>
      <c r="H73" t="s">
        <v>18</v>
      </c>
      <c r="I73" s="8">
        <v>10854511.552100001</v>
      </c>
      <c r="J73" s="8">
        <v>7722117.7970955996</v>
      </c>
      <c r="K73" s="8">
        <f>I73/1000000</f>
        <v>10.854511552100002</v>
      </c>
      <c r="L73" s="8">
        <f>J73/1000000</f>
        <v>7.7221177970955992</v>
      </c>
      <c r="M73" t="s">
        <v>19</v>
      </c>
    </row>
    <row r="74" spans="2:13" x14ac:dyDescent="0.25">
      <c r="B74" t="s">
        <v>13</v>
      </c>
      <c r="C74" t="s">
        <v>46</v>
      </c>
      <c r="D74" t="s">
        <v>73</v>
      </c>
      <c r="E74">
        <v>2027</v>
      </c>
      <c r="F74" t="s">
        <v>62</v>
      </c>
      <c r="G74" t="s">
        <v>17</v>
      </c>
      <c r="H74" t="s">
        <v>18</v>
      </c>
      <c r="I74" s="8">
        <v>5408922.0412999997</v>
      </c>
      <c r="J74" s="8">
        <v>3879479.32292184</v>
      </c>
      <c r="K74" s="8">
        <f>I74/1000000</f>
        <v>5.4089220412999994</v>
      </c>
      <c r="L74" s="8">
        <f>J74/1000000</f>
        <v>3.8794793229218398</v>
      </c>
      <c r="M74" t="s">
        <v>19</v>
      </c>
    </row>
    <row r="75" spans="2:13" x14ac:dyDescent="0.25">
      <c r="B75" t="s">
        <v>13</v>
      </c>
      <c r="C75" t="s">
        <v>46</v>
      </c>
      <c r="D75" t="s">
        <v>73</v>
      </c>
      <c r="E75">
        <v>2028</v>
      </c>
      <c r="F75" t="s">
        <v>62</v>
      </c>
      <c r="G75" t="s">
        <v>17</v>
      </c>
      <c r="H75" t="s">
        <v>18</v>
      </c>
      <c r="I75" s="8">
        <v>3564199.5244</v>
      </c>
      <c r="J75" s="8">
        <v>2557719.0044406001</v>
      </c>
      <c r="K75" s="8">
        <f>I75/1000000</f>
        <v>3.5641995244000002</v>
      </c>
      <c r="L75" s="8">
        <f>J75/1000000</f>
        <v>2.5577190044406</v>
      </c>
      <c r="M75" t="s">
        <v>19</v>
      </c>
    </row>
    <row r="76" spans="2:13" x14ac:dyDescent="0.25">
      <c r="B76" t="s">
        <v>13</v>
      </c>
      <c r="C76" t="s">
        <v>46</v>
      </c>
      <c r="D76" t="s">
        <v>73</v>
      </c>
      <c r="E76">
        <v>2029</v>
      </c>
      <c r="F76" t="s">
        <v>62</v>
      </c>
      <c r="G76" t="s">
        <v>17</v>
      </c>
      <c r="H76" t="s">
        <v>18</v>
      </c>
      <c r="I76" s="8">
        <v>1507560.1285000001</v>
      </c>
      <c r="J76" s="8">
        <v>1081846.1560828299</v>
      </c>
      <c r="K76" s="8">
        <f>I76/1000000</f>
        <v>1.5075601285000002</v>
      </c>
      <c r="L76" s="8">
        <f>J76/1000000</f>
        <v>1.0818461560828299</v>
      </c>
      <c r="M76" t="s">
        <v>19</v>
      </c>
    </row>
    <row r="77" spans="2:13" x14ac:dyDescent="0.25">
      <c r="B77" t="s">
        <v>13</v>
      </c>
      <c r="C77" t="s">
        <v>46</v>
      </c>
      <c r="D77" t="s">
        <v>70</v>
      </c>
      <c r="E77">
        <v>2029</v>
      </c>
      <c r="F77" t="s">
        <v>62</v>
      </c>
      <c r="G77" t="s">
        <v>17</v>
      </c>
      <c r="H77" t="s">
        <v>18</v>
      </c>
      <c r="I77" s="8">
        <v>2606995.6817000001</v>
      </c>
      <c r="J77" s="8">
        <v>1478445.3989504301</v>
      </c>
      <c r="K77" s="8">
        <f>I77/1000000</f>
        <v>2.6069956817</v>
      </c>
      <c r="L77" s="8">
        <f>J77/1000000</f>
        <v>1.47844539895043</v>
      </c>
      <c r="M77" t="s">
        <v>19</v>
      </c>
    </row>
    <row r="78" spans="2:13" x14ac:dyDescent="0.25">
      <c r="B78" t="s">
        <v>13</v>
      </c>
      <c r="C78" t="s">
        <v>46</v>
      </c>
      <c r="D78" t="s">
        <v>70</v>
      </c>
      <c r="E78">
        <v>2030</v>
      </c>
      <c r="F78" t="s">
        <v>62</v>
      </c>
      <c r="G78" t="s">
        <v>17</v>
      </c>
      <c r="H78" t="s">
        <v>18</v>
      </c>
      <c r="I78" s="8">
        <v>2075479.0736</v>
      </c>
      <c r="J78" s="8">
        <v>1176083.89239979</v>
      </c>
      <c r="K78" s="8">
        <f>I78/1000000</f>
        <v>2.0754790735999999</v>
      </c>
      <c r="L78" s="8">
        <f>J78/1000000</f>
        <v>1.1760838923997901</v>
      </c>
      <c r="M78" t="s">
        <v>19</v>
      </c>
    </row>
    <row r="79" spans="2:13" x14ac:dyDescent="0.25">
      <c r="B79" t="s">
        <v>13</v>
      </c>
      <c r="C79" t="s">
        <v>46</v>
      </c>
      <c r="D79" t="s">
        <v>70</v>
      </c>
      <c r="E79">
        <v>2026</v>
      </c>
      <c r="F79" t="s">
        <v>62</v>
      </c>
      <c r="G79" t="s">
        <v>17</v>
      </c>
      <c r="H79" t="s">
        <v>18</v>
      </c>
      <c r="I79" s="8">
        <v>3336298.7483000001</v>
      </c>
      <c r="J79" s="8">
        <v>1752374.83678</v>
      </c>
      <c r="K79" s="8">
        <f>I79/1000000</f>
        <v>3.3362987483</v>
      </c>
      <c r="L79" s="8">
        <f>J79/1000000</f>
        <v>1.7523748367800001</v>
      </c>
      <c r="M79" t="s">
        <v>19</v>
      </c>
    </row>
    <row r="80" spans="2:13" x14ac:dyDescent="0.25">
      <c r="B80" t="s">
        <v>13</v>
      </c>
      <c r="C80" t="s">
        <v>46</v>
      </c>
      <c r="D80" t="s">
        <v>70</v>
      </c>
      <c r="E80">
        <v>2027</v>
      </c>
      <c r="F80" t="s">
        <v>62</v>
      </c>
      <c r="G80" t="s">
        <v>17</v>
      </c>
      <c r="H80" t="s">
        <v>18</v>
      </c>
      <c r="I80" s="8">
        <v>2780709.5140999998</v>
      </c>
      <c r="J80" s="8">
        <v>1765608.8353200001</v>
      </c>
      <c r="K80" s="8">
        <f>I80/1000000</f>
        <v>2.7807095140999998</v>
      </c>
      <c r="L80" s="8">
        <f>J80/1000000</f>
        <v>1.7656088353200001</v>
      </c>
      <c r="M80" t="s">
        <v>19</v>
      </c>
    </row>
    <row r="81" spans="2:13" x14ac:dyDescent="0.25">
      <c r="B81" t="s">
        <v>13</v>
      </c>
      <c r="C81" t="s">
        <v>46</v>
      </c>
      <c r="D81" t="s">
        <v>70</v>
      </c>
      <c r="E81">
        <v>2028</v>
      </c>
      <c r="F81" t="s">
        <v>62</v>
      </c>
      <c r="G81" t="s">
        <v>17</v>
      </c>
      <c r="H81" t="s">
        <v>18</v>
      </c>
      <c r="I81" s="8">
        <v>2770607.9657999999</v>
      </c>
      <c r="J81" s="8">
        <v>1746893.8040400001</v>
      </c>
      <c r="K81" s="8">
        <f>I81/1000000</f>
        <v>2.7706079658</v>
      </c>
      <c r="L81" s="8">
        <f>J81/1000000</f>
        <v>1.7468938040400002</v>
      </c>
      <c r="M81" t="s">
        <v>19</v>
      </c>
    </row>
    <row r="82" spans="2:13" x14ac:dyDescent="0.25">
      <c r="B82" t="s">
        <v>13</v>
      </c>
      <c r="C82" t="s">
        <v>46</v>
      </c>
      <c r="D82" t="s">
        <v>15</v>
      </c>
      <c r="E82">
        <v>2027</v>
      </c>
      <c r="F82" t="s">
        <v>62</v>
      </c>
      <c r="G82" t="s">
        <v>17</v>
      </c>
      <c r="H82" t="s">
        <v>18</v>
      </c>
      <c r="I82" s="8">
        <v>123368.40519999999</v>
      </c>
      <c r="J82" s="8">
        <v>23276.388888888901</v>
      </c>
      <c r="K82" s="8">
        <f>I82/1000000</f>
        <v>0.12336840519999999</v>
      </c>
      <c r="L82" s="8">
        <f>J82/1000000</f>
        <v>2.3276388888888902E-2</v>
      </c>
      <c r="M82" t="s">
        <v>19</v>
      </c>
    </row>
    <row r="83" spans="2:13" x14ac:dyDescent="0.25">
      <c r="B83" t="s">
        <v>13</v>
      </c>
      <c r="C83" t="s">
        <v>46</v>
      </c>
      <c r="D83" t="s">
        <v>15</v>
      </c>
      <c r="E83">
        <v>2026</v>
      </c>
      <c r="F83" t="s">
        <v>62</v>
      </c>
      <c r="G83" t="s">
        <v>17</v>
      </c>
      <c r="H83" t="s">
        <v>18</v>
      </c>
      <c r="I83" s="8">
        <v>1930625.5611</v>
      </c>
      <c r="J83" s="8">
        <v>364258.509051</v>
      </c>
      <c r="K83" s="8">
        <f>I83/1000000</f>
        <v>1.9306255611000001</v>
      </c>
      <c r="L83" s="8">
        <f>J83/1000000</f>
        <v>0.36425850905099999</v>
      </c>
      <c r="M83" t="s">
        <v>19</v>
      </c>
    </row>
    <row r="84" spans="2:13" x14ac:dyDescent="0.25">
      <c r="B84" t="s">
        <v>13</v>
      </c>
      <c r="C84" t="s">
        <v>46</v>
      </c>
      <c r="D84" t="s">
        <v>15</v>
      </c>
      <c r="E84">
        <v>2027</v>
      </c>
      <c r="F84" t="s">
        <v>62</v>
      </c>
      <c r="G84" t="s">
        <v>17</v>
      </c>
      <c r="H84" t="s">
        <v>18</v>
      </c>
      <c r="I84" s="8">
        <v>4907121.5707999999</v>
      </c>
      <c r="J84" s="8">
        <v>925845.39599999995</v>
      </c>
      <c r="K84" s="8">
        <f>I84/1000000</f>
        <v>4.9071215708000002</v>
      </c>
      <c r="L84" s="8">
        <f>J84/1000000</f>
        <v>0.92584539599999993</v>
      </c>
      <c r="M84" t="s">
        <v>19</v>
      </c>
    </row>
    <row r="85" spans="2:13" x14ac:dyDescent="0.25">
      <c r="B85" t="s">
        <v>13</v>
      </c>
      <c r="C85" t="s">
        <v>46</v>
      </c>
      <c r="D85" t="s">
        <v>15</v>
      </c>
      <c r="E85">
        <v>2029</v>
      </c>
      <c r="F85" t="s">
        <v>62</v>
      </c>
      <c r="G85" t="s">
        <v>17</v>
      </c>
      <c r="H85" t="s">
        <v>18</v>
      </c>
      <c r="I85" s="8">
        <v>855030.99109999998</v>
      </c>
      <c r="J85" s="8">
        <v>284786.24062499998</v>
      </c>
      <c r="K85" s="8">
        <f>I85/1000000</f>
        <v>0.85503099110000003</v>
      </c>
      <c r="L85" s="8">
        <f>J85/1000000</f>
        <v>0.28478624062499996</v>
      </c>
      <c r="M85" t="s">
        <v>19</v>
      </c>
    </row>
    <row r="86" spans="2:13" x14ac:dyDescent="0.25">
      <c r="B86" t="s">
        <v>13</v>
      </c>
      <c r="C86" t="s">
        <v>46</v>
      </c>
      <c r="D86" t="s">
        <v>72</v>
      </c>
      <c r="E86">
        <v>2026</v>
      </c>
      <c r="F86" t="s">
        <v>62</v>
      </c>
      <c r="G86" t="s">
        <v>17</v>
      </c>
      <c r="H86" t="s">
        <v>18</v>
      </c>
      <c r="I86" s="8">
        <v>18793085.768199999</v>
      </c>
      <c r="J86" s="8">
        <v>6321806.05891906</v>
      </c>
      <c r="K86" s="8">
        <f>I86/1000000</f>
        <v>18.793085768199997</v>
      </c>
      <c r="L86" s="8">
        <f>J86/1000000</f>
        <v>6.3218060589190603</v>
      </c>
      <c r="M86" t="s">
        <v>19</v>
      </c>
    </row>
    <row r="87" spans="2:13" x14ac:dyDescent="0.25">
      <c r="B87" t="s">
        <v>13</v>
      </c>
      <c r="C87" t="s">
        <v>46</v>
      </c>
      <c r="D87" t="s">
        <v>72</v>
      </c>
      <c r="E87">
        <v>2027</v>
      </c>
      <c r="F87" t="s">
        <v>62</v>
      </c>
      <c r="G87" t="s">
        <v>17</v>
      </c>
      <c r="H87" t="s">
        <v>18</v>
      </c>
      <c r="I87" s="8">
        <v>11514791.4605</v>
      </c>
      <c r="J87" s="8">
        <v>3873460.6610523602</v>
      </c>
      <c r="K87" s="8">
        <f>I87/1000000</f>
        <v>11.5147914605</v>
      </c>
      <c r="L87" s="8">
        <f>J87/1000000</f>
        <v>3.8734606610523601</v>
      </c>
      <c r="M87" t="s">
        <v>19</v>
      </c>
    </row>
    <row r="88" spans="2:13" x14ac:dyDescent="0.25">
      <c r="B88" t="s">
        <v>13</v>
      </c>
      <c r="C88" t="s">
        <v>46</v>
      </c>
      <c r="D88" t="s">
        <v>72</v>
      </c>
      <c r="E88">
        <v>2029</v>
      </c>
      <c r="F88" t="s">
        <v>62</v>
      </c>
      <c r="G88" t="s">
        <v>17</v>
      </c>
      <c r="H88" t="s">
        <v>18</v>
      </c>
      <c r="I88" s="8">
        <v>2246408.7377999998</v>
      </c>
      <c r="J88" s="8">
        <v>1080831.2910208399</v>
      </c>
      <c r="K88" s="8">
        <f>I88/1000000</f>
        <v>2.2464087377999999</v>
      </c>
      <c r="L88" s="8">
        <f>J88/1000000</f>
        <v>1.08083129102084</v>
      </c>
      <c r="M88" t="s">
        <v>19</v>
      </c>
    </row>
    <row r="89" spans="2:13" x14ac:dyDescent="0.25">
      <c r="B89" t="s">
        <v>13</v>
      </c>
      <c r="C89" t="s">
        <v>46</v>
      </c>
      <c r="D89" t="s">
        <v>104</v>
      </c>
      <c r="E89">
        <v>2029</v>
      </c>
      <c r="F89" t="s">
        <v>62</v>
      </c>
      <c r="G89" t="s">
        <v>17</v>
      </c>
      <c r="H89" t="s">
        <v>18</v>
      </c>
      <c r="I89" s="8">
        <v>90655.361499999999</v>
      </c>
      <c r="J89" s="8">
        <v>153175.70000000001</v>
      </c>
      <c r="K89" s="8">
        <f>I89/1000000</f>
        <v>9.0655361500000003E-2</v>
      </c>
      <c r="L89" s="8">
        <f>J89/1000000</f>
        <v>0.1531757</v>
      </c>
      <c r="M89" t="s">
        <v>39</v>
      </c>
    </row>
    <row r="90" spans="2:13" x14ac:dyDescent="0.25">
      <c r="B90" t="s">
        <v>13</v>
      </c>
      <c r="C90" t="s">
        <v>46</v>
      </c>
      <c r="D90" t="s">
        <v>72</v>
      </c>
      <c r="E90">
        <v>2028</v>
      </c>
      <c r="F90" t="s">
        <v>62</v>
      </c>
      <c r="G90" t="s">
        <v>17</v>
      </c>
      <c r="H90" t="s">
        <v>18</v>
      </c>
      <c r="I90" s="8">
        <v>5354093.0166999996</v>
      </c>
      <c r="J90" s="8">
        <v>2576605.44317368</v>
      </c>
      <c r="K90" s="8">
        <f>I90/1000000</f>
        <v>5.3540930166999994</v>
      </c>
      <c r="L90" s="8">
        <f>J90/1000000</f>
        <v>2.5766054431736798</v>
      </c>
      <c r="M90" t="s">
        <v>19</v>
      </c>
    </row>
    <row r="91" spans="2:13" x14ac:dyDescent="0.25">
      <c r="B91" t="s">
        <v>13</v>
      </c>
      <c r="C91" t="s">
        <v>46</v>
      </c>
      <c r="D91" t="s">
        <v>15</v>
      </c>
      <c r="E91">
        <v>2028</v>
      </c>
      <c r="F91" t="s">
        <v>62</v>
      </c>
      <c r="G91" t="s">
        <v>17</v>
      </c>
      <c r="H91" t="s">
        <v>18</v>
      </c>
      <c r="I91" s="8">
        <v>70780.651400000002</v>
      </c>
      <c r="J91" s="8">
        <v>23575</v>
      </c>
      <c r="K91" s="8">
        <f>I91/1000000</f>
        <v>7.0780651400000005E-2</v>
      </c>
      <c r="L91" s="8">
        <f>J91/1000000</f>
        <v>2.3574999999999999E-2</v>
      </c>
      <c r="M91" t="s">
        <v>19</v>
      </c>
    </row>
    <row r="92" spans="2:13" x14ac:dyDescent="0.25">
      <c r="B92" t="s">
        <v>13</v>
      </c>
      <c r="C92" t="s">
        <v>46</v>
      </c>
      <c r="D92" t="s">
        <v>15</v>
      </c>
      <c r="E92">
        <v>2028</v>
      </c>
      <c r="F92" t="s">
        <v>62</v>
      </c>
      <c r="G92" t="s">
        <v>17</v>
      </c>
      <c r="H92" t="s">
        <v>18</v>
      </c>
      <c r="I92" s="8">
        <v>1868698.1510000001</v>
      </c>
      <c r="J92" s="8">
        <v>622409.628194444</v>
      </c>
      <c r="K92" s="8">
        <f>I92/1000000</f>
        <v>1.868698151</v>
      </c>
      <c r="L92" s="8">
        <f>J92/1000000</f>
        <v>0.62240962819444401</v>
      </c>
      <c r="M92" t="s">
        <v>19</v>
      </c>
    </row>
    <row r="93" spans="2:13" x14ac:dyDescent="0.25">
      <c r="B93" t="s">
        <v>13</v>
      </c>
      <c r="C93" t="s">
        <v>46</v>
      </c>
      <c r="D93" t="s">
        <v>104</v>
      </c>
      <c r="E93">
        <v>2028</v>
      </c>
      <c r="F93" t="s">
        <v>62</v>
      </c>
      <c r="G93" t="s">
        <v>17</v>
      </c>
      <c r="H93" t="s">
        <v>18</v>
      </c>
      <c r="I93" s="8">
        <v>183380.50260000001</v>
      </c>
      <c r="J93" s="8">
        <v>309848.59999999998</v>
      </c>
      <c r="K93" s="8">
        <f>I93/1000000</f>
        <v>0.18338050259999999</v>
      </c>
      <c r="L93" s="8">
        <f>J93/1000000</f>
        <v>0.30984859999999997</v>
      </c>
      <c r="M93" t="s">
        <v>39</v>
      </c>
    </row>
    <row r="94" spans="2:13" x14ac:dyDescent="0.25">
      <c r="B94" t="s">
        <v>13</v>
      </c>
      <c r="C94" t="s">
        <v>46</v>
      </c>
      <c r="D94" t="s">
        <v>108</v>
      </c>
      <c r="E94">
        <v>2028</v>
      </c>
      <c r="F94" t="s">
        <v>62</v>
      </c>
      <c r="G94" t="s">
        <v>17</v>
      </c>
      <c r="H94" t="s">
        <v>18</v>
      </c>
      <c r="I94" s="8">
        <v>1465096.0416999999</v>
      </c>
      <c r="J94" s="8">
        <v>394018.55755055998</v>
      </c>
      <c r="K94" s="8">
        <f>I94/1000000</f>
        <v>1.4650960416999999</v>
      </c>
      <c r="L94" s="8">
        <f>J94/1000000</f>
        <v>0.39401855755055998</v>
      </c>
      <c r="M94" t="s">
        <v>39</v>
      </c>
    </row>
    <row r="95" spans="2:13" x14ac:dyDescent="0.25">
      <c r="B95" t="s">
        <v>13</v>
      </c>
      <c r="C95" t="s">
        <v>14</v>
      </c>
      <c r="D95" t="s">
        <v>104</v>
      </c>
      <c r="E95">
        <v>2028</v>
      </c>
      <c r="F95" t="s">
        <v>62</v>
      </c>
      <c r="G95" t="s">
        <v>17</v>
      </c>
      <c r="H95" t="s">
        <v>18</v>
      </c>
      <c r="I95" s="8">
        <v>11563450.125600001</v>
      </c>
      <c r="J95" s="8">
        <v>19538166.719999999</v>
      </c>
      <c r="K95" s="8">
        <f>I95/1000000</f>
        <v>11.563450125600001</v>
      </c>
      <c r="L95" s="8">
        <f>J95/1000000</f>
        <v>19.53816672</v>
      </c>
      <c r="M95" t="s">
        <v>39</v>
      </c>
    </row>
    <row r="96" spans="2:13" x14ac:dyDescent="0.25">
      <c r="B96" t="s">
        <v>13</v>
      </c>
      <c r="C96" t="s">
        <v>14</v>
      </c>
      <c r="D96" t="s">
        <v>109</v>
      </c>
      <c r="E96">
        <v>2026</v>
      </c>
      <c r="F96" t="s">
        <v>62</v>
      </c>
      <c r="G96" t="s">
        <v>17</v>
      </c>
      <c r="H96" t="s">
        <v>18</v>
      </c>
      <c r="I96" s="8">
        <v>9931604.5965</v>
      </c>
      <c r="J96" s="8">
        <v>8950500</v>
      </c>
      <c r="K96" s="8">
        <f>I96/1000000</f>
        <v>9.9316045964999997</v>
      </c>
      <c r="L96" s="8">
        <f>J96/1000000</f>
        <v>8.9504999999999999</v>
      </c>
      <c r="M96" t="s">
        <v>39</v>
      </c>
    </row>
    <row r="97" spans="2:13" x14ac:dyDescent="0.25">
      <c r="B97" t="s">
        <v>13</v>
      </c>
      <c r="C97" t="s">
        <v>14</v>
      </c>
      <c r="D97" t="s">
        <v>109</v>
      </c>
      <c r="E97">
        <v>2027</v>
      </c>
      <c r="F97" t="s">
        <v>62</v>
      </c>
      <c r="G97" t="s">
        <v>17</v>
      </c>
      <c r="H97" t="s">
        <v>18</v>
      </c>
      <c r="I97" s="8">
        <v>11015204.5965</v>
      </c>
      <c r="J97" s="8">
        <v>8950500</v>
      </c>
      <c r="K97" s="8">
        <f>I97/1000000</f>
        <v>11.0152045965</v>
      </c>
      <c r="L97" s="8">
        <f>J97/1000000</f>
        <v>8.9504999999999999</v>
      </c>
      <c r="M97" t="s">
        <v>39</v>
      </c>
    </row>
    <row r="98" spans="2:13" x14ac:dyDescent="0.25">
      <c r="B98" t="s">
        <v>13</v>
      </c>
      <c r="C98" t="s">
        <v>14</v>
      </c>
      <c r="D98" t="s">
        <v>109</v>
      </c>
      <c r="E98">
        <v>2028</v>
      </c>
      <c r="F98" t="s">
        <v>62</v>
      </c>
      <c r="G98" t="s">
        <v>17</v>
      </c>
      <c r="H98" t="s">
        <v>18</v>
      </c>
      <c r="I98" s="8">
        <v>11658089.365700001</v>
      </c>
      <c r="J98" s="8">
        <v>8950500</v>
      </c>
      <c r="K98" s="8">
        <f>I98/1000000</f>
        <v>11.6580893657</v>
      </c>
      <c r="L98" s="8">
        <f>J98/1000000</f>
        <v>8.9504999999999999</v>
      </c>
      <c r="M98" t="s">
        <v>39</v>
      </c>
    </row>
    <row r="99" spans="2:13" x14ac:dyDescent="0.25">
      <c r="B99" t="s">
        <v>13</v>
      </c>
      <c r="C99" t="s">
        <v>14</v>
      </c>
      <c r="D99" t="s">
        <v>109</v>
      </c>
      <c r="E99">
        <v>2029</v>
      </c>
      <c r="F99" t="s">
        <v>62</v>
      </c>
      <c r="G99" t="s">
        <v>17</v>
      </c>
      <c r="H99" t="s">
        <v>18</v>
      </c>
      <c r="I99" s="8">
        <v>12563352.523600001</v>
      </c>
      <c r="J99" s="8">
        <v>8950500</v>
      </c>
      <c r="K99" s="8">
        <f>I99/1000000</f>
        <v>12.563352523600001</v>
      </c>
      <c r="L99" s="8">
        <f>J99/1000000</f>
        <v>8.9504999999999999</v>
      </c>
      <c r="M99" t="s">
        <v>39</v>
      </c>
    </row>
    <row r="100" spans="2:13" x14ac:dyDescent="0.25">
      <c r="B100" t="s">
        <v>13</v>
      </c>
      <c r="C100" t="s">
        <v>46</v>
      </c>
      <c r="D100" t="s">
        <v>108</v>
      </c>
      <c r="E100">
        <v>2029</v>
      </c>
      <c r="F100" t="s">
        <v>62</v>
      </c>
      <c r="G100" t="s">
        <v>17</v>
      </c>
      <c r="H100" t="s">
        <v>18</v>
      </c>
      <c r="I100" s="8">
        <v>811079.18770000001</v>
      </c>
      <c r="J100" s="8">
        <v>218129.216440413</v>
      </c>
      <c r="K100" s="8">
        <f>I100/1000000</f>
        <v>0.81107918769999998</v>
      </c>
      <c r="L100" s="8">
        <f>J100/1000000</f>
        <v>0.218129216440413</v>
      </c>
      <c r="M100" t="s">
        <v>39</v>
      </c>
    </row>
    <row r="101" spans="2:13" x14ac:dyDescent="0.25">
      <c r="B101" t="s">
        <v>13</v>
      </c>
      <c r="C101" t="s">
        <v>46</v>
      </c>
      <c r="D101" t="s">
        <v>101</v>
      </c>
      <c r="E101">
        <v>2027</v>
      </c>
      <c r="F101" t="s">
        <v>62</v>
      </c>
      <c r="G101" t="s">
        <v>17</v>
      </c>
      <c r="H101" t="s">
        <v>18</v>
      </c>
      <c r="I101" s="8">
        <v>45391.116499999996</v>
      </c>
      <c r="J101" s="8">
        <v>41100</v>
      </c>
      <c r="K101" s="8">
        <f>I101/1000000</f>
        <v>4.5391116499999995E-2</v>
      </c>
      <c r="L101" s="8">
        <f>J101/1000000</f>
        <v>4.1099999999999998E-2</v>
      </c>
      <c r="M101" t="s">
        <v>39</v>
      </c>
    </row>
    <row r="102" spans="2:13" x14ac:dyDescent="0.25">
      <c r="B102" t="s">
        <v>13</v>
      </c>
      <c r="C102" t="s">
        <v>46</v>
      </c>
      <c r="D102" t="s">
        <v>101</v>
      </c>
      <c r="E102">
        <v>2028</v>
      </c>
      <c r="F102" t="s">
        <v>62</v>
      </c>
      <c r="G102" t="s">
        <v>17</v>
      </c>
      <c r="H102" t="s">
        <v>18</v>
      </c>
      <c r="I102" s="8">
        <v>44572.091899999999</v>
      </c>
      <c r="J102" s="8">
        <v>40650</v>
      </c>
      <c r="K102" s="8">
        <f>I102/1000000</f>
        <v>4.4572091899999999E-2</v>
      </c>
      <c r="L102" s="8">
        <f>J102/1000000</f>
        <v>4.0649999999999999E-2</v>
      </c>
      <c r="M102" t="s">
        <v>39</v>
      </c>
    </row>
    <row r="103" spans="2:13" x14ac:dyDescent="0.25">
      <c r="B103" t="s">
        <v>13</v>
      </c>
      <c r="C103" t="s">
        <v>46</v>
      </c>
      <c r="D103" t="s">
        <v>101</v>
      </c>
      <c r="E103">
        <v>2028</v>
      </c>
      <c r="F103" t="s">
        <v>62</v>
      </c>
      <c r="G103" t="s">
        <v>17</v>
      </c>
      <c r="H103" t="s">
        <v>18</v>
      </c>
      <c r="I103" s="8">
        <v>1611934.1077000001</v>
      </c>
      <c r="J103" s="8">
        <v>1470093.0252901199</v>
      </c>
      <c r="K103" s="8">
        <f>I103/1000000</f>
        <v>1.6119341077</v>
      </c>
      <c r="L103" s="8">
        <f>J103/1000000</f>
        <v>1.4700930252901199</v>
      </c>
      <c r="M103" t="s">
        <v>39</v>
      </c>
    </row>
    <row r="104" spans="2:13" x14ac:dyDescent="0.25">
      <c r="B104" t="s">
        <v>13</v>
      </c>
      <c r="C104" t="s">
        <v>46</v>
      </c>
      <c r="D104" t="s">
        <v>101</v>
      </c>
      <c r="E104">
        <v>2026</v>
      </c>
      <c r="F104" t="s">
        <v>62</v>
      </c>
      <c r="G104" t="s">
        <v>17</v>
      </c>
      <c r="H104" t="s">
        <v>18</v>
      </c>
      <c r="I104" s="8">
        <v>-0.31209999999999999</v>
      </c>
      <c r="J104" s="8">
        <v>-0.2826439</v>
      </c>
      <c r="K104" s="8">
        <f>I104/1000000</f>
        <v>-3.121E-7</v>
      </c>
      <c r="L104" s="8">
        <f>J104/1000000</f>
        <v>-2.8264390000000001E-7</v>
      </c>
      <c r="M104" t="s">
        <v>39</v>
      </c>
    </row>
    <row r="105" spans="2:13" x14ac:dyDescent="0.25">
      <c r="B105" t="s">
        <v>13</v>
      </c>
      <c r="C105" t="s">
        <v>46</v>
      </c>
      <c r="D105" t="s">
        <v>101</v>
      </c>
      <c r="E105">
        <v>2027</v>
      </c>
      <c r="F105" t="s">
        <v>62</v>
      </c>
      <c r="G105" t="s">
        <v>17</v>
      </c>
      <c r="H105" t="s">
        <v>18</v>
      </c>
      <c r="I105" s="8">
        <v>1949351.5607</v>
      </c>
      <c r="J105" s="8">
        <v>1765066.7181472001</v>
      </c>
      <c r="K105" s="8">
        <f>I105/1000000</f>
        <v>1.9493515607</v>
      </c>
      <c r="L105" s="8">
        <f>J105/1000000</f>
        <v>1.7650667181472002</v>
      </c>
      <c r="M105" t="s">
        <v>39</v>
      </c>
    </row>
    <row r="106" spans="2:13" x14ac:dyDescent="0.25">
      <c r="B106" t="s">
        <v>13</v>
      </c>
      <c r="C106" t="s">
        <v>46</v>
      </c>
      <c r="D106" t="s">
        <v>101</v>
      </c>
      <c r="E106">
        <v>2029</v>
      </c>
      <c r="F106" t="s">
        <v>62</v>
      </c>
      <c r="G106" t="s">
        <v>17</v>
      </c>
      <c r="H106" t="s">
        <v>18</v>
      </c>
      <c r="I106" s="8">
        <v>1237293.8707000001</v>
      </c>
      <c r="J106" s="8">
        <v>1128419.0097519299</v>
      </c>
      <c r="K106" s="8">
        <f>I106/1000000</f>
        <v>1.2372938707000001</v>
      </c>
      <c r="L106" s="8">
        <f>J106/1000000</f>
        <v>1.12841900975193</v>
      </c>
      <c r="M106" t="s">
        <v>39</v>
      </c>
    </row>
    <row r="107" spans="2:13" x14ac:dyDescent="0.25">
      <c r="B107" t="s">
        <v>13</v>
      </c>
      <c r="C107" t="s">
        <v>46</v>
      </c>
      <c r="D107" t="s">
        <v>52</v>
      </c>
      <c r="E107">
        <v>2026</v>
      </c>
      <c r="F107" t="s">
        <v>60</v>
      </c>
      <c r="G107" t="s">
        <v>17</v>
      </c>
      <c r="H107" t="s">
        <v>18</v>
      </c>
      <c r="I107" s="8">
        <v>721449.32090000005</v>
      </c>
      <c r="J107" s="8">
        <v>735500</v>
      </c>
      <c r="K107" s="8">
        <f>I107/1000000</f>
        <v>0.72144932090000002</v>
      </c>
      <c r="L107" s="8">
        <f>J107/1000000</f>
        <v>0.73550000000000004</v>
      </c>
      <c r="M107" t="s">
        <v>19</v>
      </c>
    </row>
    <row r="108" spans="2:13" x14ac:dyDescent="0.25">
      <c r="B108" t="s">
        <v>13</v>
      </c>
      <c r="C108" t="s">
        <v>46</v>
      </c>
      <c r="D108" t="s">
        <v>52</v>
      </c>
      <c r="E108">
        <v>2028</v>
      </c>
      <c r="F108" t="s">
        <v>60</v>
      </c>
      <c r="G108" t="s">
        <v>17</v>
      </c>
      <c r="H108" t="s">
        <v>18</v>
      </c>
      <c r="I108" s="8">
        <v>463447.3873</v>
      </c>
      <c r="J108" s="8">
        <v>375474.33911639999</v>
      </c>
      <c r="K108" s="8">
        <f>I108/1000000</f>
        <v>0.46344738730000001</v>
      </c>
      <c r="L108" s="8">
        <f>J108/1000000</f>
        <v>0.37547433911639999</v>
      </c>
      <c r="M108" t="s">
        <v>19</v>
      </c>
    </row>
    <row r="109" spans="2:13" x14ac:dyDescent="0.25">
      <c r="B109" t="s">
        <v>13</v>
      </c>
      <c r="C109" t="s">
        <v>46</v>
      </c>
      <c r="D109" t="s">
        <v>52</v>
      </c>
      <c r="E109">
        <v>2029</v>
      </c>
      <c r="F109" t="s">
        <v>60</v>
      </c>
      <c r="G109" t="s">
        <v>17</v>
      </c>
      <c r="H109" t="s">
        <v>18</v>
      </c>
      <c r="I109" s="8">
        <v>387736.02610000002</v>
      </c>
      <c r="J109" s="8">
        <v>309871.15832153399</v>
      </c>
      <c r="K109" s="8">
        <f>I109/1000000</f>
        <v>0.38773602610000002</v>
      </c>
      <c r="L109" s="8">
        <f>J109/1000000</f>
        <v>0.309871158321534</v>
      </c>
      <c r="M109" t="s">
        <v>19</v>
      </c>
    </row>
    <row r="110" spans="2:13" x14ac:dyDescent="0.25">
      <c r="B110" t="s">
        <v>13</v>
      </c>
      <c r="C110" t="s">
        <v>46</v>
      </c>
      <c r="D110" t="s">
        <v>52</v>
      </c>
      <c r="E110">
        <v>2030</v>
      </c>
      <c r="F110" t="s">
        <v>60</v>
      </c>
      <c r="G110" t="s">
        <v>17</v>
      </c>
      <c r="H110" t="s">
        <v>18</v>
      </c>
      <c r="I110" s="8">
        <v>288132.13669999997</v>
      </c>
      <c r="J110" s="8">
        <v>228174.087810734</v>
      </c>
      <c r="K110" s="8">
        <f>I110/1000000</f>
        <v>0.28813213669999999</v>
      </c>
      <c r="L110" s="8">
        <f>J110/1000000</f>
        <v>0.22817408781073401</v>
      </c>
      <c r="M110" t="s">
        <v>19</v>
      </c>
    </row>
    <row r="111" spans="2:13" x14ac:dyDescent="0.25">
      <c r="B111" t="s">
        <v>13</v>
      </c>
      <c r="C111" t="s">
        <v>46</v>
      </c>
      <c r="D111" t="s">
        <v>69</v>
      </c>
      <c r="E111">
        <v>2029</v>
      </c>
      <c r="F111" t="s">
        <v>60</v>
      </c>
      <c r="G111" t="s">
        <v>17</v>
      </c>
      <c r="H111" t="s">
        <v>18</v>
      </c>
      <c r="I111" s="8">
        <v>2659189.5795</v>
      </c>
      <c r="J111" s="8">
        <v>1164192.7355458401</v>
      </c>
      <c r="K111" s="8">
        <f>I111/1000000</f>
        <v>2.6591895795</v>
      </c>
      <c r="L111" s="8">
        <f>J111/1000000</f>
        <v>1.1641927355458401</v>
      </c>
      <c r="M111" t="s">
        <v>19</v>
      </c>
    </row>
    <row r="112" spans="2:13" x14ac:dyDescent="0.25">
      <c r="B112" t="s">
        <v>13</v>
      </c>
      <c r="C112" t="s">
        <v>46</v>
      </c>
      <c r="D112" t="s">
        <v>69</v>
      </c>
      <c r="E112">
        <v>2030</v>
      </c>
      <c r="F112" t="s">
        <v>60</v>
      </c>
      <c r="G112" t="s">
        <v>17</v>
      </c>
      <c r="H112" t="s">
        <v>18</v>
      </c>
      <c r="I112" s="8">
        <v>2210837.31</v>
      </c>
      <c r="J112" s="8">
        <v>965640.66591387603</v>
      </c>
      <c r="K112" s="8">
        <f>I112/1000000</f>
        <v>2.2108373100000001</v>
      </c>
      <c r="L112" s="8">
        <f>J112/1000000</f>
        <v>0.96564066591387598</v>
      </c>
      <c r="M112" t="s">
        <v>19</v>
      </c>
    </row>
    <row r="113" spans="2:13" x14ac:dyDescent="0.25">
      <c r="B113" t="s">
        <v>13</v>
      </c>
      <c r="C113" t="s">
        <v>46</v>
      </c>
      <c r="D113" t="s">
        <v>74</v>
      </c>
      <c r="E113">
        <v>2026</v>
      </c>
      <c r="F113" t="s">
        <v>60</v>
      </c>
      <c r="G113" t="s">
        <v>17</v>
      </c>
      <c r="H113" t="s">
        <v>18</v>
      </c>
      <c r="I113" s="8">
        <v>506491.04930000001</v>
      </c>
      <c r="J113" s="8">
        <v>300000</v>
      </c>
      <c r="K113" s="8">
        <f>I113/1000000</f>
        <v>0.5064910493</v>
      </c>
      <c r="L113" s="8">
        <f>J113/1000000</f>
        <v>0.3</v>
      </c>
      <c r="M113" t="s">
        <v>19</v>
      </c>
    </row>
    <row r="114" spans="2:13" x14ac:dyDescent="0.25">
      <c r="B114" t="s">
        <v>13</v>
      </c>
      <c r="C114" t="s">
        <v>46</v>
      </c>
      <c r="D114" t="s">
        <v>74</v>
      </c>
      <c r="E114">
        <v>2027</v>
      </c>
      <c r="F114" t="s">
        <v>60</v>
      </c>
      <c r="G114" t="s">
        <v>17</v>
      </c>
      <c r="H114" t="s">
        <v>18</v>
      </c>
      <c r="I114" s="8">
        <v>519698.30959999998</v>
      </c>
      <c r="J114" s="8">
        <v>314154.30654281197</v>
      </c>
      <c r="K114" s="8">
        <f>I114/1000000</f>
        <v>0.51969830959999996</v>
      </c>
      <c r="L114" s="8">
        <f>J114/1000000</f>
        <v>0.31415430654281196</v>
      </c>
      <c r="M114" t="s">
        <v>19</v>
      </c>
    </row>
    <row r="115" spans="2:13" x14ac:dyDescent="0.25">
      <c r="B115" t="s">
        <v>13</v>
      </c>
      <c r="C115" t="s">
        <v>46</v>
      </c>
      <c r="D115" t="s">
        <v>74</v>
      </c>
      <c r="E115">
        <v>2028</v>
      </c>
      <c r="F115" t="s">
        <v>60</v>
      </c>
      <c r="G115" t="s">
        <v>17</v>
      </c>
      <c r="H115" t="s">
        <v>18</v>
      </c>
      <c r="I115" s="8">
        <v>455420.8382</v>
      </c>
      <c r="J115" s="8">
        <v>296997.48646874999</v>
      </c>
      <c r="K115" s="8">
        <f>I115/1000000</f>
        <v>0.45542083820000001</v>
      </c>
      <c r="L115" s="8">
        <f>J115/1000000</f>
        <v>0.29699748646875002</v>
      </c>
      <c r="M115" t="s">
        <v>19</v>
      </c>
    </row>
    <row r="116" spans="2:13" x14ac:dyDescent="0.25">
      <c r="B116" t="s">
        <v>13</v>
      </c>
      <c r="C116" t="s">
        <v>46</v>
      </c>
      <c r="D116" t="s">
        <v>74</v>
      </c>
      <c r="E116">
        <v>2029</v>
      </c>
      <c r="F116" t="s">
        <v>60</v>
      </c>
      <c r="G116" t="s">
        <v>17</v>
      </c>
      <c r="H116" t="s">
        <v>18</v>
      </c>
      <c r="I116" s="8">
        <v>419373.95159999997</v>
      </c>
      <c r="J116" s="8">
        <v>280586.26246875001</v>
      </c>
      <c r="K116" s="8">
        <f>I116/1000000</f>
        <v>0.41937395159999996</v>
      </c>
      <c r="L116" s="8">
        <f>J116/1000000</f>
        <v>0.28058626246875001</v>
      </c>
      <c r="M116" t="s">
        <v>19</v>
      </c>
    </row>
    <row r="117" spans="2:13" x14ac:dyDescent="0.25">
      <c r="B117" t="s">
        <v>13</v>
      </c>
      <c r="C117" t="s">
        <v>46</v>
      </c>
      <c r="D117" t="s">
        <v>74</v>
      </c>
      <c r="E117">
        <v>2030</v>
      </c>
      <c r="F117" t="s">
        <v>60</v>
      </c>
      <c r="G117" t="s">
        <v>17</v>
      </c>
      <c r="H117" t="s">
        <v>18</v>
      </c>
      <c r="I117" s="8">
        <v>385836.88</v>
      </c>
      <c r="J117" s="8">
        <v>259074.35034375</v>
      </c>
      <c r="K117" s="8">
        <f>I117/1000000</f>
        <v>0.38583687999999999</v>
      </c>
      <c r="L117" s="8">
        <f>J117/1000000</f>
        <v>0.25907435034374998</v>
      </c>
      <c r="M117" t="s">
        <v>19</v>
      </c>
    </row>
    <row r="118" spans="2:13" x14ac:dyDescent="0.25">
      <c r="B118" t="s">
        <v>13</v>
      </c>
      <c r="C118" t="s">
        <v>46</v>
      </c>
      <c r="D118" t="s">
        <v>73</v>
      </c>
      <c r="E118">
        <v>2026</v>
      </c>
      <c r="F118" t="s">
        <v>60</v>
      </c>
      <c r="G118" t="s">
        <v>17</v>
      </c>
      <c r="H118" t="s">
        <v>18</v>
      </c>
      <c r="I118" s="8">
        <v>899663.83519999997</v>
      </c>
      <c r="J118" s="8">
        <v>956100</v>
      </c>
      <c r="K118" s="8">
        <f>I118/1000000</f>
        <v>0.89966383519999993</v>
      </c>
      <c r="L118" s="8">
        <f>J118/1000000</f>
        <v>0.95609999999999995</v>
      </c>
      <c r="M118" t="s">
        <v>19</v>
      </c>
    </row>
    <row r="119" spans="2:13" x14ac:dyDescent="0.25">
      <c r="B119" t="s">
        <v>13</v>
      </c>
      <c r="C119" t="s">
        <v>46</v>
      </c>
      <c r="D119" t="s">
        <v>73</v>
      </c>
      <c r="E119">
        <v>2027</v>
      </c>
      <c r="F119" t="s">
        <v>60</v>
      </c>
      <c r="G119" t="s">
        <v>17</v>
      </c>
      <c r="H119" t="s">
        <v>18</v>
      </c>
      <c r="I119" s="8">
        <v>848197.52919999999</v>
      </c>
      <c r="J119" s="8">
        <v>904210.76157313201</v>
      </c>
      <c r="K119" s="8">
        <f>I119/1000000</f>
        <v>0.84819752920000002</v>
      </c>
      <c r="L119" s="8">
        <f>J119/1000000</f>
        <v>0.90421076157313196</v>
      </c>
      <c r="M119" t="s">
        <v>19</v>
      </c>
    </row>
    <row r="120" spans="2:13" x14ac:dyDescent="0.25">
      <c r="B120" t="s">
        <v>13</v>
      </c>
      <c r="C120" t="s">
        <v>46</v>
      </c>
      <c r="D120" t="s">
        <v>73</v>
      </c>
      <c r="E120">
        <v>2028</v>
      </c>
      <c r="F120" t="s">
        <v>60</v>
      </c>
      <c r="G120" t="s">
        <v>17</v>
      </c>
      <c r="H120" t="s">
        <v>18</v>
      </c>
      <c r="I120" s="8">
        <v>433340.33809999999</v>
      </c>
      <c r="J120" s="8">
        <v>431068.99502014398</v>
      </c>
      <c r="K120" s="8">
        <f>I120/1000000</f>
        <v>0.4333403381</v>
      </c>
      <c r="L120" s="8">
        <f>J120/1000000</f>
        <v>0.43106899502014395</v>
      </c>
      <c r="M120" t="s">
        <v>19</v>
      </c>
    </row>
    <row r="121" spans="2:13" x14ac:dyDescent="0.25">
      <c r="B121" t="s">
        <v>13</v>
      </c>
      <c r="C121" t="s">
        <v>46</v>
      </c>
      <c r="D121" t="s">
        <v>70</v>
      </c>
      <c r="E121">
        <v>2026</v>
      </c>
      <c r="F121" t="s">
        <v>60</v>
      </c>
      <c r="G121" t="s">
        <v>17</v>
      </c>
      <c r="H121" t="s">
        <v>18</v>
      </c>
      <c r="I121" s="8">
        <v>669303.45510000002</v>
      </c>
      <c r="J121" s="8">
        <v>387800</v>
      </c>
      <c r="K121" s="8">
        <f>I121/1000000</f>
        <v>0.6693034551</v>
      </c>
      <c r="L121" s="8">
        <f>J121/1000000</f>
        <v>0.38779999999999998</v>
      </c>
      <c r="M121" t="s">
        <v>19</v>
      </c>
    </row>
    <row r="122" spans="2:13" x14ac:dyDescent="0.25">
      <c r="B122" t="s">
        <v>13</v>
      </c>
      <c r="C122" t="s">
        <v>46</v>
      </c>
      <c r="D122" t="s">
        <v>70</v>
      </c>
      <c r="E122">
        <v>2027</v>
      </c>
      <c r="F122" t="s">
        <v>60</v>
      </c>
      <c r="G122" t="s">
        <v>17</v>
      </c>
      <c r="H122" t="s">
        <v>18</v>
      </c>
      <c r="I122" s="8">
        <v>550021.05680000002</v>
      </c>
      <c r="J122" s="8">
        <v>393728.45635052701</v>
      </c>
      <c r="K122" s="8">
        <f>I122/1000000</f>
        <v>0.55002105680000002</v>
      </c>
      <c r="L122" s="8">
        <f>J122/1000000</f>
        <v>0.393728456350527</v>
      </c>
      <c r="M122" t="s">
        <v>19</v>
      </c>
    </row>
    <row r="123" spans="2:13" x14ac:dyDescent="0.25">
      <c r="B123" t="s">
        <v>13</v>
      </c>
      <c r="C123" t="s">
        <v>46</v>
      </c>
      <c r="D123" t="s">
        <v>70</v>
      </c>
      <c r="E123">
        <v>2028</v>
      </c>
      <c r="F123" t="s">
        <v>60</v>
      </c>
      <c r="G123" t="s">
        <v>17</v>
      </c>
      <c r="H123" t="s">
        <v>18</v>
      </c>
      <c r="I123" s="8">
        <v>281122.14130000002</v>
      </c>
      <c r="J123" s="8">
        <v>198986.427471067</v>
      </c>
      <c r="K123" s="8">
        <f>I123/1000000</f>
        <v>0.28112214130000002</v>
      </c>
      <c r="L123" s="8">
        <f>J123/1000000</f>
        <v>0.19898642747106701</v>
      </c>
      <c r="M123" t="s">
        <v>19</v>
      </c>
    </row>
    <row r="124" spans="2:13" x14ac:dyDescent="0.25">
      <c r="B124" t="s">
        <v>13</v>
      </c>
      <c r="C124" t="s">
        <v>46</v>
      </c>
      <c r="D124" t="s">
        <v>38</v>
      </c>
      <c r="E124">
        <v>2029</v>
      </c>
      <c r="F124" t="s">
        <v>60</v>
      </c>
      <c r="G124" t="s">
        <v>17</v>
      </c>
      <c r="H124" t="s">
        <v>18</v>
      </c>
      <c r="I124" s="8">
        <v>308980.5539</v>
      </c>
      <c r="J124" s="8">
        <v>286132.207554558</v>
      </c>
      <c r="K124" s="8">
        <f>I124/1000000</f>
        <v>0.30898055390000001</v>
      </c>
      <c r="L124" s="8">
        <f>J124/1000000</f>
        <v>0.28613220755455798</v>
      </c>
      <c r="M124" t="s">
        <v>39</v>
      </c>
    </row>
    <row r="125" spans="2:13" x14ac:dyDescent="0.25">
      <c r="B125" t="s">
        <v>13</v>
      </c>
      <c r="C125" t="s">
        <v>46</v>
      </c>
      <c r="D125" t="s">
        <v>38</v>
      </c>
      <c r="E125">
        <v>2030</v>
      </c>
      <c r="F125" t="s">
        <v>60</v>
      </c>
      <c r="G125" t="s">
        <v>17</v>
      </c>
      <c r="H125" t="s">
        <v>18</v>
      </c>
      <c r="I125" s="8">
        <v>287755.93050000002</v>
      </c>
      <c r="J125" s="8">
        <v>266477.09243204002</v>
      </c>
      <c r="K125" s="8">
        <f>I125/1000000</f>
        <v>0.28775593050000003</v>
      </c>
      <c r="L125" s="8">
        <f>J125/1000000</f>
        <v>0.26647709243204004</v>
      </c>
      <c r="M125" t="s">
        <v>39</v>
      </c>
    </row>
    <row r="126" spans="2:13" x14ac:dyDescent="0.25">
      <c r="B126" t="s">
        <v>13</v>
      </c>
      <c r="C126" t="s">
        <v>46</v>
      </c>
      <c r="D126" t="s">
        <v>38</v>
      </c>
      <c r="E126">
        <v>2027</v>
      </c>
      <c r="F126" t="s">
        <v>60</v>
      </c>
      <c r="G126" t="s">
        <v>17</v>
      </c>
      <c r="H126" t="s">
        <v>18</v>
      </c>
      <c r="I126" s="8">
        <v>275237.72869999998</v>
      </c>
      <c r="J126" s="8">
        <v>314154.30654281197</v>
      </c>
      <c r="K126" s="8">
        <f>I126/1000000</f>
        <v>0.27523772869999996</v>
      </c>
      <c r="L126" s="8">
        <f>J126/1000000</f>
        <v>0.31415430654281196</v>
      </c>
      <c r="M126" t="s">
        <v>39</v>
      </c>
    </row>
    <row r="127" spans="2:13" x14ac:dyDescent="0.25">
      <c r="B127" t="s">
        <v>13</v>
      </c>
      <c r="C127" t="s">
        <v>46</v>
      </c>
      <c r="D127" t="s">
        <v>38</v>
      </c>
      <c r="E127">
        <v>2028</v>
      </c>
      <c r="F127" t="s">
        <v>60</v>
      </c>
      <c r="G127" t="s">
        <v>17</v>
      </c>
      <c r="H127" t="s">
        <v>18</v>
      </c>
      <c r="I127" s="8">
        <v>284900.95</v>
      </c>
      <c r="J127" s="8">
        <v>300258.44584027003</v>
      </c>
      <c r="K127" s="8">
        <f>I127/1000000</f>
        <v>0.28490094999999999</v>
      </c>
      <c r="L127" s="8">
        <f>J127/1000000</f>
        <v>0.30025844584027001</v>
      </c>
      <c r="M127" t="s">
        <v>39</v>
      </c>
    </row>
    <row r="128" spans="2:13" x14ac:dyDescent="0.25">
      <c r="B128" t="s">
        <v>13</v>
      </c>
      <c r="C128" t="s">
        <v>46</v>
      </c>
      <c r="D128" t="s">
        <v>38</v>
      </c>
      <c r="E128">
        <v>2026</v>
      </c>
      <c r="F128" t="s">
        <v>60</v>
      </c>
      <c r="G128" t="s">
        <v>17</v>
      </c>
      <c r="H128" t="s">
        <v>18</v>
      </c>
      <c r="I128" s="8">
        <v>204921.50719999999</v>
      </c>
      <c r="J128" s="8">
        <v>244500</v>
      </c>
      <c r="K128" s="8">
        <f>I128/1000000</f>
        <v>0.20492150719999999</v>
      </c>
      <c r="L128" s="8">
        <f>J128/1000000</f>
        <v>0.2445</v>
      </c>
      <c r="M128" t="s">
        <v>39</v>
      </c>
    </row>
    <row r="129" spans="2:13" x14ac:dyDescent="0.25">
      <c r="B129" t="s">
        <v>13</v>
      </c>
      <c r="C129" t="s">
        <v>46</v>
      </c>
      <c r="D129" t="s">
        <v>15</v>
      </c>
      <c r="E129">
        <v>2026</v>
      </c>
      <c r="F129" t="s">
        <v>60</v>
      </c>
      <c r="G129" t="s">
        <v>17</v>
      </c>
      <c r="H129" t="s">
        <v>18</v>
      </c>
      <c r="I129" s="8">
        <v>664639.23259999999</v>
      </c>
      <c r="J129" s="8">
        <v>125400</v>
      </c>
      <c r="K129" s="8">
        <f>I129/1000000</f>
        <v>0.66463923260000002</v>
      </c>
      <c r="L129" s="8">
        <f>J129/1000000</f>
        <v>0.12540000000000001</v>
      </c>
      <c r="M129" t="s">
        <v>19</v>
      </c>
    </row>
    <row r="130" spans="2:13" x14ac:dyDescent="0.25">
      <c r="B130" t="s">
        <v>13</v>
      </c>
      <c r="C130" t="s">
        <v>46</v>
      </c>
      <c r="D130" t="s">
        <v>15</v>
      </c>
      <c r="E130">
        <v>2027</v>
      </c>
      <c r="F130" t="s">
        <v>60</v>
      </c>
      <c r="G130" t="s">
        <v>17</v>
      </c>
      <c r="H130" t="s">
        <v>18</v>
      </c>
      <c r="I130" s="8">
        <v>376121.94300000003</v>
      </c>
      <c r="J130" s="8">
        <v>70964.365609353597</v>
      </c>
      <c r="K130" s="8">
        <f>I130/1000000</f>
        <v>0.37612194300000001</v>
      </c>
      <c r="L130" s="8">
        <f>J130/1000000</f>
        <v>7.0964365609353597E-2</v>
      </c>
      <c r="M130" t="s">
        <v>19</v>
      </c>
    </row>
    <row r="131" spans="2:13" x14ac:dyDescent="0.25">
      <c r="B131" t="s">
        <v>13</v>
      </c>
      <c r="C131" t="s">
        <v>46</v>
      </c>
      <c r="D131" t="s">
        <v>15</v>
      </c>
      <c r="E131">
        <v>2029</v>
      </c>
      <c r="F131" t="s">
        <v>60</v>
      </c>
      <c r="G131" t="s">
        <v>17</v>
      </c>
      <c r="H131" t="s">
        <v>18</v>
      </c>
      <c r="I131" s="8">
        <v>189434.6201</v>
      </c>
      <c r="J131" s="8">
        <v>63095.225642872698</v>
      </c>
      <c r="K131" s="8">
        <f>I131/1000000</f>
        <v>0.18943462010000001</v>
      </c>
      <c r="L131" s="8">
        <f>J131/1000000</f>
        <v>6.3095225642872704E-2</v>
      </c>
      <c r="M131" t="s">
        <v>19</v>
      </c>
    </row>
    <row r="132" spans="2:13" x14ac:dyDescent="0.25">
      <c r="B132" t="s">
        <v>13</v>
      </c>
      <c r="C132" t="s">
        <v>46</v>
      </c>
      <c r="D132" t="s">
        <v>15</v>
      </c>
      <c r="E132">
        <v>2030</v>
      </c>
      <c r="F132" t="s">
        <v>60</v>
      </c>
      <c r="G132" t="s">
        <v>17</v>
      </c>
      <c r="H132" t="s">
        <v>18</v>
      </c>
      <c r="I132" s="8">
        <v>175330.3376</v>
      </c>
      <c r="J132" s="8">
        <v>58397.494624319799</v>
      </c>
      <c r="K132" s="8">
        <f>I132/1000000</f>
        <v>0.1753303376</v>
      </c>
      <c r="L132" s="8">
        <f>J132/1000000</f>
        <v>5.8397494624319798E-2</v>
      </c>
      <c r="M132" t="s">
        <v>19</v>
      </c>
    </row>
    <row r="133" spans="2:13" x14ac:dyDescent="0.25">
      <c r="B133" t="s">
        <v>13</v>
      </c>
      <c r="C133" t="s">
        <v>46</v>
      </c>
      <c r="D133" t="s">
        <v>100</v>
      </c>
      <c r="E133">
        <v>2026</v>
      </c>
      <c r="F133" t="s">
        <v>60</v>
      </c>
      <c r="G133" t="s">
        <v>17</v>
      </c>
      <c r="H133" t="s">
        <v>18</v>
      </c>
      <c r="I133" s="8">
        <v>974667.375</v>
      </c>
      <c r="J133" s="8">
        <v>932250</v>
      </c>
      <c r="K133" s="8">
        <f>I133/1000000</f>
        <v>0.974667375</v>
      </c>
      <c r="L133" s="8">
        <f>J133/1000000</f>
        <v>0.93225000000000002</v>
      </c>
      <c r="M133" t="s">
        <v>19</v>
      </c>
    </row>
    <row r="134" spans="2:13" x14ac:dyDescent="0.25">
      <c r="B134" t="s">
        <v>13</v>
      </c>
      <c r="C134" t="s">
        <v>46</v>
      </c>
      <c r="D134" t="s">
        <v>100</v>
      </c>
      <c r="E134">
        <v>2027</v>
      </c>
      <c r="F134" t="s">
        <v>60</v>
      </c>
      <c r="G134" t="s">
        <v>17</v>
      </c>
      <c r="H134" t="s">
        <v>18</v>
      </c>
      <c r="I134" s="8">
        <v>945352.35120000003</v>
      </c>
      <c r="J134" s="8">
        <v>904210.76157313201</v>
      </c>
      <c r="K134" s="8">
        <f>I134/1000000</f>
        <v>0.94535235120000005</v>
      </c>
      <c r="L134" s="8">
        <f>J134/1000000</f>
        <v>0.90421076157313196</v>
      </c>
      <c r="M134" t="s">
        <v>19</v>
      </c>
    </row>
    <row r="135" spans="2:13" x14ac:dyDescent="0.25">
      <c r="B135" t="s">
        <v>13</v>
      </c>
      <c r="C135" t="s">
        <v>46</v>
      </c>
      <c r="D135" t="s">
        <v>100</v>
      </c>
      <c r="E135">
        <v>2028</v>
      </c>
      <c r="F135" t="s">
        <v>60</v>
      </c>
      <c r="G135" t="s">
        <v>17</v>
      </c>
      <c r="H135" t="s">
        <v>18</v>
      </c>
      <c r="I135" s="8">
        <v>895686.31539999996</v>
      </c>
      <c r="J135" s="8">
        <v>865397.40619958495</v>
      </c>
      <c r="K135" s="8">
        <f>I135/1000000</f>
        <v>0.89568631539999999</v>
      </c>
      <c r="L135" s="8">
        <f>J135/1000000</f>
        <v>0.86539740619958494</v>
      </c>
      <c r="M135" t="s">
        <v>19</v>
      </c>
    </row>
    <row r="136" spans="2:13" x14ac:dyDescent="0.25">
      <c r="B136" t="s">
        <v>13</v>
      </c>
      <c r="C136" t="s">
        <v>46</v>
      </c>
      <c r="D136" t="s">
        <v>100</v>
      </c>
      <c r="E136">
        <v>2029</v>
      </c>
      <c r="F136" t="s">
        <v>60</v>
      </c>
      <c r="G136" t="s">
        <v>17</v>
      </c>
      <c r="H136" t="s">
        <v>18</v>
      </c>
      <c r="I136" s="8">
        <v>852774.59829999995</v>
      </c>
      <c r="J136" s="8">
        <v>823936.80999874498</v>
      </c>
      <c r="K136" s="8">
        <f>I136/1000000</f>
        <v>0.85277459829999991</v>
      </c>
      <c r="L136" s="8">
        <f>J136/1000000</f>
        <v>0.82393680999874497</v>
      </c>
      <c r="M136" t="s">
        <v>19</v>
      </c>
    </row>
    <row r="137" spans="2:13" x14ac:dyDescent="0.25">
      <c r="B137" t="s">
        <v>13</v>
      </c>
      <c r="C137" t="s">
        <v>46</v>
      </c>
      <c r="D137" t="s">
        <v>100</v>
      </c>
      <c r="E137">
        <v>2030</v>
      </c>
      <c r="F137" t="s">
        <v>60</v>
      </c>
      <c r="G137" t="s">
        <v>17</v>
      </c>
      <c r="H137" t="s">
        <v>18</v>
      </c>
      <c r="I137" s="8">
        <v>793486.47250000003</v>
      </c>
      <c r="J137" s="8">
        <v>766653.59658166103</v>
      </c>
      <c r="K137" s="8">
        <f>I137/1000000</f>
        <v>0.79348647250000004</v>
      </c>
      <c r="L137" s="8">
        <f>J137/1000000</f>
        <v>0.76665359658166099</v>
      </c>
      <c r="M137" t="s">
        <v>19</v>
      </c>
    </row>
    <row r="138" spans="2:13" x14ac:dyDescent="0.25">
      <c r="B138" t="s">
        <v>13</v>
      </c>
      <c r="C138" t="s">
        <v>46</v>
      </c>
      <c r="D138" t="s">
        <v>72</v>
      </c>
      <c r="E138">
        <v>2026</v>
      </c>
      <c r="F138" t="s">
        <v>60</v>
      </c>
      <c r="G138" t="s">
        <v>17</v>
      </c>
      <c r="H138" t="s">
        <v>18</v>
      </c>
      <c r="I138" s="8">
        <v>2658017.4756999998</v>
      </c>
      <c r="J138" s="8">
        <v>932200</v>
      </c>
      <c r="K138" s="8">
        <f>I138/1000000</f>
        <v>2.6580174756999999</v>
      </c>
      <c r="L138" s="8">
        <f>J138/1000000</f>
        <v>0.93220000000000003</v>
      </c>
      <c r="M138" t="s">
        <v>19</v>
      </c>
    </row>
    <row r="139" spans="2:13" x14ac:dyDescent="0.25">
      <c r="B139" t="s">
        <v>13</v>
      </c>
      <c r="C139" t="s">
        <v>46</v>
      </c>
      <c r="D139" t="s">
        <v>72</v>
      </c>
      <c r="E139">
        <v>2029</v>
      </c>
      <c r="F139" t="s">
        <v>60</v>
      </c>
      <c r="G139" t="s">
        <v>17</v>
      </c>
      <c r="H139" t="s">
        <v>18</v>
      </c>
      <c r="I139" s="8">
        <v>1720475.3071999999</v>
      </c>
      <c r="J139" s="8">
        <v>823936.80999874498</v>
      </c>
      <c r="K139" s="8">
        <f>I139/1000000</f>
        <v>1.7204753071999999</v>
      </c>
      <c r="L139" s="8">
        <f>J139/1000000</f>
        <v>0.82393680999874497</v>
      </c>
      <c r="M139" t="s">
        <v>19</v>
      </c>
    </row>
    <row r="140" spans="2:13" x14ac:dyDescent="0.25">
      <c r="B140" t="s">
        <v>13</v>
      </c>
      <c r="C140" t="s">
        <v>46</v>
      </c>
      <c r="D140" t="s">
        <v>72</v>
      </c>
      <c r="E140">
        <v>2030</v>
      </c>
      <c r="F140" t="s">
        <v>60</v>
      </c>
      <c r="G140" t="s">
        <v>17</v>
      </c>
      <c r="H140" t="s">
        <v>18</v>
      </c>
      <c r="I140" s="8">
        <v>1600861.3356000001</v>
      </c>
      <c r="J140" s="8">
        <v>766653.59658166103</v>
      </c>
      <c r="K140" s="8">
        <f>I140/1000000</f>
        <v>1.6008613356000001</v>
      </c>
      <c r="L140" s="8">
        <f>J140/1000000</f>
        <v>0.76665359658166099</v>
      </c>
      <c r="M140" t="s">
        <v>19</v>
      </c>
    </row>
    <row r="141" spans="2:13" x14ac:dyDescent="0.25">
      <c r="B141" t="s">
        <v>13</v>
      </c>
      <c r="C141" t="s">
        <v>46</v>
      </c>
      <c r="D141" t="s">
        <v>72</v>
      </c>
      <c r="E141">
        <v>2027</v>
      </c>
      <c r="F141" t="s">
        <v>60</v>
      </c>
      <c r="G141" t="s">
        <v>17</v>
      </c>
      <c r="H141" t="s">
        <v>18</v>
      </c>
      <c r="I141" s="8">
        <v>2216526.4284999999</v>
      </c>
      <c r="J141" s="8">
        <v>904210.76157313201</v>
      </c>
      <c r="K141" s="8">
        <f>I141/1000000</f>
        <v>2.2165264284999999</v>
      </c>
      <c r="L141" s="8">
        <f>J141/1000000</f>
        <v>0.90421076157313196</v>
      </c>
      <c r="M141" t="s">
        <v>19</v>
      </c>
    </row>
    <row r="142" spans="2:13" x14ac:dyDescent="0.25">
      <c r="B142" t="s">
        <v>13</v>
      </c>
      <c r="C142" t="s">
        <v>46</v>
      </c>
      <c r="D142" t="s">
        <v>72</v>
      </c>
      <c r="E142">
        <v>2028</v>
      </c>
      <c r="F142" t="s">
        <v>60</v>
      </c>
      <c r="G142" t="s">
        <v>17</v>
      </c>
      <c r="H142" t="s">
        <v>18</v>
      </c>
      <c r="I142" s="8">
        <v>2109938.9172</v>
      </c>
      <c r="J142" s="8">
        <v>865397.40619958495</v>
      </c>
      <c r="K142" s="8">
        <f>I142/1000000</f>
        <v>2.1099389172</v>
      </c>
      <c r="L142" s="8">
        <f>J142/1000000</f>
        <v>0.86539740619958494</v>
      </c>
      <c r="M142" t="s">
        <v>19</v>
      </c>
    </row>
    <row r="143" spans="2:13" x14ac:dyDescent="0.25">
      <c r="B143" t="s">
        <v>13</v>
      </c>
      <c r="C143" t="s">
        <v>46</v>
      </c>
      <c r="D143" t="s">
        <v>76</v>
      </c>
      <c r="E143">
        <v>2028</v>
      </c>
      <c r="F143" t="s">
        <v>60</v>
      </c>
      <c r="G143" t="s">
        <v>17</v>
      </c>
      <c r="H143" t="s">
        <v>18</v>
      </c>
      <c r="I143" s="8">
        <v>2850616.1002000002</v>
      </c>
      <c r="J143" s="8">
        <v>887853.42408327095</v>
      </c>
      <c r="K143" s="8">
        <f>I143/1000000</f>
        <v>2.8506161002000003</v>
      </c>
      <c r="L143" s="8">
        <f>J143/1000000</f>
        <v>0.88785342408327095</v>
      </c>
      <c r="M143" t="s">
        <v>39</v>
      </c>
    </row>
    <row r="144" spans="2:13" x14ac:dyDescent="0.25">
      <c r="B144" t="s">
        <v>13</v>
      </c>
      <c r="C144" t="s">
        <v>46</v>
      </c>
      <c r="D144" t="s">
        <v>76</v>
      </c>
      <c r="E144">
        <v>2029</v>
      </c>
      <c r="F144" t="s">
        <v>60</v>
      </c>
      <c r="G144" t="s">
        <v>17</v>
      </c>
      <c r="H144" t="s">
        <v>18</v>
      </c>
      <c r="I144" s="8">
        <v>2534382.2817000002</v>
      </c>
      <c r="J144" s="8">
        <v>789359.17981502996</v>
      </c>
      <c r="K144" s="8">
        <f>I144/1000000</f>
        <v>2.5343822817000001</v>
      </c>
      <c r="L144" s="8">
        <f>J144/1000000</f>
        <v>0.78935917981503001</v>
      </c>
      <c r="M144" t="s">
        <v>39</v>
      </c>
    </row>
    <row r="145" spans="2:13" x14ac:dyDescent="0.25">
      <c r="B145" t="s">
        <v>13</v>
      </c>
      <c r="C145" t="s">
        <v>46</v>
      </c>
      <c r="D145" t="s">
        <v>76</v>
      </c>
      <c r="E145">
        <v>2030</v>
      </c>
      <c r="F145" t="s">
        <v>60</v>
      </c>
      <c r="G145" t="s">
        <v>17</v>
      </c>
      <c r="H145" t="s">
        <v>18</v>
      </c>
      <c r="I145" s="8">
        <v>2386669.0915000001</v>
      </c>
      <c r="J145" s="8">
        <v>743352.40194980998</v>
      </c>
      <c r="K145" s="8">
        <f>I145/1000000</f>
        <v>2.3866690915</v>
      </c>
      <c r="L145" s="8">
        <f>J145/1000000</f>
        <v>0.74335240194981</v>
      </c>
      <c r="M145" t="s">
        <v>39</v>
      </c>
    </row>
    <row r="146" spans="2:13" x14ac:dyDescent="0.25">
      <c r="B146" t="s">
        <v>13</v>
      </c>
      <c r="C146" t="s">
        <v>46</v>
      </c>
      <c r="D146" t="s">
        <v>103</v>
      </c>
      <c r="E146">
        <v>2030</v>
      </c>
      <c r="F146" t="s">
        <v>60</v>
      </c>
      <c r="G146" t="s">
        <v>17</v>
      </c>
      <c r="H146" t="s">
        <v>18</v>
      </c>
      <c r="I146" s="8">
        <v>103043.55130000001</v>
      </c>
      <c r="J146" s="8">
        <v>10029.7538453666</v>
      </c>
      <c r="K146" s="8">
        <f>I146/1000000</f>
        <v>0.10304355130000001</v>
      </c>
      <c r="L146" s="8">
        <f>J146/1000000</f>
        <v>1.00297538453666E-2</v>
      </c>
      <c r="M146" t="s">
        <v>39</v>
      </c>
    </row>
    <row r="147" spans="2:13" x14ac:dyDescent="0.25">
      <c r="B147" t="s">
        <v>13</v>
      </c>
      <c r="C147" t="s">
        <v>46</v>
      </c>
      <c r="D147" t="s">
        <v>69</v>
      </c>
      <c r="E147">
        <v>2028</v>
      </c>
      <c r="F147" t="s">
        <v>60</v>
      </c>
      <c r="G147" t="s">
        <v>17</v>
      </c>
      <c r="H147" t="s">
        <v>18</v>
      </c>
      <c r="I147" s="8">
        <v>1313269.0947</v>
      </c>
      <c r="J147" s="8">
        <v>501400.52389692003</v>
      </c>
      <c r="K147" s="8">
        <f>I147/1000000</f>
        <v>1.3132690947000001</v>
      </c>
      <c r="L147" s="8">
        <f>J147/1000000</f>
        <v>0.50140052389692003</v>
      </c>
      <c r="M147" t="s">
        <v>19</v>
      </c>
    </row>
    <row r="148" spans="2:13" x14ac:dyDescent="0.25">
      <c r="B148" t="s">
        <v>13</v>
      </c>
      <c r="C148" t="s">
        <v>46</v>
      </c>
      <c r="D148" t="s">
        <v>52</v>
      </c>
      <c r="E148">
        <v>2027</v>
      </c>
      <c r="F148" t="s">
        <v>60</v>
      </c>
      <c r="G148" t="s">
        <v>17</v>
      </c>
      <c r="H148" t="s">
        <v>18</v>
      </c>
      <c r="I148" s="8">
        <v>530739.71189999999</v>
      </c>
      <c r="J148" s="8">
        <v>431058.83523547498</v>
      </c>
      <c r="K148" s="8">
        <f>I148/1000000</f>
        <v>0.53073971190000002</v>
      </c>
      <c r="L148" s="8">
        <f>J148/1000000</f>
        <v>0.431058835235475</v>
      </c>
      <c r="M148" t="s">
        <v>19</v>
      </c>
    </row>
    <row r="149" spans="2:13" x14ac:dyDescent="0.25">
      <c r="B149" t="s">
        <v>13</v>
      </c>
      <c r="C149" t="s">
        <v>46</v>
      </c>
      <c r="D149" t="s">
        <v>15</v>
      </c>
      <c r="E149">
        <v>2028</v>
      </c>
      <c r="F149" t="s">
        <v>60</v>
      </c>
      <c r="G149" t="s">
        <v>17</v>
      </c>
      <c r="H149" t="s">
        <v>18</v>
      </c>
      <c r="I149" s="8">
        <v>201993.64</v>
      </c>
      <c r="J149" s="8">
        <v>67278.274092308202</v>
      </c>
      <c r="K149" s="8">
        <f>I149/1000000</f>
        <v>0.20199364</v>
      </c>
      <c r="L149" s="8">
        <f>J149/1000000</f>
        <v>6.7278274092308202E-2</v>
      </c>
      <c r="M149" t="s">
        <v>19</v>
      </c>
    </row>
    <row r="150" spans="2:13" x14ac:dyDescent="0.25">
      <c r="B150" t="s">
        <v>13</v>
      </c>
      <c r="C150" t="s">
        <v>46</v>
      </c>
      <c r="D150" t="s">
        <v>76</v>
      </c>
      <c r="E150">
        <v>2027</v>
      </c>
      <c r="F150" t="s">
        <v>60</v>
      </c>
      <c r="G150" t="s">
        <v>17</v>
      </c>
      <c r="H150" t="s">
        <v>18</v>
      </c>
      <c r="I150" s="8">
        <v>1776816.1247</v>
      </c>
      <c r="J150" s="8">
        <v>545433.77693735599</v>
      </c>
      <c r="K150" s="8">
        <f>I150/1000000</f>
        <v>1.7768161247000001</v>
      </c>
      <c r="L150" s="8">
        <f>J150/1000000</f>
        <v>0.54543377693735595</v>
      </c>
      <c r="M150" t="s">
        <v>39</v>
      </c>
    </row>
    <row r="151" spans="2:13" x14ac:dyDescent="0.25">
      <c r="B151" t="s">
        <v>13</v>
      </c>
      <c r="C151" t="s">
        <v>46</v>
      </c>
      <c r="D151" t="s">
        <v>103</v>
      </c>
      <c r="E151">
        <v>2029</v>
      </c>
      <c r="F151" t="s">
        <v>60</v>
      </c>
      <c r="G151" t="s">
        <v>17</v>
      </c>
      <c r="H151" t="s">
        <v>18</v>
      </c>
      <c r="I151" s="8">
        <v>96375.9139</v>
      </c>
      <c r="J151" s="8">
        <v>9392.1490773816004</v>
      </c>
      <c r="K151" s="8">
        <f>I151/1000000</f>
        <v>9.6375913899999999E-2</v>
      </c>
      <c r="L151" s="8">
        <f>J151/1000000</f>
        <v>9.3921490773816001E-3</v>
      </c>
      <c r="M151" t="s">
        <v>39</v>
      </c>
    </row>
    <row r="152" spans="2:13" x14ac:dyDescent="0.25">
      <c r="B152" t="s">
        <v>13</v>
      </c>
      <c r="C152" t="s">
        <v>14</v>
      </c>
      <c r="D152" t="s">
        <v>52</v>
      </c>
      <c r="E152">
        <v>2027</v>
      </c>
      <c r="F152" t="s">
        <v>60</v>
      </c>
      <c r="G152" t="s">
        <v>17</v>
      </c>
      <c r="H152" t="s">
        <v>18</v>
      </c>
      <c r="I152" s="8">
        <v>3450183.0813000002</v>
      </c>
      <c r="J152" s="8">
        <v>3260780.41883589</v>
      </c>
      <c r="K152" s="8">
        <f>I152/1000000</f>
        <v>3.4501830813000001</v>
      </c>
      <c r="L152" s="8">
        <f>J152/1000000</f>
        <v>3.26078041883589</v>
      </c>
      <c r="M152" t="s">
        <v>19</v>
      </c>
    </row>
    <row r="153" spans="2:13" x14ac:dyDescent="0.25">
      <c r="B153" t="s">
        <v>13</v>
      </c>
      <c r="C153" t="s">
        <v>14</v>
      </c>
      <c r="D153" t="s">
        <v>52</v>
      </c>
      <c r="E153">
        <v>2029</v>
      </c>
      <c r="F153" t="s">
        <v>60</v>
      </c>
      <c r="G153" t="s">
        <v>17</v>
      </c>
      <c r="H153" t="s">
        <v>18</v>
      </c>
      <c r="I153" s="8">
        <v>2018555.6784000001</v>
      </c>
      <c r="J153" s="8">
        <v>1750694.52009375</v>
      </c>
      <c r="K153" s="8">
        <f>I153/1000000</f>
        <v>2.0185556784000003</v>
      </c>
      <c r="L153" s="8">
        <f>J153/1000000</f>
        <v>1.75069452009375</v>
      </c>
      <c r="M153" t="s">
        <v>19</v>
      </c>
    </row>
    <row r="154" spans="2:13" x14ac:dyDescent="0.25">
      <c r="B154" t="s">
        <v>13</v>
      </c>
      <c r="C154" t="s">
        <v>46</v>
      </c>
      <c r="D154" t="s">
        <v>76</v>
      </c>
      <c r="E154">
        <v>2026</v>
      </c>
      <c r="F154" t="s">
        <v>60</v>
      </c>
      <c r="G154" t="s">
        <v>17</v>
      </c>
      <c r="H154" t="s">
        <v>18</v>
      </c>
      <c r="I154" s="8">
        <v>2196130.9641999998</v>
      </c>
      <c r="J154" s="8">
        <v>519600</v>
      </c>
      <c r="K154" s="8">
        <f>I154/1000000</f>
        <v>2.1961309642</v>
      </c>
      <c r="L154" s="8">
        <f>J154/1000000</f>
        <v>0.51959999999999995</v>
      </c>
      <c r="M154" t="s">
        <v>39</v>
      </c>
    </row>
    <row r="155" spans="2:13" x14ac:dyDescent="0.25">
      <c r="B155" t="s">
        <v>13</v>
      </c>
      <c r="C155" t="s">
        <v>46</v>
      </c>
      <c r="D155" t="s">
        <v>70</v>
      </c>
      <c r="E155">
        <v>2026</v>
      </c>
      <c r="F155" t="s">
        <v>94</v>
      </c>
      <c r="G155" t="s">
        <v>17</v>
      </c>
      <c r="H155" t="s">
        <v>18</v>
      </c>
      <c r="I155" s="8">
        <v>74551.261599999998</v>
      </c>
      <c r="J155" s="8">
        <v>23760</v>
      </c>
      <c r="K155" s="8">
        <f>I155/1000000</f>
        <v>7.4551261600000002E-2</v>
      </c>
      <c r="L155" s="8">
        <f>J155/1000000</f>
        <v>2.376E-2</v>
      </c>
      <c r="M155" t="s">
        <v>19</v>
      </c>
    </row>
    <row r="156" spans="2:13" x14ac:dyDescent="0.25">
      <c r="B156" t="s">
        <v>13</v>
      </c>
      <c r="C156" t="s">
        <v>46</v>
      </c>
      <c r="D156" t="s">
        <v>70</v>
      </c>
      <c r="E156">
        <v>2027</v>
      </c>
      <c r="F156" t="s">
        <v>94</v>
      </c>
      <c r="G156" t="s">
        <v>17</v>
      </c>
      <c r="H156" t="s">
        <v>18</v>
      </c>
      <c r="I156" s="8">
        <v>26813.827600000001</v>
      </c>
      <c r="J156" s="8">
        <v>9830.2710999999999</v>
      </c>
      <c r="K156" s="8">
        <f>I156/1000000</f>
        <v>2.6813827599999999E-2</v>
      </c>
      <c r="L156" s="8">
        <f>J156/1000000</f>
        <v>9.8302710999999994E-3</v>
      </c>
      <c r="M156" t="s">
        <v>19</v>
      </c>
    </row>
    <row r="157" spans="2:13" x14ac:dyDescent="0.25">
      <c r="B157" t="s">
        <v>13</v>
      </c>
      <c r="C157" t="s">
        <v>46</v>
      </c>
      <c r="D157" t="s">
        <v>70</v>
      </c>
      <c r="E157">
        <v>2026</v>
      </c>
      <c r="F157" t="s">
        <v>97</v>
      </c>
      <c r="G157" t="s">
        <v>17</v>
      </c>
      <c r="H157" t="s">
        <v>18</v>
      </c>
      <c r="I157" s="8">
        <v>756288.74170000001</v>
      </c>
      <c r="J157" s="8">
        <v>438200</v>
      </c>
      <c r="K157" s="8">
        <f>I157/1000000</f>
        <v>0.75628874170000004</v>
      </c>
      <c r="L157" s="8">
        <f>J157/1000000</f>
        <v>0.43819999999999998</v>
      </c>
      <c r="M157" t="s">
        <v>19</v>
      </c>
    </row>
    <row r="158" spans="2:13" x14ac:dyDescent="0.25">
      <c r="B158" t="s">
        <v>13</v>
      </c>
      <c r="C158" t="s">
        <v>46</v>
      </c>
      <c r="D158" t="s">
        <v>70</v>
      </c>
      <c r="E158">
        <v>2027</v>
      </c>
      <c r="F158" t="s">
        <v>97</v>
      </c>
      <c r="G158" t="s">
        <v>17</v>
      </c>
      <c r="H158" t="s">
        <v>18</v>
      </c>
      <c r="I158" s="8">
        <v>322876.50929999998</v>
      </c>
      <c r="J158" s="8">
        <v>231128.73233999999</v>
      </c>
      <c r="K158" s="8">
        <f>I158/1000000</f>
        <v>0.3228765093</v>
      </c>
      <c r="L158" s="8">
        <f>J158/1000000</f>
        <v>0.23112873233999998</v>
      </c>
      <c r="M158" t="s">
        <v>19</v>
      </c>
    </row>
    <row r="159" spans="2:13" x14ac:dyDescent="0.25">
      <c r="B159" t="s">
        <v>13</v>
      </c>
      <c r="C159" t="s">
        <v>46</v>
      </c>
      <c r="D159" t="s">
        <v>69</v>
      </c>
      <c r="E159">
        <v>2029</v>
      </c>
      <c r="F159" t="s">
        <v>83</v>
      </c>
      <c r="G159" t="s">
        <v>17</v>
      </c>
      <c r="H159" t="s">
        <v>18</v>
      </c>
      <c r="I159" s="8">
        <v>6087851.3498999998</v>
      </c>
      <c r="J159" s="8">
        <v>2659718.2519769301</v>
      </c>
      <c r="K159" s="8">
        <f>I159/1000000</f>
        <v>6.0878513499000002</v>
      </c>
      <c r="L159" s="8">
        <f>J159/1000000</f>
        <v>2.6597182519769302</v>
      </c>
      <c r="M159" t="s">
        <v>19</v>
      </c>
    </row>
    <row r="160" spans="2:13" x14ac:dyDescent="0.25">
      <c r="B160" t="s">
        <v>13</v>
      </c>
      <c r="C160" t="s">
        <v>46</v>
      </c>
      <c r="D160" t="s">
        <v>69</v>
      </c>
      <c r="E160">
        <v>2030</v>
      </c>
      <c r="F160" t="s">
        <v>83</v>
      </c>
      <c r="G160" t="s">
        <v>17</v>
      </c>
      <c r="H160" t="s">
        <v>18</v>
      </c>
      <c r="I160" s="8">
        <v>6250873.7259</v>
      </c>
      <c r="J160" s="8">
        <v>2730231.5914290901</v>
      </c>
      <c r="K160" s="8">
        <f>I160/1000000</f>
        <v>6.2508737259</v>
      </c>
      <c r="L160" s="8">
        <f>J160/1000000</f>
        <v>2.73023159142909</v>
      </c>
      <c r="M160" t="s">
        <v>19</v>
      </c>
    </row>
    <row r="161" spans="2:13" x14ac:dyDescent="0.25">
      <c r="B161" t="s">
        <v>13</v>
      </c>
      <c r="C161" t="s">
        <v>46</v>
      </c>
      <c r="D161" t="s">
        <v>73</v>
      </c>
      <c r="E161">
        <v>2026</v>
      </c>
      <c r="F161" t="s">
        <v>83</v>
      </c>
      <c r="G161" t="s">
        <v>17</v>
      </c>
      <c r="H161" t="s">
        <v>18</v>
      </c>
      <c r="I161" s="8">
        <v>2082885.5168999999</v>
      </c>
      <c r="J161" s="8">
        <v>2180700</v>
      </c>
      <c r="K161" s="8">
        <f>I161/1000000</f>
        <v>2.0828855168999998</v>
      </c>
      <c r="L161" s="8">
        <f>J161/1000000</f>
        <v>2.1806999999999999</v>
      </c>
      <c r="M161" t="s">
        <v>19</v>
      </c>
    </row>
    <row r="162" spans="2:13" x14ac:dyDescent="0.25">
      <c r="B162" t="s">
        <v>13</v>
      </c>
      <c r="C162" t="s">
        <v>46</v>
      </c>
      <c r="D162" t="s">
        <v>73</v>
      </c>
      <c r="E162">
        <v>2027</v>
      </c>
      <c r="F162" t="s">
        <v>83</v>
      </c>
      <c r="G162" t="s">
        <v>17</v>
      </c>
      <c r="H162" t="s">
        <v>18</v>
      </c>
      <c r="I162" s="8">
        <v>2094026.3162</v>
      </c>
      <c r="J162" s="8">
        <v>2198800.0735329599</v>
      </c>
      <c r="K162" s="8">
        <f>I162/1000000</f>
        <v>2.0940263161999999</v>
      </c>
      <c r="L162" s="8">
        <f>J162/1000000</f>
        <v>2.19880007353296</v>
      </c>
      <c r="M162" t="s">
        <v>19</v>
      </c>
    </row>
    <row r="163" spans="2:13" x14ac:dyDescent="0.25">
      <c r="B163" t="s">
        <v>13</v>
      </c>
      <c r="C163" t="s">
        <v>46</v>
      </c>
      <c r="D163" t="s">
        <v>70</v>
      </c>
      <c r="E163">
        <v>2026</v>
      </c>
      <c r="F163" t="s">
        <v>83</v>
      </c>
      <c r="G163" t="s">
        <v>17</v>
      </c>
      <c r="H163" t="s">
        <v>18</v>
      </c>
      <c r="I163" s="8">
        <v>3119389.0271000001</v>
      </c>
      <c r="J163" s="8">
        <v>1807400</v>
      </c>
      <c r="K163" s="8">
        <f>I163/1000000</f>
        <v>3.1193890271</v>
      </c>
      <c r="L163" s="8">
        <f>J163/1000000</f>
        <v>1.8073999999999999</v>
      </c>
      <c r="M163" t="s">
        <v>19</v>
      </c>
    </row>
    <row r="164" spans="2:13" x14ac:dyDescent="0.25">
      <c r="B164" t="s">
        <v>13</v>
      </c>
      <c r="C164" t="s">
        <v>46</v>
      </c>
      <c r="D164" t="s">
        <v>70</v>
      </c>
      <c r="E164">
        <v>2027</v>
      </c>
      <c r="F164" t="s">
        <v>83</v>
      </c>
      <c r="G164" t="s">
        <v>17</v>
      </c>
      <c r="H164" t="s">
        <v>18</v>
      </c>
      <c r="I164" s="8">
        <v>2553043.9961999999</v>
      </c>
      <c r="J164" s="8">
        <v>1827577.4341775</v>
      </c>
      <c r="K164" s="8">
        <f>I164/1000000</f>
        <v>2.5530439962</v>
      </c>
      <c r="L164" s="8">
        <f>J164/1000000</f>
        <v>1.8275774341775</v>
      </c>
      <c r="M164" t="s">
        <v>19</v>
      </c>
    </row>
    <row r="165" spans="2:13" x14ac:dyDescent="0.25">
      <c r="B165" t="s">
        <v>13</v>
      </c>
      <c r="C165" t="s">
        <v>46</v>
      </c>
      <c r="D165" t="s">
        <v>40</v>
      </c>
      <c r="E165">
        <v>2029</v>
      </c>
      <c r="F165" t="s">
        <v>83</v>
      </c>
      <c r="G165" t="s">
        <v>17</v>
      </c>
      <c r="H165" t="s">
        <v>18</v>
      </c>
      <c r="I165" s="8">
        <v>3558033.1047999999</v>
      </c>
      <c r="J165" s="8">
        <v>1006074.16372063</v>
      </c>
      <c r="K165" s="8">
        <f>I165/1000000</f>
        <v>3.5580331047999998</v>
      </c>
      <c r="L165" s="8">
        <f>J165/1000000</f>
        <v>1.0060741637206301</v>
      </c>
      <c r="M165" t="s">
        <v>39</v>
      </c>
    </row>
    <row r="166" spans="2:13" x14ac:dyDescent="0.25">
      <c r="B166" t="s">
        <v>13</v>
      </c>
      <c r="C166" t="s">
        <v>46</v>
      </c>
      <c r="D166" t="s">
        <v>40</v>
      </c>
      <c r="E166">
        <v>2030</v>
      </c>
      <c r="F166" t="s">
        <v>83</v>
      </c>
      <c r="G166" t="s">
        <v>17</v>
      </c>
      <c r="H166" t="s">
        <v>18</v>
      </c>
      <c r="I166" s="8">
        <v>3618626.9643000001</v>
      </c>
      <c r="J166" s="8">
        <v>1024118.49989649</v>
      </c>
      <c r="K166" s="8">
        <f>I166/1000000</f>
        <v>3.6186269643000002</v>
      </c>
      <c r="L166" s="8">
        <f>J166/1000000</f>
        <v>1.0241184998964901</v>
      </c>
      <c r="M166" t="s">
        <v>39</v>
      </c>
    </row>
    <row r="167" spans="2:13" x14ac:dyDescent="0.25">
      <c r="B167" t="s">
        <v>13</v>
      </c>
      <c r="C167" t="s">
        <v>46</v>
      </c>
      <c r="D167" t="s">
        <v>38</v>
      </c>
      <c r="E167">
        <v>2026</v>
      </c>
      <c r="F167" t="s">
        <v>83</v>
      </c>
      <c r="G167" t="s">
        <v>17</v>
      </c>
      <c r="H167" t="s">
        <v>18</v>
      </c>
      <c r="I167" s="8">
        <v>494576.43310000002</v>
      </c>
      <c r="J167" s="8">
        <v>578500</v>
      </c>
      <c r="K167" s="8">
        <f>I167/1000000</f>
        <v>0.49457643310000005</v>
      </c>
      <c r="L167" s="8">
        <f>J167/1000000</f>
        <v>0.57850000000000001</v>
      </c>
      <c r="M167" t="s">
        <v>39</v>
      </c>
    </row>
    <row r="168" spans="2:13" x14ac:dyDescent="0.25">
      <c r="B168" t="s">
        <v>13</v>
      </c>
      <c r="C168" t="s">
        <v>46</v>
      </c>
      <c r="D168" t="s">
        <v>38</v>
      </c>
      <c r="E168">
        <v>2027</v>
      </c>
      <c r="F168" t="s">
        <v>83</v>
      </c>
      <c r="G168" t="s">
        <v>17</v>
      </c>
      <c r="H168" t="s">
        <v>18</v>
      </c>
      <c r="I168" s="8">
        <v>710988.74369999999</v>
      </c>
      <c r="J168" s="8">
        <v>797726.95130112895</v>
      </c>
      <c r="K168" s="8">
        <f>I168/1000000</f>
        <v>0.71098874369999998</v>
      </c>
      <c r="L168" s="8">
        <f>J168/1000000</f>
        <v>0.79772695130112892</v>
      </c>
      <c r="M168" t="s">
        <v>39</v>
      </c>
    </row>
    <row r="169" spans="2:13" x14ac:dyDescent="0.25">
      <c r="B169" t="s">
        <v>13</v>
      </c>
      <c r="C169" t="s">
        <v>46</v>
      </c>
      <c r="D169" t="s">
        <v>15</v>
      </c>
      <c r="E169">
        <v>2026</v>
      </c>
      <c r="F169" t="s">
        <v>83</v>
      </c>
      <c r="G169" t="s">
        <v>17</v>
      </c>
      <c r="H169" t="s">
        <v>18</v>
      </c>
      <c r="I169" s="8">
        <v>1673015.7150000001</v>
      </c>
      <c r="J169" s="8">
        <v>361740</v>
      </c>
      <c r="K169" s="8">
        <f>I169/1000000</f>
        <v>1.673015715</v>
      </c>
      <c r="L169" s="8">
        <f>J169/1000000</f>
        <v>0.36174000000000001</v>
      </c>
      <c r="M169" t="s">
        <v>19</v>
      </c>
    </row>
    <row r="170" spans="2:13" x14ac:dyDescent="0.25">
      <c r="B170" t="s">
        <v>13</v>
      </c>
      <c r="C170" t="s">
        <v>46</v>
      </c>
      <c r="D170" t="s">
        <v>15</v>
      </c>
      <c r="E170">
        <v>2027</v>
      </c>
      <c r="F170" t="s">
        <v>83</v>
      </c>
      <c r="G170" t="s">
        <v>17</v>
      </c>
      <c r="H170" t="s">
        <v>18</v>
      </c>
      <c r="I170" s="8">
        <v>1708428.8881000001</v>
      </c>
      <c r="J170" s="8">
        <v>369394.96926315798</v>
      </c>
      <c r="K170" s="8">
        <f>I170/1000000</f>
        <v>1.7084288881</v>
      </c>
      <c r="L170" s="8">
        <f>J170/1000000</f>
        <v>0.36939496926315796</v>
      </c>
      <c r="M170" t="s">
        <v>19</v>
      </c>
    </row>
    <row r="171" spans="2:13" x14ac:dyDescent="0.25">
      <c r="B171" t="s">
        <v>13</v>
      </c>
      <c r="C171" t="s">
        <v>46</v>
      </c>
      <c r="D171" t="s">
        <v>15</v>
      </c>
      <c r="E171">
        <v>2029</v>
      </c>
      <c r="F171" t="s">
        <v>83</v>
      </c>
      <c r="G171" t="s">
        <v>17</v>
      </c>
      <c r="H171" t="s">
        <v>18</v>
      </c>
      <c r="I171" s="8">
        <v>1061092.9706999999</v>
      </c>
      <c r="J171" s="8">
        <v>352865.51242105302</v>
      </c>
      <c r="K171" s="8">
        <f>I171/1000000</f>
        <v>1.0610929706999999</v>
      </c>
      <c r="L171" s="8">
        <f>J171/1000000</f>
        <v>0.35286551242105302</v>
      </c>
      <c r="M171" t="s">
        <v>19</v>
      </c>
    </row>
    <row r="172" spans="2:13" x14ac:dyDescent="0.25">
      <c r="B172" t="s">
        <v>13</v>
      </c>
      <c r="C172" t="s">
        <v>46</v>
      </c>
      <c r="D172" t="s">
        <v>15</v>
      </c>
      <c r="E172">
        <v>2030</v>
      </c>
      <c r="F172" t="s">
        <v>83</v>
      </c>
      <c r="G172" t="s">
        <v>17</v>
      </c>
      <c r="H172" t="s">
        <v>18</v>
      </c>
      <c r="I172" s="8">
        <v>1057550.1114000001</v>
      </c>
      <c r="J172" s="8">
        <v>351931.11915789498</v>
      </c>
      <c r="K172" s="8">
        <f>I172/1000000</f>
        <v>1.0575501114000001</v>
      </c>
      <c r="L172" s="8">
        <f>J172/1000000</f>
        <v>0.35193111915789499</v>
      </c>
      <c r="M172" t="s">
        <v>19</v>
      </c>
    </row>
    <row r="173" spans="2:13" x14ac:dyDescent="0.25">
      <c r="B173" t="s">
        <v>13</v>
      </c>
      <c r="C173" t="s">
        <v>46</v>
      </c>
      <c r="D173" t="s">
        <v>100</v>
      </c>
      <c r="E173">
        <v>2026</v>
      </c>
      <c r="F173" t="s">
        <v>83</v>
      </c>
      <c r="G173" t="s">
        <v>17</v>
      </c>
      <c r="H173" t="s">
        <v>18</v>
      </c>
      <c r="I173" s="8">
        <v>2445307.2000000002</v>
      </c>
      <c r="J173" s="8">
        <v>2425900</v>
      </c>
      <c r="K173" s="8">
        <f>I173/1000000</f>
        <v>2.4453072000000002</v>
      </c>
      <c r="L173" s="8">
        <f>J173/1000000</f>
        <v>2.4258999999999999</v>
      </c>
      <c r="M173" t="s">
        <v>19</v>
      </c>
    </row>
    <row r="174" spans="2:13" x14ac:dyDescent="0.25">
      <c r="B174" t="s">
        <v>13</v>
      </c>
      <c r="C174" t="s">
        <v>46</v>
      </c>
      <c r="D174" t="s">
        <v>100</v>
      </c>
      <c r="E174">
        <v>2027</v>
      </c>
      <c r="F174" t="s">
        <v>83</v>
      </c>
      <c r="G174" t="s">
        <v>17</v>
      </c>
      <c r="H174" t="s">
        <v>18</v>
      </c>
      <c r="I174" s="8">
        <v>2461668.7648</v>
      </c>
      <c r="J174" s="8">
        <v>2442131.7111094501</v>
      </c>
      <c r="K174" s="8">
        <f>I174/1000000</f>
        <v>2.4616687648000002</v>
      </c>
      <c r="L174" s="8">
        <f>J174/1000000</f>
        <v>2.4421317111094503</v>
      </c>
      <c r="M174" t="s">
        <v>19</v>
      </c>
    </row>
    <row r="175" spans="2:13" x14ac:dyDescent="0.25">
      <c r="B175" t="s">
        <v>13</v>
      </c>
      <c r="C175" t="s">
        <v>46</v>
      </c>
      <c r="D175" t="s">
        <v>100</v>
      </c>
      <c r="E175">
        <v>2028</v>
      </c>
      <c r="F175" t="s">
        <v>83</v>
      </c>
      <c r="G175" t="s">
        <v>17</v>
      </c>
      <c r="H175" t="s">
        <v>18</v>
      </c>
      <c r="I175" s="8">
        <v>2374548.0257000001</v>
      </c>
      <c r="J175" s="8">
        <v>2473487.5267940802</v>
      </c>
      <c r="K175" s="8">
        <f>I175/1000000</f>
        <v>2.3745480257000002</v>
      </c>
      <c r="L175" s="8">
        <f>J175/1000000</f>
        <v>2.4734875267940803</v>
      </c>
      <c r="M175" t="s">
        <v>19</v>
      </c>
    </row>
    <row r="176" spans="2:13" x14ac:dyDescent="0.25">
      <c r="B176" t="s">
        <v>13</v>
      </c>
      <c r="C176" t="s">
        <v>46</v>
      </c>
      <c r="D176" t="s">
        <v>100</v>
      </c>
      <c r="E176">
        <v>2029</v>
      </c>
      <c r="F176" t="s">
        <v>83</v>
      </c>
      <c r="G176" t="s">
        <v>17</v>
      </c>
      <c r="H176" t="s">
        <v>18</v>
      </c>
      <c r="I176" s="8">
        <v>2976756.3876999998</v>
      </c>
      <c r="J176" s="8">
        <v>2566169.2997462298</v>
      </c>
      <c r="K176" s="8">
        <f>I176/1000000</f>
        <v>2.9767563877000001</v>
      </c>
      <c r="L176" s="8">
        <f>J176/1000000</f>
        <v>2.56616929974623</v>
      </c>
      <c r="M176" t="s">
        <v>19</v>
      </c>
    </row>
    <row r="177" spans="2:13" x14ac:dyDescent="0.25">
      <c r="B177" t="s">
        <v>13</v>
      </c>
      <c r="C177" t="s">
        <v>46</v>
      </c>
      <c r="D177" t="s">
        <v>100</v>
      </c>
      <c r="E177">
        <v>2030</v>
      </c>
      <c r="F177" t="s">
        <v>83</v>
      </c>
      <c r="G177" t="s">
        <v>17</v>
      </c>
      <c r="H177" t="s">
        <v>18</v>
      </c>
      <c r="I177" s="8">
        <v>3021398.3653000002</v>
      </c>
      <c r="J177" s="8">
        <v>2604653.7631491502</v>
      </c>
      <c r="K177" s="8">
        <f>I177/1000000</f>
        <v>3.0213983653000001</v>
      </c>
      <c r="L177" s="8">
        <f>J177/1000000</f>
        <v>2.60465376314915</v>
      </c>
      <c r="M177" t="s">
        <v>19</v>
      </c>
    </row>
    <row r="178" spans="2:13" x14ac:dyDescent="0.25">
      <c r="B178" t="s">
        <v>13</v>
      </c>
      <c r="C178" t="s">
        <v>46</v>
      </c>
      <c r="D178" t="s">
        <v>72</v>
      </c>
      <c r="E178">
        <v>2026</v>
      </c>
      <c r="F178" t="s">
        <v>83</v>
      </c>
      <c r="G178" t="s">
        <v>17</v>
      </c>
      <c r="H178" t="s">
        <v>18</v>
      </c>
      <c r="I178" s="8">
        <v>7487898.4840000002</v>
      </c>
      <c r="J178" s="8">
        <v>2622800</v>
      </c>
      <c r="K178" s="8">
        <f>I178/1000000</f>
        <v>7.4878984840000005</v>
      </c>
      <c r="L178" s="8">
        <f>J178/1000000</f>
        <v>2.6227999999999998</v>
      </c>
      <c r="M178" t="s">
        <v>19</v>
      </c>
    </row>
    <row r="179" spans="2:13" x14ac:dyDescent="0.25">
      <c r="B179" t="s">
        <v>13</v>
      </c>
      <c r="C179" t="s">
        <v>46</v>
      </c>
      <c r="D179" t="s">
        <v>72</v>
      </c>
      <c r="E179">
        <v>2029</v>
      </c>
      <c r="F179" t="s">
        <v>83</v>
      </c>
      <c r="G179" t="s">
        <v>17</v>
      </c>
      <c r="H179" t="s">
        <v>18</v>
      </c>
      <c r="I179" s="8">
        <v>5638558.0261000004</v>
      </c>
      <c r="J179" s="8">
        <v>2695602.1816613702</v>
      </c>
      <c r="K179" s="8">
        <f>I179/1000000</f>
        <v>5.6385580261000001</v>
      </c>
      <c r="L179" s="8">
        <f>J179/1000000</f>
        <v>2.69560218166137</v>
      </c>
      <c r="M179" t="s">
        <v>19</v>
      </c>
    </row>
    <row r="180" spans="2:13" x14ac:dyDescent="0.25">
      <c r="B180" t="s">
        <v>13</v>
      </c>
      <c r="C180" t="s">
        <v>46</v>
      </c>
      <c r="D180" t="s">
        <v>72</v>
      </c>
      <c r="E180">
        <v>2030</v>
      </c>
      <c r="F180" t="s">
        <v>83</v>
      </c>
      <c r="G180" t="s">
        <v>17</v>
      </c>
      <c r="H180" t="s">
        <v>18</v>
      </c>
      <c r="I180" s="8">
        <v>5713142.1898999996</v>
      </c>
      <c r="J180" s="8">
        <v>2736027.7309496701</v>
      </c>
      <c r="K180" s="8">
        <f>I180/1000000</f>
        <v>5.7131421898999992</v>
      </c>
      <c r="L180" s="8">
        <f>J180/1000000</f>
        <v>2.7360277309496701</v>
      </c>
      <c r="M180" t="s">
        <v>19</v>
      </c>
    </row>
    <row r="181" spans="2:13" x14ac:dyDescent="0.25">
      <c r="B181" t="s">
        <v>13</v>
      </c>
      <c r="C181" t="s">
        <v>46</v>
      </c>
      <c r="D181" t="s">
        <v>72</v>
      </c>
      <c r="E181">
        <v>2027</v>
      </c>
      <c r="F181" t="s">
        <v>83</v>
      </c>
      <c r="G181" t="s">
        <v>17</v>
      </c>
      <c r="H181" t="s">
        <v>18</v>
      </c>
      <c r="I181" s="8">
        <v>6472417.5115999999</v>
      </c>
      <c r="J181" s="8">
        <v>2636439.1676886501</v>
      </c>
      <c r="K181" s="8">
        <f>I181/1000000</f>
        <v>6.4724175115999998</v>
      </c>
      <c r="L181" s="8">
        <f>J181/1000000</f>
        <v>2.6364391676886503</v>
      </c>
      <c r="M181" t="s">
        <v>19</v>
      </c>
    </row>
    <row r="182" spans="2:13" x14ac:dyDescent="0.25">
      <c r="B182" t="s">
        <v>13</v>
      </c>
      <c r="C182" t="s">
        <v>46</v>
      </c>
      <c r="D182" t="s">
        <v>72</v>
      </c>
      <c r="E182">
        <v>2028</v>
      </c>
      <c r="F182" t="s">
        <v>83</v>
      </c>
      <c r="G182" t="s">
        <v>17</v>
      </c>
      <c r="H182" t="s">
        <v>18</v>
      </c>
      <c r="I182" s="8">
        <v>6520211.9776999997</v>
      </c>
      <c r="J182" s="8">
        <v>2670289.7991798702</v>
      </c>
      <c r="K182" s="8">
        <f>I182/1000000</f>
        <v>6.5202119776999998</v>
      </c>
      <c r="L182" s="8">
        <f>J182/1000000</f>
        <v>2.6702897991798702</v>
      </c>
      <c r="M182" t="s">
        <v>19</v>
      </c>
    </row>
    <row r="183" spans="2:13" x14ac:dyDescent="0.25">
      <c r="B183" t="s">
        <v>13</v>
      </c>
      <c r="C183" t="s">
        <v>46</v>
      </c>
      <c r="D183" t="s">
        <v>76</v>
      </c>
      <c r="E183">
        <v>2027</v>
      </c>
      <c r="F183" t="s">
        <v>83</v>
      </c>
      <c r="G183" t="s">
        <v>17</v>
      </c>
      <c r="H183" t="s">
        <v>18</v>
      </c>
      <c r="I183" s="8">
        <v>7440246.6782999998</v>
      </c>
      <c r="J183" s="8">
        <v>2298342.8630315498</v>
      </c>
      <c r="K183" s="8">
        <f>I183/1000000</f>
        <v>7.4402466782999994</v>
      </c>
      <c r="L183" s="8">
        <f>J183/1000000</f>
        <v>2.2983428630315497</v>
      </c>
      <c r="M183" t="s">
        <v>39</v>
      </c>
    </row>
    <row r="184" spans="2:13" x14ac:dyDescent="0.25">
      <c r="B184" t="s">
        <v>13</v>
      </c>
      <c r="C184" t="s">
        <v>46</v>
      </c>
      <c r="D184" t="s">
        <v>76</v>
      </c>
      <c r="E184">
        <v>2028</v>
      </c>
      <c r="F184" t="s">
        <v>83</v>
      </c>
      <c r="G184" t="s">
        <v>17</v>
      </c>
      <c r="H184" t="s">
        <v>18</v>
      </c>
      <c r="I184" s="8">
        <v>6979666.2712000003</v>
      </c>
      <c r="J184" s="8">
        <v>2186357.2609346602</v>
      </c>
      <c r="K184" s="8">
        <f>I184/1000000</f>
        <v>6.9796662712000002</v>
      </c>
      <c r="L184" s="8">
        <f>J184/1000000</f>
        <v>2.1863572609346602</v>
      </c>
      <c r="M184" t="s">
        <v>39</v>
      </c>
    </row>
    <row r="185" spans="2:13" x14ac:dyDescent="0.25">
      <c r="B185" t="s">
        <v>13</v>
      </c>
      <c r="C185" t="s">
        <v>46</v>
      </c>
      <c r="D185" t="s">
        <v>76</v>
      </c>
      <c r="E185">
        <v>2029</v>
      </c>
      <c r="F185" t="s">
        <v>83</v>
      </c>
      <c r="G185" t="s">
        <v>17</v>
      </c>
      <c r="H185" t="s">
        <v>18</v>
      </c>
      <c r="I185" s="8">
        <v>6638079.7100999998</v>
      </c>
      <c r="J185" s="8">
        <v>2079356.4060209601</v>
      </c>
      <c r="K185" s="8">
        <f>I185/1000000</f>
        <v>6.6380797100999995</v>
      </c>
      <c r="L185" s="8">
        <f>J185/1000000</f>
        <v>2.0793564060209602</v>
      </c>
      <c r="M185" t="s">
        <v>39</v>
      </c>
    </row>
    <row r="186" spans="2:13" x14ac:dyDescent="0.25">
      <c r="B186" t="s">
        <v>13</v>
      </c>
      <c r="C186" t="s">
        <v>46</v>
      </c>
      <c r="D186" t="s">
        <v>76</v>
      </c>
      <c r="E186">
        <v>2030</v>
      </c>
      <c r="F186" t="s">
        <v>83</v>
      </c>
      <c r="G186" t="s">
        <v>17</v>
      </c>
      <c r="H186" t="s">
        <v>18</v>
      </c>
      <c r="I186" s="8">
        <v>6846372.1491</v>
      </c>
      <c r="J186" s="8">
        <v>2146868.43018502</v>
      </c>
      <c r="K186" s="8">
        <f>I186/1000000</f>
        <v>6.8463721491000005</v>
      </c>
      <c r="L186" s="8">
        <f>J186/1000000</f>
        <v>2.14686843018502</v>
      </c>
      <c r="M186" t="s">
        <v>39</v>
      </c>
    </row>
    <row r="187" spans="2:13" x14ac:dyDescent="0.25">
      <c r="B187" t="s">
        <v>13</v>
      </c>
      <c r="C187" t="s">
        <v>46</v>
      </c>
      <c r="D187" t="s">
        <v>76</v>
      </c>
      <c r="E187">
        <v>2026</v>
      </c>
      <c r="F187" t="s">
        <v>83</v>
      </c>
      <c r="G187" t="s">
        <v>17</v>
      </c>
      <c r="H187" t="s">
        <v>18</v>
      </c>
      <c r="I187" s="8">
        <v>11271286.218900001</v>
      </c>
      <c r="J187" s="8">
        <v>2680100</v>
      </c>
      <c r="K187" s="8">
        <f>I187/1000000</f>
        <v>11.2712862189</v>
      </c>
      <c r="L187" s="8">
        <f>J187/1000000</f>
        <v>2.6800999999999999</v>
      </c>
      <c r="M187" t="s">
        <v>39</v>
      </c>
    </row>
    <row r="188" spans="2:13" x14ac:dyDescent="0.25">
      <c r="B188" t="s">
        <v>13</v>
      </c>
      <c r="C188" t="s">
        <v>46</v>
      </c>
      <c r="D188" t="s">
        <v>69</v>
      </c>
      <c r="E188">
        <v>2028</v>
      </c>
      <c r="F188" t="s">
        <v>83</v>
      </c>
      <c r="G188" t="s">
        <v>17</v>
      </c>
      <c r="H188" t="s">
        <v>18</v>
      </c>
      <c r="I188" s="8">
        <v>6967609.8521999996</v>
      </c>
      <c r="J188" s="8">
        <v>2656059.3296156698</v>
      </c>
      <c r="K188" s="8">
        <f>I188/1000000</f>
        <v>6.9676098521999998</v>
      </c>
      <c r="L188" s="8">
        <f>J188/1000000</f>
        <v>2.6560593296156698</v>
      </c>
      <c r="M188" t="s">
        <v>19</v>
      </c>
    </row>
    <row r="189" spans="2:13" x14ac:dyDescent="0.25">
      <c r="B189" t="s">
        <v>13</v>
      </c>
      <c r="C189" t="s">
        <v>46</v>
      </c>
      <c r="D189" t="s">
        <v>40</v>
      </c>
      <c r="E189">
        <v>2028</v>
      </c>
      <c r="F189" t="s">
        <v>83</v>
      </c>
      <c r="G189" t="s">
        <v>17</v>
      </c>
      <c r="H189" t="s">
        <v>18</v>
      </c>
      <c r="I189" s="8">
        <v>3535922.8741000001</v>
      </c>
      <c r="J189" s="8">
        <v>999822.24555614404</v>
      </c>
      <c r="K189" s="8">
        <f>I189/1000000</f>
        <v>3.5359228741000002</v>
      </c>
      <c r="L189" s="8">
        <f>J189/1000000</f>
        <v>0.99982224555614407</v>
      </c>
      <c r="M189" t="s">
        <v>39</v>
      </c>
    </row>
    <row r="190" spans="2:13" x14ac:dyDescent="0.25">
      <c r="B190" t="s">
        <v>13</v>
      </c>
      <c r="C190" t="s">
        <v>46</v>
      </c>
      <c r="D190" t="s">
        <v>15</v>
      </c>
      <c r="E190">
        <v>2028</v>
      </c>
      <c r="F190" t="s">
        <v>83</v>
      </c>
      <c r="G190" t="s">
        <v>17</v>
      </c>
      <c r="H190" t="s">
        <v>18</v>
      </c>
      <c r="I190" s="8">
        <v>1082840.2668999999</v>
      </c>
      <c r="J190" s="8">
        <v>360097.55621052597</v>
      </c>
      <c r="K190" s="8">
        <f>I190/1000000</f>
        <v>1.0828402668999999</v>
      </c>
      <c r="L190" s="8">
        <f>J190/1000000</f>
        <v>0.36009755621052597</v>
      </c>
      <c r="M190" t="s">
        <v>19</v>
      </c>
    </row>
    <row r="191" spans="2:13" x14ac:dyDescent="0.25">
      <c r="B191" t="s">
        <v>13</v>
      </c>
      <c r="C191" t="s">
        <v>14</v>
      </c>
      <c r="D191" t="s">
        <v>52</v>
      </c>
      <c r="E191">
        <v>2027</v>
      </c>
      <c r="F191" t="s">
        <v>83</v>
      </c>
      <c r="G191" t="s">
        <v>17</v>
      </c>
      <c r="H191" t="s">
        <v>18</v>
      </c>
      <c r="I191" s="8">
        <v>3977257.5323000001</v>
      </c>
      <c r="J191" s="8">
        <v>3749116.33579246</v>
      </c>
      <c r="K191" s="8">
        <f>I191/1000000</f>
        <v>3.9772575322999999</v>
      </c>
      <c r="L191" s="8">
        <f>J191/1000000</f>
        <v>3.74911633579246</v>
      </c>
      <c r="M191" t="s">
        <v>19</v>
      </c>
    </row>
    <row r="192" spans="2:13" x14ac:dyDescent="0.25">
      <c r="B192" t="s">
        <v>13</v>
      </c>
      <c r="C192" t="s">
        <v>46</v>
      </c>
      <c r="D192" t="s">
        <v>101</v>
      </c>
      <c r="E192">
        <v>2026</v>
      </c>
      <c r="F192" t="s">
        <v>83</v>
      </c>
      <c r="G192" t="s">
        <v>17</v>
      </c>
      <c r="H192" t="s">
        <v>18</v>
      </c>
      <c r="I192" s="8">
        <v>892133.93350000004</v>
      </c>
      <c r="J192" s="8">
        <v>801900</v>
      </c>
      <c r="K192" s="8">
        <f>I192/1000000</f>
        <v>0.89213393350000003</v>
      </c>
      <c r="L192" s="8">
        <f>J192/1000000</f>
        <v>0.80189999999999995</v>
      </c>
      <c r="M192" t="s">
        <v>39</v>
      </c>
    </row>
    <row r="193" spans="2:13" x14ac:dyDescent="0.25">
      <c r="B193" t="s">
        <v>13</v>
      </c>
      <c r="C193" t="s">
        <v>46</v>
      </c>
      <c r="D193" t="s">
        <v>101</v>
      </c>
      <c r="E193">
        <v>2027</v>
      </c>
      <c r="F193" t="s">
        <v>83</v>
      </c>
      <c r="G193" t="s">
        <v>17</v>
      </c>
      <c r="H193" t="s">
        <v>18</v>
      </c>
      <c r="I193" s="8">
        <v>824783.97459999996</v>
      </c>
      <c r="J193" s="8">
        <v>739882.24315941299</v>
      </c>
      <c r="K193" s="8">
        <f>I193/1000000</f>
        <v>0.82478397459999997</v>
      </c>
      <c r="L193" s="8">
        <f>J193/1000000</f>
        <v>0.73988224315941298</v>
      </c>
      <c r="M193" t="s">
        <v>39</v>
      </c>
    </row>
    <row r="194" spans="2:13" x14ac:dyDescent="0.25">
      <c r="B194" t="s">
        <v>13</v>
      </c>
      <c r="C194" t="s">
        <v>46</v>
      </c>
      <c r="D194" t="s">
        <v>101</v>
      </c>
      <c r="E194">
        <v>2028</v>
      </c>
      <c r="F194" t="s">
        <v>83</v>
      </c>
      <c r="G194" t="s">
        <v>17</v>
      </c>
      <c r="H194" t="s">
        <v>18</v>
      </c>
      <c r="I194" s="8">
        <v>830156.52650000004</v>
      </c>
      <c r="J194" s="8">
        <v>750032.07908107503</v>
      </c>
      <c r="K194" s="8">
        <f>I194/1000000</f>
        <v>0.83015652650000005</v>
      </c>
      <c r="L194" s="8">
        <f>J194/1000000</f>
        <v>0.75003207908107505</v>
      </c>
      <c r="M194" t="s">
        <v>39</v>
      </c>
    </row>
    <row r="195" spans="2:13" x14ac:dyDescent="0.25">
      <c r="B195" t="s">
        <v>13</v>
      </c>
      <c r="C195" t="s">
        <v>46</v>
      </c>
      <c r="D195" t="s">
        <v>101</v>
      </c>
      <c r="E195">
        <v>2029</v>
      </c>
      <c r="F195" t="s">
        <v>83</v>
      </c>
      <c r="G195" t="s">
        <v>17</v>
      </c>
      <c r="H195" t="s">
        <v>18</v>
      </c>
      <c r="I195" s="8">
        <v>841500.96070000005</v>
      </c>
      <c r="J195" s="8">
        <v>760281.57937840698</v>
      </c>
      <c r="K195" s="8">
        <f>I195/1000000</f>
        <v>0.84150096070000002</v>
      </c>
      <c r="L195" s="8">
        <f>J195/1000000</f>
        <v>0.76028157937840701</v>
      </c>
      <c r="M195" t="s">
        <v>39</v>
      </c>
    </row>
    <row r="196" spans="2:13" x14ac:dyDescent="0.25">
      <c r="B196" t="s">
        <v>13</v>
      </c>
      <c r="C196" t="s">
        <v>46</v>
      </c>
      <c r="D196" t="s">
        <v>101</v>
      </c>
      <c r="E196">
        <v>2030</v>
      </c>
      <c r="F196" t="s">
        <v>83</v>
      </c>
      <c r="G196" t="s">
        <v>17</v>
      </c>
      <c r="H196" t="s">
        <v>18</v>
      </c>
      <c r="I196" s="8">
        <v>864811.58629999997</v>
      </c>
      <c r="J196" s="8">
        <v>788713.05916984903</v>
      </c>
      <c r="K196" s="8">
        <f>I196/1000000</f>
        <v>0.86481158629999999</v>
      </c>
      <c r="L196" s="8">
        <f>J196/1000000</f>
        <v>0.78871305916984902</v>
      </c>
      <c r="M196" t="s">
        <v>39</v>
      </c>
    </row>
    <row r="197" spans="2:13" x14ac:dyDescent="0.25">
      <c r="B197" t="s">
        <v>13</v>
      </c>
      <c r="C197" t="s">
        <v>46</v>
      </c>
      <c r="D197" t="s">
        <v>52</v>
      </c>
      <c r="E197">
        <v>2027</v>
      </c>
      <c r="F197" t="s">
        <v>53</v>
      </c>
      <c r="G197" t="s">
        <v>17</v>
      </c>
      <c r="H197" t="s">
        <v>18</v>
      </c>
      <c r="I197" s="8">
        <v>18093.301599999999</v>
      </c>
      <c r="J197" s="8">
        <v>17187</v>
      </c>
      <c r="K197" s="8">
        <f>I197/1000000</f>
        <v>1.80933016E-2</v>
      </c>
      <c r="L197" s="8">
        <f>J197/1000000</f>
        <v>1.7187000000000001E-2</v>
      </c>
      <c r="M197" t="s">
        <v>19</v>
      </c>
    </row>
    <row r="198" spans="2:13" x14ac:dyDescent="0.25">
      <c r="B198" t="s">
        <v>13</v>
      </c>
      <c r="C198" t="s">
        <v>46</v>
      </c>
      <c r="D198" t="s">
        <v>52</v>
      </c>
      <c r="E198">
        <v>2028</v>
      </c>
      <c r="F198" t="s">
        <v>53</v>
      </c>
      <c r="G198" t="s">
        <v>17</v>
      </c>
      <c r="H198" t="s">
        <v>18</v>
      </c>
      <c r="I198" s="8">
        <v>18928.230800000001</v>
      </c>
      <c r="J198" s="8">
        <v>17264.916666666701</v>
      </c>
      <c r="K198" s="8">
        <f>I198/1000000</f>
        <v>1.8928230800000001E-2</v>
      </c>
      <c r="L198" s="8">
        <f>J198/1000000</f>
        <v>1.7264916666666699E-2</v>
      </c>
      <c r="M198" t="s">
        <v>19</v>
      </c>
    </row>
    <row r="199" spans="2:13" x14ac:dyDescent="0.25">
      <c r="B199" t="s">
        <v>13</v>
      </c>
      <c r="C199" t="s">
        <v>46</v>
      </c>
      <c r="D199" t="s">
        <v>69</v>
      </c>
      <c r="E199">
        <v>2028</v>
      </c>
      <c r="F199" t="s">
        <v>53</v>
      </c>
      <c r="G199" t="s">
        <v>17</v>
      </c>
      <c r="H199" t="s">
        <v>18</v>
      </c>
      <c r="I199" s="8">
        <v>57146.584199999998</v>
      </c>
      <c r="J199" s="8">
        <v>21818.321463706601</v>
      </c>
      <c r="K199" s="8">
        <f>I199/1000000</f>
        <v>5.7146584199999996E-2</v>
      </c>
      <c r="L199" s="8">
        <f>J199/1000000</f>
        <v>2.1818321463706603E-2</v>
      </c>
      <c r="M199" t="s">
        <v>19</v>
      </c>
    </row>
    <row r="200" spans="2:13" x14ac:dyDescent="0.25">
      <c r="B200" t="s">
        <v>13</v>
      </c>
      <c r="C200" t="s">
        <v>46</v>
      </c>
      <c r="D200" t="s">
        <v>72</v>
      </c>
      <c r="E200">
        <v>2027</v>
      </c>
      <c r="F200" t="s">
        <v>53</v>
      </c>
      <c r="G200" t="s">
        <v>17</v>
      </c>
      <c r="H200" t="s">
        <v>18</v>
      </c>
      <c r="I200" s="8">
        <v>51790.3361</v>
      </c>
      <c r="J200" s="8">
        <v>21127.372393207501</v>
      </c>
      <c r="K200" s="8">
        <f>I200/1000000</f>
        <v>5.1790336100000001E-2</v>
      </c>
      <c r="L200" s="8">
        <f>J200/1000000</f>
        <v>2.11273723932075E-2</v>
      </c>
      <c r="M200" t="s">
        <v>19</v>
      </c>
    </row>
    <row r="201" spans="2:13" x14ac:dyDescent="0.25">
      <c r="B201" t="s">
        <v>13</v>
      </c>
      <c r="C201" t="s">
        <v>46</v>
      </c>
      <c r="D201" t="s">
        <v>72</v>
      </c>
      <c r="E201">
        <v>2028</v>
      </c>
      <c r="F201" t="s">
        <v>53</v>
      </c>
      <c r="G201" t="s">
        <v>17</v>
      </c>
      <c r="H201" t="s">
        <v>18</v>
      </c>
      <c r="I201" s="8">
        <v>52392.425300000003</v>
      </c>
      <c r="J201" s="8">
        <v>21488.901200789998</v>
      </c>
      <c r="K201" s="8">
        <f>I201/1000000</f>
        <v>5.2392425300000003E-2</v>
      </c>
      <c r="L201" s="8">
        <f>J201/1000000</f>
        <v>2.1488901200789997E-2</v>
      </c>
      <c r="M201" t="s">
        <v>19</v>
      </c>
    </row>
    <row r="202" spans="2:13" x14ac:dyDescent="0.25">
      <c r="B202" t="s">
        <v>13</v>
      </c>
      <c r="C202" t="s">
        <v>46</v>
      </c>
      <c r="D202" t="s">
        <v>69</v>
      </c>
      <c r="E202">
        <v>2028</v>
      </c>
      <c r="F202" t="s">
        <v>53</v>
      </c>
      <c r="G202" t="s">
        <v>17</v>
      </c>
      <c r="H202" t="s">
        <v>18</v>
      </c>
      <c r="I202" s="8">
        <v>2922673.1327999998</v>
      </c>
      <c r="J202" s="8">
        <v>1114125.70543626</v>
      </c>
      <c r="K202" s="8">
        <f>I202/1000000</f>
        <v>2.9226731328</v>
      </c>
      <c r="L202" s="8">
        <f>J202/1000000</f>
        <v>1.1141257054362599</v>
      </c>
      <c r="M202" t="s">
        <v>19</v>
      </c>
    </row>
    <row r="203" spans="2:13" x14ac:dyDescent="0.25">
      <c r="B203" t="s">
        <v>13</v>
      </c>
      <c r="C203" t="s">
        <v>46</v>
      </c>
      <c r="D203" t="s">
        <v>69</v>
      </c>
      <c r="E203">
        <v>2029</v>
      </c>
      <c r="F203" t="s">
        <v>53</v>
      </c>
      <c r="G203" t="s">
        <v>17</v>
      </c>
      <c r="H203" t="s">
        <v>18</v>
      </c>
      <c r="I203" s="8">
        <v>2586038.6082000001</v>
      </c>
      <c r="J203" s="8">
        <v>1129813.0803870601</v>
      </c>
      <c r="K203" s="8">
        <f>I203/1000000</f>
        <v>2.5860386082</v>
      </c>
      <c r="L203" s="8">
        <f>J203/1000000</f>
        <v>1.1298130803870601</v>
      </c>
      <c r="M203" t="s">
        <v>19</v>
      </c>
    </row>
    <row r="204" spans="2:13" x14ac:dyDescent="0.25">
      <c r="B204" t="s">
        <v>13</v>
      </c>
      <c r="C204" t="s">
        <v>46</v>
      </c>
      <c r="D204" t="s">
        <v>69</v>
      </c>
      <c r="E204">
        <v>2030</v>
      </c>
      <c r="F204" t="s">
        <v>53</v>
      </c>
      <c r="G204" t="s">
        <v>17</v>
      </c>
      <c r="H204" t="s">
        <v>18</v>
      </c>
      <c r="I204" s="8">
        <v>2665061.4389</v>
      </c>
      <c r="J204" s="8">
        <v>1161626.39535389</v>
      </c>
      <c r="K204" s="8">
        <f>I204/1000000</f>
        <v>2.6650614389</v>
      </c>
      <c r="L204" s="8">
        <f>J204/1000000</f>
        <v>1.1616263953538901</v>
      </c>
      <c r="M204" t="s">
        <v>19</v>
      </c>
    </row>
    <row r="205" spans="2:13" x14ac:dyDescent="0.25">
      <c r="B205" t="s">
        <v>13</v>
      </c>
      <c r="C205" t="s">
        <v>46</v>
      </c>
      <c r="D205" t="s">
        <v>73</v>
      </c>
      <c r="E205">
        <v>2026</v>
      </c>
      <c r="F205" t="s">
        <v>53</v>
      </c>
      <c r="G205" t="s">
        <v>17</v>
      </c>
      <c r="H205" t="s">
        <v>18</v>
      </c>
      <c r="I205" s="8">
        <v>851613.55209999997</v>
      </c>
      <c r="J205" s="8">
        <v>891600</v>
      </c>
      <c r="K205" s="8">
        <f>I205/1000000</f>
        <v>0.8516135521</v>
      </c>
      <c r="L205" s="8">
        <f>J205/1000000</f>
        <v>0.89159999999999995</v>
      </c>
      <c r="M205" t="s">
        <v>19</v>
      </c>
    </row>
    <row r="206" spans="2:13" x14ac:dyDescent="0.25">
      <c r="B206" t="s">
        <v>13</v>
      </c>
      <c r="C206" t="s">
        <v>46</v>
      </c>
      <c r="D206" t="s">
        <v>70</v>
      </c>
      <c r="E206">
        <v>2026</v>
      </c>
      <c r="F206" t="s">
        <v>53</v>
      </c>
      <c r="G206" t="s">
        <v>17</v>
      </c>
      <c r="H206" t="s">
        <v>18</v>
      </c>
      <c r="I206" s="8">
        <v>874685.38170000003</v>
      </c>
      <c r="J206" s="8">
        <v>506800</v>
      </c>
      <c r="K206" s="8">
        <f>I206/1000000</f>
        <v>0.87468538169999999</v>
      </c>
      <c r="L206" s="8">
        <f>J206/1000000</f>
        <v>0.50680000000000003</v>
      </c>
      <c r="M206" t="s">
        <v>19</v>
      </c>
    </row>
    <row r="207" spans="2:13" x14ac:dyDescent="0.25">
      <c r="B207" t="s">
        <v>13</v>
      </c>
      <c r="C207" t="s">
        <v>46</v>
      </c>
      <c r="D207" t="s">
        <v>100</v>
      </c>
      <c r="E207">
        <v>2027</v>
      </c>
      <c r="F207" t="s">
        <v>53</v>
      </c>
      <c r="G207" t="s">
        <v>17</v>
      </c>
      <c r="H207" t="s">
        <v>18</v>
      </c>
      <c r="I207" s="8">
        <v>29937.363000000001</v>
      </c>
      <c r="J207" s="8">
        <v>13929.7572603713</v>
      </c>
      <c r="K207" s="8">
        <f>I207/1000000</f>
        <v>2.9937363000000002E-2</v>
      </c>
      <c r="L207" s="8">
        <f>J207/1000000</f>
        <v>1.39297572603713E-2</v>
      </c>
      <c r="M207" t="s">
        <v>19</v>
      </c>
    </row>
    <row r="208" spans="2:13" x14ac:dyDescent="0.25">
      <c r="B208" t="s">
        <v>13</v>
      </c>
      <c r="C208" t="s">
        <v>46</v>
      </c>
      <c r="D208" t="s">
        <v>100</v>
      </c>
      <c r="E208">
        <v>2028</v>
      </c>
      <c r="F208" t="s">
        <v>53</v>
      </c>
      <c r="G208" t="s">
        <v>17</v>
      </c>
      <c r="H208" t="s">
        <v>18</v>
      </c>
      <c r="I208" s="8">
        <v>30149.6387</v>
      </c>
      <c r="J208" s="8">
        <v>14164.140489748601</v>
      </c>
      <c r="K208" s="8">
        <f>I208/1000000</f>
        <v>3.0149638699999998E-2</v>
      </c>
      <c r="L208" s="8">
        <f>J208/1000000</f>
        <v>1.4164140489748601E-2</v>
      </c>
      <c r="M208" t="s">
        <v>19</v>
      </c>
    </row>
    <row r="209" spans="2:13" x14ac:dyDescent="0.25">
      <c r="B209" t="s">
        <v>13</v>
      </c>
      <c r="C209" t="s">
        <v>46</v>
      </c>
      <c r="D209" t="s">
        <v>15</v>
      </c>
      <c r="E209">
        <v>2026</v>
      </c>
      <c r="F209" t="s">
        <v>53</v>
      </c>
      <c r="G209" t="s">
        <v>17</v>
      </c>
      <c r="H209" t="s">
        <v>18</v>
      </c>
      <c r="I209" s="8">
        <v>412838.08750000002</v>
      </c>
      <c r="J209" s="8">
        <v>136480</v>
      </c>
      <c r="K209" s="8">
        <f>I209/1000000</f>
        <v>0.41283808750000001</v>
      </c>
      <c r="L209" s="8">
        <f>J209/1000000</f>
        <v>0.13647999999999999</v>
      </c>
      <c r="M209" t="s">
        <v>19</v>
      </c>
    </row>
    <row r="210" spans="2:13" x14ac:dyDescent="0.25">
      <c r="B210" t="s">
        <v>13</v>
      </c>
      <c r="C210" t="s">
        <v>46</v>
      </c>
      <c r="D210" t="s">
        <v>15</v>
      </c>
      <c r="E210">
        <v>2027</v>
      </c>
      <c r="F210" t="s">
        <v>53</v>
      </c>
      <c r="G210" t="s">
        <v>17</v>
      </c>
      <c r="H210" t="s">
        <v>18</v>
      </c>
      <c r="I210" s="8">
        <v>395606.6679</v>
      </c>
      <c r="J210" s="8">
        <v>130781.737492995</v>
      </c>
      <c r="K210" s="8">
        <f>I210/1000000</f>
        <v>0.39560666789999999</v>
      </c>
      <c r="L210" s="8">
        <f>J210/1000000</f>
        <v>0.13078173749299501</v>
      </c>
      <c r="M210" t="s">
        <v>19</v>
      </c>
    </row>
    <row r="211" spans="2:13" x14ac:dyDescent="0.25">
      <c r="B211" t="s">
        <v>13</v>
      </c>
      <c r="C211" t="s">
        <v>46</v>
      </c>
      <c r="D211" t="s">
        <v>15</v>
      </c>
      <c r="E211">
        <v>2028</v>
      </c>
      <c r="F211" t="s">
        <v>53</v>
      </c>
      <c r="G211" t="s">
        <v>17</v>
      </c>
      <c r="H211" t="s">
        <v>18</v>
      </c>
      <c r="I211" s="8">
        <v>396432.91560000001</v>
      </c>
      <c r="J211" s="8">
        <v>131833.409283844</v>
      </c>
      <c r="K211" s="8">
        <f>I211/1000000</f>
        <v>0.39643291559999999</v>
      </c>
      <c r="L211" s="8">
        <f>J211/1000000</f>
        <v>0.13183340928384399</v>
      </c>
      <c r="M211" t="s">
        <v>19</v>
      </c>
    </row>
    <row r="212" spans="2:13" x14ac:dyDescent="0.25">
      <c r="B212" t="s">
        <v>13</v>
      </c>
      <c r="C212" t="s">
        <v>46</v>
      </c>
      <c r="D212" t="s">
        <v>15</v>
      </c>
      <c r="E212">
        <v>2029</v>
      </c>
      <c r="F212" t="s">
        <v>53</v>
      </c>
      <c r="G212" t="s">
        <v>17</v>
      </c>
      <c r="H212" t="s">
        <v>18</v>
      </c>
      <c r="I212" s="8">
        <v>401910.74060000002</v>
      </c>
      <c r="J212" s="8">
        <v>133655.055064421</v>
      </c>
      <c r="K212" s="8">
        <f>I212/1000000</f>
        <v>0.40191074060000004</v>
      </c>
      <c r="L212" s="8">
        <f>J212/1000000</f>
        <v>0.13365505506442099</v>
      </c>
      <c r="M212" t="s">
        <v>19</v>
      </c>
    </row>
    <row r="213" spans="2:13" x14ac:dyDescent="0.25">
      <c r="B213" t="s">
        <v>13</v>
      </c>
      <c r="C213" t="s">
        <v>46</v>
      </c>
      <c r="D213" t="s">
        <v>15</v>
      </c>
      <c r="E213">
        <v>2030</v>
      </c>
      <c r="F213" t="s">
        <v>53</v>
      </c>
      <c r="G213" t="s">
        <v>17</v>
      </c>
      <c r="H213" t="s">
        <v>18</v>
      </c>
      <c r="I213" s="8">
        <v>404593.4718</v>
      </c>
      <c r="J213" s="8">
        <v>134547.19490467</v>
      </c>
      <c r="K213" s="8">
        <f>I213/1000000</f>
        <v>0.40459347179999999</v>
      </c>
      <c r="L213" s="8">
        <f>J213/1000000</f>
        <v>0.13454719490467001</v>
      </c>
      <c r="M213" t="s">
        <v>19</v>
      </c>
    </row>
    <row r="214" spans="2:13" x14ac:dyDescent="0.25">
      <c r="B214" t="s">
        <v>13</v>
      </c>
      <c r="C214" t="s">
        <v>46</v>
      </c>
      <c r="D214" t="s">
        <v>100</v>
      </c>
      <c r="E214">
        <v>2030</v>
      </c>
      <c r="F214" t="s">
        <v>53</v>
      </c>
      <c r="G214" t="s">
        <v>17</v>
      </c>
      <c r="H214" t="s">
        <v>18</v>
      </c>
      <c r="I214" s="8">
        <v>1729490.9793</v>
      </c>
      <c r="J214" s="8">
        <v>769144.87358409003</v>
      </c>
      <c r="K214" s="8">
        <f>I214/1000000</f>
        <v>1.7294909793</v>
      </c>
      <c r="L214" s="8">
        <f>J214/1000000</f>
        <v>0.76914487358409001</v>
      </c>
      <c r="M214" t="s">
        <v>19</v>
      </c>
    </row>
    <row r="215" spans="2:13" x14ac:dyDescent="0.25">
      <c r="B215" t="s">
        <v>13</v>
      </c>
      <c r="C215" t="s">
        <v>46</v>
      </c>
      <c r="D215" t="s">
        <v>100</v>
      </c>
      <c r="E215">
        <v>2029</v>
      </c>
      <c r="F215" t="s">
        <v>53</v>
      </c>
      <c r="G215" t="s">
        <v>17</v>
      </c>
      <c r="H215" t="s">
        <v>18</v>
      </c>
      <c r="I215" s="8">
        <v>1699382.4659</v>
      </c>
      <c r="J215" s="8">
        <v>749092.14313613495</v>
      </c>
      <c r="K215" s="8">
        <f>I215/1000000</f>
        <v>1.6993824658999999</v>
      </c>
      <c r="L215" s="8">
        <f>J215/1000000</f>
        <v>0.74909214313613492</v>
      </c>
      <c r="M215" t="s">
        <v>19</v>
      </c>
    </row>
    <row r="216" spans="2:13" x14ac:dyDescent="0.25">
      <c r="B216" t="s">
        <v>13</v>
      </c>
      <c r="C216" t="s">
        <v>46</v>
      </c>
      <c r="D216" t="s">
        <v>100</v>
      </c>
      <c r="E216">
        <v>2026</v>
      </c>
      <c r="F216" t="s">
        <v>53</v>
      </c>
      <c r="G216" t="s">
        <v>17</v>
      </c>
      <c r="H216" t="s">
        <v>18</v>
      </c>
      <c r="I216" s="8">
        <v>1472073.5891</v>
      </c>
      <c r="J216" s="8">
        <v>690800</v>
      </c>
      <c r="K216" s="8">
        <f>I216/1000000</f>
        <v>1.4720735891000001</v>
      </c>
      <c r="L216" s="8">
        <f>J216/1000000</f>
        <v>0.69079999999999997</v>
      </c>
      <c r="M216" t="s">
        <v>19</v>
      </c>
    </row>
    <row r="217" spans="2:13" x14ac:dyDescent="0.25">
      <c r="B217" t="s">
        <v>13</v>
      </c>
      <c r="C217" t="s">
        <v>46</v>
      </c>
      <c r="D217" t="s">
        <v>100</v>
      </c>
      <c r="E217">
        <v>2028</v>
      </c>
      <c r="F217" t="s">
        <v>53</v>
      </c>
      <c r="G217" t="s">
        <v>17</v>
      </c>
      <c r="H217" t="s">
        <v>18</v>
      </c>
      <c r="I217" s="8">
        <v>1543020.7888</v>
      </c>
      <c r="J217" s="8">
        <v>724902.988567136</v>
      </c>
      <c r="K217" s="8">
        <f>I217/1000000</f>
        <v>1.5430207888</v>
      </c>
      <c r="L217" s="8">
        <f>J217/1000000</f>
        <v>0.72490298856713598</v>
      </c>
      <c r="M217" t="s">
        <v>19</v>
      </c>
    </row>
    <row r="218" spans="2:13" x14ac:dyDescent="0.25">
      <c r="B218" t="s">
        <v>13</v>
      </c>
      <c r="C218" t="s">
        <v>46</v>
      </c>
      <c r="D218" t="s">
        <v>100</v>
      </c>
      <c r="E218">
        <v>2027</v>
      </c>
      <c r="F218" t="s">
        <v>53</v>
      </c>
      <c r="G218" t="s">
        <v>17</v>
      </c>
      <c r="H218" t="s">
        <v>18</v>
      </c>
      <c r="I218" s="8">
        <v>1512691.7246000001</v>
      </c>
      <c r="J218" s="8">
        <v>703850.51967752504</v>
      </c>
      <c r="K218" s="8">
        <f>I218/1000000</f>
        <v>1.5126917246</v>
      </c>
      <c r="L218" s="8">
        <f>J218/1000000</f>
        <v>0.70385051967752499</v>
      </c>
      <c r="M218" t="s">
        <v>19</v>
      </c>
    </row>
    <row r="219" spans="2:13" x14ac:dyDescent="0.25">
      <c r="B219" t="s">
        <v>13</v>
      </c>
      <c r="C219" t="s">
        <v>46</v>
      </c>
      <c r="D219" t="s">
        <v>72</v>
      </c>
      <c r="E219">
        <v>2030</v>
      </c>
      <c r="F219" t="s">
        <v>53</v>
      </c>
      <c r="G219" t="s">
        <v>17</v>
      </c>
      <c r="H219" t="s">
        <v>18</v>
      </c>
      <c r="I219" s="8">
        <v>2587382.659</v>
      </c>
      <c r="J219" s="8">
        <v>1202715.5009647899</v>
      </c>
      <c r="K219" s="8">
        <f>I219/1000000</f>
        <v>2.5873826590000002</v>
      </c>
      <c r="L219" s="8">
        <f>J219/1000000</f>
        <v>1.2027155009647899</v>
      </c>
      <c r="M219" t="s">
        <v>19</v>
      </c>
    </row>
    <row r="220" spans="2:13" x14ac:dyDescent="0.25">
      <c r="B220" t="s">
        <v>13</v>
      </c>
      <c r="C220" t="s">
        <v>46</v>
      </c>
      <c r="D220" t="s">
        <v>72</v>
      </c>
      <c r="E220">
        <v>2026</v>
      </c>
      <c r="F220" t="s">
        <v>53</v>
      </c>
      <c r="G220" t="s">
        <v>17</v>
      </c>
      <c r="H220" t="s">
        <v>18</v>
      </c>
      <c r="I220" s="8">
        <v>3075901.0995</v>
      </c>
      <c r="J220" s="8">
        <v>1077400</v>
      </c>
      <c r="K220" s="8">
        <f>I220/1000000</f>
        <v>3.0759010994999998</v>
      </c>
      <c r="L220" s="8">
        <f>J220/1000000</f>
        <v>1.0773999999999999</v>
      </c>
      <c r="M220" t="s">
        <v>19</v>
      </c>
    </row>
    <row r="221" spans="2:13" x14ac:dyDescent="0.25">
      <c r="B221" t="s">
        <v>13</v>
      </c>
      <c r="C221" t="s">
        <v>46</v>
      </c>
      <c r="D221" t="s">
        <v>72</v>
      </c>
      <c r="E221">
        <v>2027</v>
      </c>
      <c r="F221" t="s">
        <v>53</v>
      </c>
      <c r="G221" t="s">
        <v>17</v>
      </c>
      <c r="H221" t="s">
        <v>18</v>
      </c>
      <c r="I221" s="8">
        <v>2690086.2998000002</v>
      </c>
      <c r="J221" s="8">
        <v>1095765.0479987599</v>
      </c>
      <c r="K221" s="8">
        <f>I221/1000000</f>
        <v>2.6900862998000004</v>
      </c>
      <c r="L221" s="8">
        <f>J221/1000000</f>
        <v>1.09576504799876</v>
      </c>
      <c r="M221" t="s">
        <v>19</v>
      </c>
    </row>
    <row r="222" spans="2:13" x14ac:dyDescent="0.25">
      <c r="B222" t="s">
        <v>13</v>
      </c>
      <c r="C222" t="s">
        <v>46</v>
      </c>
      <c r="D222" t="s">
        <v>72</v>
      </c>
      <c r="E222">
        <v>2028</v>
      </c>
      <c r="F222" t="s">
        <v>53</v>
      </c>
      <c r="G222" t="s">
        <v>17</v>
      </c>
      <c r="H222" t="s">
        <v>18</v>
      </c>
      <c r="I222" s="8">
        <v>2756398.1850999999</v>
      </c>
      <c r="J222" s="8">
        <v>1128856.2367743501</v>
      </c>
      <c r="K222" s="8">
        <f>I222/1000000</f>
        <v>2.7563981850999997</v>
      </c>
      <c r="L222" s="8">
        <f>J222/1000000</f>
        <v>1.12885623677435</v>
      </c>
      <c r="M222" t="s">
        <v>19</v>
      </c>
    </row>
    <row r="223" spans="2:13" x14ac:dyDescent="0.25">
      <c r="B223" t="s">
        <v>13</v>
      </c>
      <c r="C223" t="s">
        <v>46</v>
      </c>
      <c r="D223" t="s">
        <v>76</v>
      </c>
      <c r="E223">
        <v>2028</v>
      </c>
      <c r="F223" t="s">
        <v>53</v>
      </c>
      <c r="G223" t="s">
        <v>17</v>
      </c>
      <c r="H223" t="s">
        <v>18</v>
      </c>
      <c r="I223" s="8">
        <v>4279588.1830000002</v>
      </c>
      <c r="J223" s="8">
        <v>1330913.69266326</v>
      </c>
      <c r="K223" s="8">
        <f>I223/1000000</f>
        <v>4.2795881830000004</v>
      </c>
      <c r="L223" s="8">
        <f>J223/1000000</f>
        <v>1.3309136926632601</v>
      </c>
      <c r="M223" t="s">
        <v>39</v>
      </c>
    </row>
    <row r="224" spans="2:13" x14ac:dyDescent="0.25">
      <c r="B224" t="s">
        <v>13</v>
      </c>
      <c r="C224" t="s">
        <v>46</v>
      </c>
      <c r="D224" t="s">
        <v>76</v>
      </c>
      <c r="E224">
        <v>2029</v>
      </c>
      <c r="F224" t="s">
        <v>53</v>
      </c>
      <c r="G224" t="s">
        <v>17</v>
      </c>
      <c r="H224" t="s">
        <v>18</v>
      </c>
      <c r="I224" s="8">
        <v>4106526.0734000001</v>
      </c>
      <c r="J224" s="8">
        <v>1277092.92263919</v>
      </c>
      <c r="K224" s="8">
        <f>I224/1000000</f>
        <v>4.1065260734000004</v>
      </c>
      <c r="L224" s="8">
        <f>J224/1000000</f>
        <v>1.2770929226391901</v>
      </c>
      <c r="M224" t="s">
        <v>39</v>
      </c>
    </row>
    <row r="225" spans="2:13" x14ac:dyDescent="0.25">
      <c r="B225" t="s">
        <v>13</v>
      </c>
      <c r="C225" t="s">
        <v>46</v>
      </c>
      <c r="D225" t="s">
        <v>76</v>
      </c>
      <c r="E225">
        <v>2030</v>
      </c>
      <c r="F225" t="s">
        <v>53</v>
      </c>
      <c r="G225" t="s">
        <v>17</v>
      </c>
      <c r="H225" t="s">
        <v>18</v>
      </c>
      <c r="I225" s="8">
        <v>4174136.4443000001</v>
      </c>
      <c r="J225" s="8">
        <v>1298119.1439868601</v>
      </c>
      <c r="K225" s="8">
        <f>I225/1000000</f>
        <v>4.1741364443000002</v>
      </c>
      <c r="L225" s="8">
        <f>J225/1000000</f>
        <v>1.29811914398686</v>
      </c>
      <c r="M225" t="s">
        <v>39</v>
      </c>
    </row>
    <row r="226" spans="2:13" x14ac:dyDescent="0.25">
      <c r="B226" t="s">
        <v>13</v>
      </c>
      <c r="C226" t="s">
        <v>46</v>
      </c>
      <c r="D226" t="s">
        <v>76</v>
      </c>
      <c r="E226">
        <v>2027</v>
      </c>
      <c r="F226" t="s">
        <v>53</v>
      </c>
      <c r="G226" t="s">
        <v>17</v>
      </c>
      <c r="H226" t="s">
        <v>18</v>
      </c>
      <c r="I226" s="8">
        <v>3056807.5416000001</v>
      </c>
      <c r="J226" s="8">
        <v>937562.75921524095</v>
      </c>
      <c r="K226" s="8">
        <f>I226/1000000</f>
        <v>3.0568075416</v>
      </c>
      <c r="L226" s="8">
        <f>J226/1000000</f>
        <v>0.9375627592152409</v>
      </c>
      <c r="M226" t="s">
        <v>39</v>
      </c>
    </row>
    <row r="227" spans="2:13" x14ac:dyDescent="0.25">
      <c r="B227" t="s">
        <v>13</v>
      </c>
      <c r="C227" t="s">
        <v>46</v>
      </c>
      <c r="D227" t="s">
        <v>103</v>
      </c>
      <c r="E227">
        <v>2030</v>
      </c>
      <c r="F227" t="s">
        <v>53</v>
      </c>
      <c r="G227" t="s">
        <v>17</v>
      </c>
      <c r="H227" t="s">
        <v>18</v>
      </c>
      <c r="I227" s="8">
        <v>33216.490700000002</v>
      </c>
      <c r="J227" s="8">
        <v>3287.7684146073998</v>
      </c>
      <c r="K227" s="8">
        <f>I227/1000000</f>
        <v>3.3216490700000004E-2</v>
      </c>
      <c r="L227" s="8">
        <f>J227/1000000</f>
        <v>3.2877684146074E-3</v>
      </c>
      <c r="M227" t="s">
        <v>39</v>
      </c>
    </row>
    <row r="228" spans="2:13" x14ac:dyDescent="0.25">
      <c r="B228" t="s">
        <v>13</v>
      </c>
      <c r="C228" t="s">
        <v>46</v>
      </c>
      <c r="D228" t="s">
        <v>69</v>
      </c>
      <c r="E228">
        <v>2027</v>
      </c>
      <c r="F228" t="s">
        <v>53</v>
      </c>
      <c r="G228" t="s">
        <v>17</v>
      </c>
      <c r="H228" t="s">
        <v>18</v>
      </c>
      <c r="I228" s="8">
        <v>63033.777900000001</v>
      </c>
      <c r="J228" s="8">
        <v>21214.456265560799</v>
      </c>
      <c r="K228" s="8">
        <f>I228/1000000</f>
        <v>6.3033777900000004E-2</v>
      </c>
      <c r="L228" s="8">
        <f>J228/1000000</f>
        <v>2.1214456265560799E-2</v>
      </c>
      <c r="M228" t="s">
        <v>19</v>
      </c>
    </row>
    <row r="229" spans="2:13" x14ac:dyDescent="0.25">
      <c r="B229" t="s">
        <v>13</v>
      </c>
      <c r="C229" t="s">
        <v>46</v>
      </c>
      <c r="D229" t="s">
        <v>69</v>
      </c>
      <c r="E229">
        <v>2027</v>
      </c>
      <c r="F229" t="s">
        <v>53</v>
      </c>
      <c r="G229" t="s">
        <v>17</v>
      </c>
      <c r="H229" t="s">
        <v>18</v>
      </c>
      <c r="I229" s="8">
        <v>3248259.1143</v>
      </c>
      <c r="J229" s="8">
        <v>1091907.9119801</v>
      </c>
      <c r="K229" s="8">
        <f>I229/1000000</f>
        <v>3.2482591143000001</v>
      </c>
      <c r="L229" s="8">
        <f>J229/1000000</f>
        <v>1.0919079119801001</v>
      </c>
      <c r="M229" t="s">
        <v>19</v>
      </c>
    </row>
    <row r="230" spans="2:13" x14ac:dyDescent="0.25">
      <c r="B230" t="s">
        <v>13</v>
      </c>
      <c r="C230" t="s">
        <v>46</v>
      </c>
      <c r="D230" t="s">
        <v>72</v>
      </c>
      <c r="E230">
        <v>2029</v>
      </c>
      <c r="F230" t="s">
        <v>53</v>
      </c>
      <c r="G230" t="s">
        <v>17</v>
      </c>
      <c r="H230" t="s">
        <v>18</v>
      </c>
      <c r="I230" s="8">
        <v>2522800.7266000002</v>
      </c>
      <c r="J230" s="8">
        <v>1172695.32173298</v>
      </c>
      <c r="K230" s="8">
        <f>I230/1000000</f>
        <v>2.5228007266000003</v>
      </c>
      <c r="L230" s="8">
        <f>J230/1000000</f>
        <v>1.1726953217329799</v>
      </c>
      <c r="M230" t="s">
        <v>19</v>
      </c>
    </row>
    <row r="231" spans="2:13" x14ac:dyDescent="0.25">
      <c r="B231" t="s">
        <v>13</v>
      </c>
      <c r="C231" t="s">
        <v>46</v>
      </c>
      <c r="D231" t="s">
        <v>102</v>
      </c>
      <c r="E231">
        <v>2030</v>
      </c>
      <c r="F231" t="s">
        <v>53</v>
      </c>
      <c r="G231" t="s">
        <v>17</v>
      </c>
      <c r="H231" t="s">
        <v>18</v>
      </c>
      <c r="I231" s="8">
        <v>43630.199399999998</v>
      </c>
      <c r="J231" s="8">
        <v>97795.424100404605</v>
      </c>
      <c r="K231" s="8">
        <f>I231/1000000</f>
        <v>4.36301994E-2</v>
      </c>
      <c r="L231" s="8">
        <f>J231/1000000</f>
        <v>9.7795424100404607E-2</v>
      </c>
      <c r="M231" t="s">
        <v>19</v>
      </c>
    </row>
    <row r="232" spans="2:13" x14ac:dyDescent="0.25">
      <c r="B232" t="s">
        <v>13</v>
      </c>
      <c r="C232" t="s">
        <v>46</v>
      </c>
      <c r="D232" t="s">
        <v>76</v>
      </c>
      <c r="E232">
        <v>2026</v>
      </c>
      <c r="F232" t="s">
        <v>53</v>
      </c>
      <c r="G232" t="s">
        <v>17</v>
      </c>
      <c r="H232" t="s">
        <v>18</v>
      </c>
      <c r="I232" s="8">
        <v>4191483.4611999998</v>
      </c>
      <c r="J232" s="8">
        <v>991850</v>
      </c>
      <c r="K232" s="8">
        <f>I232/1000000</f>
        <v>4.1914834611999998</v>
      </c>
      <c r="L232" s="8">
        <f>J232/1000000</f>
        <v>0.99185000000000001</v>
      </c>
      <c r="M232" t="s">
        <v>39</v>
      </c>
    </row>
    <row r="233" spans="2:13" x14ac:dyDescent="0.25">
      <c r="B233" t="s">
        <v>13</v>
      </c>
      <c r="C233" t="s">
        <v>46</v>
      </c>
      <c r="D233" t="s">
        <v>103</v>
      </c>
      <c r="E233">
        <v>2029</v>
      </c>
      <c r="F233" t="s">
        <v>53</v>
      </c>
      <c r="G233" t="s">
        <v>17</v>
      </c>
      <c r="H233" t="s">
        <v>18</v>
      </c>
      <c r="I233" s="8">
        <v>27371.4836</v>
      </c>
      <c r="J233" s="8">
        <v>2713.7273517911999</v>
      </c>
      <c r="K233" s="8">
        <f>I233/1000000</f>
        <v>2.73714836E-2</v>
      </c>
      <c r="L233" s="8">
        <f>J233/1000000</f>
        <v>2.7137273517911999E-3</v>
      </c>
      <c r="M233" t="s">
        <v>39</v>
      </c>
    </row>
    <row r="234" spans="2:13" x14ac:dyDescent="0.25">
      <c r="B234" t="s">
        <v>13</v>
      </c>
      <c r="C234" t="s">
        <v>14</v>
      </c>
      <c r="D234" t="s">
        <v>52</v>
      </c>
      <c r="E234">
        <v>2026</v>
      </c>
      <c r="F234" t="s">
        <v>53</v>
      </c>
      <c r="G234" t="s">
        <v>17</v>
      </c>
      <c r="H234" t="s">
        <v>18</v>
      </c>
      <c r="I234" s="8">
        <v>2331198.5063</v>
      </c>
      <c r="J234" s="8">
        <v>2303877.8300999999</v>
      </c>
      <c r="K234" s="8">
        <f>I234/1000000</f>
        <v>2.3311985062999998</v>
      </c>
      <c r="L234" s="8">
        <f>J234/1000000</f>
        <v>2.3038778300999998</v>
      </c>
      <c r="M234" t="s">
        <v>19</v>
      </c>
    </row>
    <row r="235" spans="2:13" x14ac:dyDescent="0.25">
      <c r="B235" t="s">
        <v>13</v>
      </c>
      <c r="C235" t="s">
        <v>14</v>
      </c>
      <c r="D235" t="s">
        <v>52</v>
      </c>
      <c r="E235">
        <v>2030</v>
      </c>
      <c r="F235" t="s">
        <v>53</v>
      </c>
      <c r="G235" t="s">
        <v>17</v>
      </c>
      <c r="H235" t="s">
        <v>18</v>
      </c>
      <c r="I235" s="8">
        <v>2601246.0584999998</v>
      </c>
      <c r="J235" s="8">
        <v>2150161.1071875002</v>
      </c>
      <c r="K235" s="8">
        <f>I235/1000000</f>
        <v>2.6012460584999997</v>
      </c>
      <c r="L235" s="8">
        <f>J235/1000000</f>
        <v>2.1501611071875004</v>
      </c>
      <c r="M235" t="s">
        <v>19</v>
      </c>
    </row>
    <row r="236" spans="2:13" x14ac:dyDescent="0.25">
      <c r="B236" t="s">
        <v>13</v>
      </c>
      <c r="C236" t="s">
        <v>14</v>
      </c>
      <c r="D236" t="s">
        <v>15</v>
      </c>
      <c r="E236">
        <v>2026</v>
      </c>
      <c r="F236" t="s">
        <v>27</v>
      </c>
      <c r="G236" t="s">
        <v>17</v>
      </c>
      <c r="H236" t="s">
        <v>18</v>
      </c>
      <c r="I236" s="8">
        <v>1376.6011000000001</v>
      </c>
      <c r="J236" s="8">
        <v>0</v>
      </c>
      <c r="K236" s="8">
        <f>I236/1000000</f>
        <v>1.3766011000000001E-3</v>
      </c>
      <c r="L236" s="8">
        <f>J236/1000000</f>
        <v>0</v>
      </c>
      <c r="M236" t="s">
        <v>19</v>
      </c>
    </row>
    <row r="237" spans="2:13" x14ac:dyDescent="0.25">
      <c r="B237" t="s">
        <v>13</v>
      </c>
      <c r="C237" t="s">
        <v>46</v>
      </c>
      <c r="D237" t="s">
        <v>69</v>
      </c>
      <c r="E237">
        <v>2029</v>
      </c>
      <c r="F237" t="s">
        <v>27</v>
      </c>
      <c r="G237" t="s">
        <v>17</v>
      </c>
      <c r="H237" t="s">
        <v>18</v>
      </c>
      <c r="I237" s="8">
        <v>2211980.0636</v>
      </c>
      <c r="J237" s="8">
        <v>968404.48720788199</v>
      </c>
      <c r="K237" s="8">
        <f>I237/1000000</f>
        <v>2.2119800636</v>
      </c>
      <c r="L237" s="8">
        <f>J237/1000000</f>
        <v>0.96840448720788197</v>
      </c>
      <c r="M237" t="s">
        <v>19</v>
      </c>
    </row>
    <row r="238" spans="2:13" x14ac:dyDescent="0.25">
      <c r="B238" t="s">
        <v>13</v>
      </c>
      <c r="C238" t="s">
        <v>46</v>
      </c>
      <c r="D238" t="s">
        <v>69</v>
      </c>
      <c r="E238">
        <v>2030</v>
      </c>
      <c r="F238" t="s">
        <v>27</v>
      </c>
      <c r="G238" t="s">
        <v>17</v>
      </c>
      <c r="H238" t="s">
        <v>18</v>
      </c>
      <c r="I238" s="8">
        <v>1812118.517</v>
      </c>
      <c r="J238" s="8">
        <v>791489.86837613396</v>
      </c>
      <c r="K238" s="8">
        <f>I238/1000000</f>
        <v>1.812118517</v>
      </c>
      <c r="L238" s="8">
        <f>J238/1000000</f>
        <v>0.791489868376134</v>
      </c>
      <c r="M238" t="s">
        <v>19</v>
      </c>
    </row>
    <row r="239" spans="2:13" x14ac:dyDescent="0.25">
      <c r="B239" t="s">
        <v>13</v>
      </c>
      <c r="C239" t="s">
        <v>46</v>
      </c>
      <c r="D239" t="s">
        <v>73</v>
      </c>
      <c r="E239">
        <v>2026</v>
      </c>
      <c r="F239" t="s">
        <v>27</v>
      </c>
      <c r="G239" t="s">
        <v>17</v>
      </c>
      <c r="H239" t="s">
        <v>18</v>
      </c>
      <c r="I239" s="8">
        <v>1103637.6666000001</v>
      </c>
      <c r="J239" s="8">
        <v>785150</v>
      </c>
      <c r="K239" s="8">
        <f>I239/1000000</f>
        <v>1.1036376666000001</v>
      </c>
      <c r="L239" s="8">
        <f>J239/1000000</f>
        <v>0.78515000000000001</v>
      </c>
      <c r="M239" t="s">
        <v>19</v>
      </c>
    </row>
    <row r="240" spans="2:13" x14ac:dyDescent="0.25">
      <c r="B240" t="s">
        <v>13</v>
      </c>
      <c r="C240" t="s">
        <v>46</v>
      </c>
      <c r="D240" t="s">
        <v>73</v>
      </c>
      <c r="E240">
        <v>2027</v>
      </c>
      <c r="F240" t="s">
        <v>27</v>
      </c>
      <c r="G240" t="s">
        <v>17</v>
      </c>
      <c r="H240" t="s">
        <v>18</v>
      </c>
      <c r="I240" s="8">
        <v>1047711.1108</v>
      </c>
      <c r="J240" s="8">
        <v>751457.23300875002</v>
      </c>
      <c r="K240" s="8">
        <f>I240/1000000</f>
        <v>1.0477111108000001</v>
      </c>
      <c r="L240" s="8">
        <f>J240/1000000</f>
        <v>0.75145723300875</v>
      </c>
      <c r="M240" t="s">
        <v>19</v>
      </c>
    </row>
    <row r="241" spans="2:13" x14ac:dyDescent="0.25">
      <c r="B241" t="s">
        <v>13</v>
      </c>
      <c r="C241" t="s">
        <v>46</v>
      </c>
      <c r="D241" t="s">
        <v>73</v>
      </c>
      <c r="E241">
        <v>2028</v>
      </c>
      <c r="F241" t="s">
        <v>27</v>
      </c>
      <c r="G241" t="s">
        <v>17</v>
      </c>
      <c r="H241" t="s">
        <v>18</v>
      </c>
      <c r="I241" s="8">
        <v>497071.32559999998</v>
      </c>
      <c r="J241" s="8">
        <v>356705.27629332599</v>
      </c>
      <c r="K241" s="8">
        <f>I241/1000000</f>
        <v>0.4970713256</v>
      </c>
      <c r="L241" s="8">
        <f>J241/1000000</f>
        <v>0.35670527629332599</v>
      </c>
      <c r="M241" t="s">
        <v>19</v>
      </c>
    </row>
    <row r="242" spans="2:13" x14ac:dyDescent="0.25">
      <c r="B242" t="s">
        <v>13</v>
      </c>
      <c r="C242" t="s">
        <v>46</v>
      </c>
      <c r="D242" t="s">
        <v>70</v>
      </c>
      <c r="E242">
        <v>2026</v>
      </c>
      <c r="F242" t="s">
        <v>27</v>
      </c>
      <c r="G242" t="s">
        <v>17</v>
      </c>
      <c r="H242" t="s">
        <v>18</v>
      </c>
      <c r="I242" s="8">
        <v>599231.97420000006</v>
      </c>
      <c r="J242" s="8">
        <v>347200</v>
      </c>
      <c r="K242" s="8">
        <f>I242/1000000</f>
        <v>0.59923197420000007</v>
      </c>
      <c r="L242" s="8">
        <f>J242/1000000</f>
        <v>0.34720000000000001</v>
      </c>
      <c r="M242" t="s">
        <v>19</v>
      </c>
    </row>
    <row r="243" spans="2:13" x14ac:dyDescent="0.25">
      <c r="B243" t="s">
        <v>13</v>
      </c>
      <c r="C243" t="s">
        <v>46</v>
      </c>
      <c r="D243" t="s">
        <v>70</v>
      </c>
      <c r="E243">
        <v>2027</v>
      </c>
      <c r="F243" t="s">
        <v>27</v>
      </c>
      <c r="G243" t="s">
        <v>17</v>
      </c>
      <c r="H243" t="s">
        <v>18</v>
      </c>
      <c r="I243" s="8">
        <v>484040.63939999999</v>
      </c>
      <c r="J243" s="8">
        <v>346496.86852912698</v>
      </c>
      <c r="K243" s="8">
        <f>I243/1000000</f>
        <v>0.48404063939999997</v>
      </c>
      <c r="L243" s="8">
        <f>J243/1000000</f>
        <v>0.34649686852912698</v>
      </c>
      <c r="M243" t="s">
        <v>19</v>
      </c>
    </row>
    <row r="244" spans="2:13" x14ac:dyDescent="0.25">
      <c r="B244" t="s">
        <v>13</v>
      </c>
      <c r="C244" t="s">
        <v>46</v>
      </c>
      <c r="D244" t="s">
        <v>15</v>
      </c>
      <c r="E244">
        <v>2026</v>
      </c>
      <c r="F244" t="s">
        <v>27</v>
      </c>
      <c r="G244" t="s">
        <v>17</v>
      </c>
      <c r="H244" t="s">
        <v>18</v>
      </c>
      <c r="I244" s="8">
        <v>816223.62089999998</v>
      </c>
      <c r="J244" s="8">
        <v>154000</v>
      </c>
      <c r="K244" s="8">
        <f>I244/1000000</f>
        <v>0.8162236209</v>
      </c>
      <c r="L244" s="8">
        <f>J244/1000000</f>
        <v>0.154</v>
      </c>
      <c r="M244" t="s">
        <v>19</v>
      </c>
    </row>
    <row r="245" spans="2:13" x14ac:dyDescent="0.25">
      <c r="B245" t="s">
        <v>13</v>
      </c>
      <c r="C245" t="s">
        <v>46</v>
      </c>
      <c r="D245" t="s">
        <v>15</v>
      </c>
      <c r="E245">
        <v>2027</v>
      </c>
      <c r="F245" t="s">
        <v>27</v>
      </c>
      <c r="G245" t="s">
        <v>17</v>
      </c>
      <c r="H245" t="s">
        <v>18</v>
      </c>
      <c r="I245" s="8">
        <v>715607.45649999997</v>
      </c>
      <c r="J245" s="8">
        <v>135016.3959375</v>
      </c>
      <c r="K245" s="8">
        <f>I245/1000000</f>
        <v>0.71560745650000002</v>
      </c>
      <c r="L245" s="8">
        <f>J245/1000000</f>
        <v>0.13501639593750001</v>
      </c>
      <c r="M245" t="s">
        <v>19</v>
      </c>
    </row>
    <row r="246" spans="2:13" x14ac:dyDescent="0.25">
      <c r="B246" t="s">
        <v>13</v>
      </c>
      <c r="C246" t="s">
        <v>46</v>
      </c>
      <c r="D246" t="s">
        <v>15</v>
      </c>
      <c r="E246">
        <v>2029</v>
      </c>
      <c r="F246" t="s">
        <v>27</v>
      </c>
      <c r="G246" t="s">
        <v>17</v>
      </c>
      <c r="H246" t="s">
        <v>18</v>
      </c>
      <c r="I246" s="8">
        <v>361310.46090000001</v>
      </c>
      <c r="J246" s="8">
        <v>120342.126676945</v>
      </c>
      <c r="K246" s="8">
        <f>I246/1000000</f>
        <v>0.36131046090000002</v>
      </c>
      <c r="L246" s="8">
        <f>J246/1000000</f>
        <v>0.12034212667694501</v>
      </c>
      <c r="M246" t="s">
        <v>19</v>
      </c>
    </row>
    <row r="247" spans="2:13" x14ac:dyDescent="0.25">
      <c r="B247" t="s">
        <v>13</v>
      </c>
      <c r="C247" t="s">
        <v>46</v>
      </c>
      <c r="D247" t="s">
        <v>15</v>
      </c>
      <c r="E247">
        <v>2030</v>
      </c>
      <c r="F247" t="s">
        <v>27</v>
      </c>
      <c r="G247" t="s">
        <v>17</v>
      </c>
      <c r="H247" t="s">
        <v>18</v>
      </c>
      <c r="I247" s="8">
        <v>330528.65139999997</v>
      </c>
      <c r="J247" s="8">
        <v>110089.590939681</v>
      </c>
      <c r="K247" s="8">
        <f>I247/1000000</f>
        <v>0.33052865139999998</v>
      </c>
      <c r="L247" s="8">
        <f>J247/1000000</f>
        <v>0.110089590939681</v>
      </c>
      <c r="M247" t="s">
        <v>19</v>
      </c>
    </row>
    <row r="248" spans="2:13" x14ac:dyDescent="0.25">
      <c r="B248" t="s">
        <v>13</v>
      </c>
      <c r="C248" t="s">
        <v>46</v>
      </c>
      <c r="D248" t="s">
        <v>100</v>
      </c>
      <c r="E248">
        <v>2026</v>
      </c>
      <c r="F248" t="s">
        <v>27</v>
      </c>
      <c r="G248" t="s">
        <v>17</v>
      </c>
      <c r="H248" t="s">
        <v>18</v>
      </c>
      <c r="I248" s="8">
        <v>1419940.9177000001</v>
      </c>
      <c r="J248" s="8">
        <v>666900</v>
      </c>
      <c r="K248" s="8">
        <f>I248/1000000</f>
        <v>1.4199409177000002</v>
      </c>
      <c r="L248" s="8">
        <f>J248/1000000</f>
        <v>0.66690000000000005</v>
      </c>
      <c r="M248" t="s">
        <v>19</v>
      </c>
    </row>
    <row r="249" spans="2:13" x14ac:dyDescent="0.25">
      <c r="B249" t="s">
        <v>13</v>
      </c>
      <c r="C249" t="s">
        <v>46</v>
      </c>
      <c r="D249" t="s">
        <v>100</v>
      </c>
      <c r="E249">
        <v>2029</v>
      </c>
      <c r="F249" t="s">
        <v>27</v>
      </c>
      <c r="G249" t="s">
        <v>17</v>
      </c>
      <c r="H249" t="s">
        <v>18</v>
      </c>
      <c r="I249" s="8">
        <v>1077285.605</v>
      </c>
      <c r="J249" s="8">
        <v>474870.25364794099</v>
      </c>
      <c r="K249" s="8">
        <f>I249/1000000</f>
        <v>1.0772856049999999</v>
      </c>
      <c r="L249" s="8">
        <f>J249/1000000</f>
        <v>0.474870253647941</v>
      </c>
      <c r="M249" t="s">
        <v>19</v>
      </c>
    </row>
    <row r="250" spans="2:13" x14ac:dyDescent="0.25">
      <c r="B250" t="s">
        <v>13</v>
      </c>
      <c r="C250" t="s">
        <v>46</v>
      </c>
      <c r="D250" t="s">
        <v>100</v>
      </c>
      <c r="E250">
        <v>2030</v>
      </c>
      <c r="F250" t="s">
        <v>27</v>
      </c>
      <c r="G250" t="s">
        <v>17</v>
      </c>
      <c r="H250" t="s">
        <v>18</v>
      </c>
      <c r="I250" s="8">
        <v>981329.3297</v>
      </c>
      <c r="J250" s="8">
        <v>436419.98269009398</v>
      </c>
      <c r="K250" s="8">
        <f>I250/1000000</f>
        <v>0.98132932969999997</v>
      </c>
      <c r="L250" s="8">
        <f>J250/1000000</f>
        <v>0.43641998269009397</v>
      </c>
      <c r="M250" t="s">
        <v>19</v>
      </c>
    </row>
    <row r="251" spans="2:13" x14ac:dyDescent="0.25">
      <c r="B251" t="s">
        <v>13</v>
      </c>
      <c r="C251" t="s">
        <v>46</v>
      </c>
      <c r="D251" t="s">
        <v>100</v>
      </c>
      <c r="E251">
        <v>2027</v>
      </c>
      <c r="F251" t="s">
        <v>27</v>
      </c>
      <c r="G251" t="s">
        <v>17</v>
      </c>
      <c r="H251" t="s">
        <v>18</v>
      </c>
      <c r="I251" s="8">
        <v>1152241.4575</v>
      </c>
      <c r="J251" s="8">
        <v>536134.18746937998</v>
      </c>
      <c r="K251" s="8">
        <f>I251/1000000</f>
        <v>1.1522414575</v>
      </c>
      <c r="L251" s="8">
        <f>J251/1000000</f>
        <v>0.53613418746938002</v>
      </c>
      <c r="M251" t="s">
        <v>19</v>
      </c>
    </row>
    <row r="252" spans="2:13" x14ac:dyDescent="0.25">
      <c r="B252" t="s">
        <v>13</v>
      </c>
      <c r="C252" t="s">
        <v>46</v>
      </c>
      <c r="D252" t="s">
        <v>100</v>
      </c>
      <c r="E252">
        <v>2028</v>
      </c>
      <c r="F252" t="s">
        <v>27</v>
      </c>
      <c r="G252" t="s">
        <v>17</v>
      </c>
      <c r="H252" t="s">
        <v>18</v>
      </c>
      <c r="I252" s="8">
        <v>1080061.1783</v>
      </c>
      <c r="J252" s="8">
        <v>507407.01724186901</v>
      </c>
      <c r="K252" s="8">
        <f>I252/1000000</f>
        <v>1.0800611783</v>
      </c>
      <c r="L252" s="8">
        <f>J252/1000000</f>
        <v>0.50740701724186899</v>
      </c>
      <c r="M252" t="s">
        <v>19</v>
      </c>
    </row>
    <row r="253" spans="2:13" x14ac:dyDescent="0.25">
      <c r="B253" t="s">
        <v>13</v>
      </c>
      <c r="C253" t="s">
        <v>46</v>
      </c>
      <c r="D253" t="s">
        <v>72</v>
      </c>
      <c r="E253">
        <v>2026</v>
      </c>
      <c r="F253" t="s">
        <v>27</v>
      </c>
      <c r="G253" t="s">
        <v>17</v>
      </c>
      <c r="H253" t="s">
        <v>18</v>
      </c>
      <c r="I253" s="8">
        <v>2789057.6217999998</v>
      </c>
      <c r="J253" s="8">
        <v>785150</v>
      </c>
      <c r="K253" s="8">
        <f>I253/1000000</f>
        <v>2.7890576218000001</v>
      </c>
      <c r="L253" s="8">
        <f>J253/1000000</f>
        <v>0.78515000000000001</v>
      </c>
      <c r="M253" t="s">
        <v>19</v>
      </c>
    </row>
    <row r="254" spans="2:13" x14ac:dyDescent="0.25">
      <c r="B254" t="s">
        <v>13</v>
      </c>
      <c r="C254" t="s">
        <v>46</v>
      </c>
      <c r="D254" t="s">
        <v>72</v>
      </c>
      <c r="E254">
        <v>2027</v>
      </c>
      <c r="F254" t="s">
        <v>27</v>
      </c>
      <c r="G254" t="s">
        <v>17</v>
      </c>
      <c r="H254" t="s">
        <v>18</v>
      </c>
      <c r="I254" s="8">
        <v>2658868.7596999998</v>
      </c>
      <c r="J254" s="8">
        <v>748500.41909734602</v>
      </c>
      <c r="K254" s="8">
        <f>I254/1000000</f>
        <v>2.6588687596999998</v>
      </c>
      <c r="L254" s="8">
        <f>J254/1000000</f>
        <v>0.74850041909734599</v>
      </c>
      <c r="M254" t="s">
        <v>19</v>
      </c>
    </row>
    <row r="255" spans="2:13" x14ac:dyDescent="0.25">
      <c r="B255" t="s">
        <v>13</v>
      </c>
      <c r="C255" t="s">
        <v>46</v>
      </c>
      <c r="D255" t="s">
        <v>72</v>
      </c>
      <c r="E255">
        <v>2028</v>
      </c>
      <c r="F255" t="s">
        <v>27</v>
      </c>
      <c r="G255" t="s">
        <v>17</v>
      </c>
      <c r="H255" t="s">
        <v>18</v>
      </c>
      <c r="I255" s="8">
        <v>2482257.0661999998</v>
      </c>
      <c r="J255" s="8">
        <v>708285.24941773003</v>
      </c>
      <c r="K255" s="8">
        <f>I255/1000000</f>
        <v>2.4822570661999999</v>
      </c>
      <c r="L255" s="8">
        <f>J255/1000000</f>
        <v>0.70828524941773008</v>
      </c>
      <c r="M255" t="s">
        <v>19</v>
      </c>
    </row>
    <row r="256" spans="2:13" x14ac:dyDescent="0.25">
      <c r="B256" t="s">
        <v>13</v>
      </c>
      <c r="C256" t="s">
        <v>46</v>
      </c>
      <c r="D256" t="s">
        <v>72</v>
      </c>
      <c r="E256">
        <v>2029</v>
      </c>
      <c r="F256" t="s">
        <v>27</v>
      </c>
      <c r="G256" t="s">
        <v>17</v>
      </c>
      <c r="H256" t="s">
        <v>18</v>
      </c>
      <c r="I256" s="8">
        <v>1461134.7797000001</v>
      </c>
      <c r="J256" s="8">
        <v>662766.14167325199</v>
      </c>
      <c r="K256" s="8">
        <f>I256/1000000</f>
        <v>1.4611347797000001</v>
      </c>
      <c r="L256" s="8">
        <f>J256/1000000</f>
        <v>0.66276614167325199</v>
      </c>
      <c r="M256" t="s">
        <v>19</v>
      </c>
    </row>
    <row r="257" spans="2:13" x14ac:dyDescent="0.25">
      <c r="B257" t="s">
        <v>13</v>
      </c>
      <c r="C257" t="s">
        <v>46</v>
      </c>
      <c r="D257" t="s">
        <v>72</v>
      </c>
      <c r="E257">
        <v>2030</v>
      </c>
      <c r="F257" t="s">
        <v>27</v>
      </c>
      <c r="G257" t="s">
        <v>17</v>
      </c>
      <c r="H257" t="s">
        <v>18</v>
      </c>
      <c r="I257" s="8">
        <v>1342820.4164</v>
      </c>
      <c r="J257" s="8">
        <v>609099.11850935302</v>
      </c>
      <c r="K257" s="8">
        <f>I257/1000000</f>
        <v>1.3428204163999999</v>
      </c>
      <c r="L257" s="8">
        <f>J257/1000000</f>
        <v>0.60909911850935305</v>
      </c>
      <c r="M257" t="s">
        <v>19</v>
      </c>
    </row>
    <row r="258" spans="2:13" x14ac:dyDescent="0.25">
      <c r="B258" t="s">
        <v>13</v>
      </c>
      <c r="C258" t="s">
        <v>46</v>
      </c>
      <c r="D258" t="s">
        <v>103</v>
      </c>
      <c r="E258">
        <v>2030</v>
      </c>
      <c r="F258" t="s">
        <v>27</v>
      </c>
      <c r="G258" t="s">
        <v>17</v>
      </c>
      <c r="H258" t="s">
        <v>18</v>
      </c>
      <c r="I258" s="8">
        <v>1073822.2608</v>
      </c>
      <c r="J258" s="8">
        <v>104654.858783951</v>
      </c>
      <c r="K258" s="8">
        <f>I258/1000000</f>
        <v>1.0738222608000001</v>
      </c>
      <c r="L258" s="8">
        <f>J258/1000000</f>
        <v>0.104654858783951</v>
      </c>
      <c r="M258" t="s">
        <v>39</v>
      </c>
    </row>
    <row r="259" spans="2:13" x14ac:dyDescent="0.25">
      <c r="B259" t="s">
        <v>13</v>
      </c>
      <c r="C259" t="s">
        <v>46</v>
      </c>
      <c r="D259" t="s">
        <v>103</v>
      </c>
      <c r="E259">
        <v>2029</v>
      </c>
      <c r="F259" t="s">
        <v>27</v>
      </c>
      <c r="G259" t="s">
        <v>17</v>
      </c>
      <c r="H259" t="s">
        <v>18</v>
      </c>
      <c r="I259" s="8">
        <v>1289512.7653000001</v>
      </c>
      <c r="J259" s="8">
        <v>125676.083724276</v>
      </c>
      <c r="K259" s="8">
        <f>I259/1000000</f>
        <v>1.2895127653</v>
      </c>
      <c r="L259" s="8">
        <f>J259/1000000</f>
        <v>0.12567608372427599</v>
      </c>
      <c r="M259" t="s">
        <v>39</v>
      </c>
    </row>
    <row r="260" spans="2:13" x14ac:dyDescent="0.25">
      <c r="B260" t="s">
        <v>13</v>
      </c>
      <c r="C260" t="s">
        <v>46</v>
      </c>
      <c r="D260" t="s">
        <v>69</v>
      </c>
      <c r="E260">
        <v>2028</v>
      </c>
      <c r="F260" t="s">
        <v>27</v>
      </c>
      <c r="G260" t="s">
        <v>17</v>
      </c>
      <c r="H260" t="s">
        <v>18</v>
      </c>
      <c r="I260" s="8">
        <v>1115626.4187</v>
      </c>
      <c r="J260" s="8">
        <v>425941.39547470002</v>
      </c>
      <c r="K260" s="8">
        <f>I260/1000000</f>
        <v>1.1156264187</v>
      </c>
      <c r="L260" s="8">
        <f>J260/1000000</f>
        <v>0.4259413954747</v>
      </c>
      <c r="M260" t="s">
        <v>19</v>
      </c>
    </row>
    <row r="261" spans="2:13" x14ac:dyDescent="0.25">
      <c r="B261" t="s">
        <v>13</v>
      </c>
      <c r="C261" t="s">
        <v>46</v>
      </c>
      <c r="D261" t="s">
        <v>70</v>
      </c>
      <c r="E261">
        <v>2028</v>
      </c>
      <c r="F261" t="s">
        <v>27</v>
      </c>
      <c r="G261" t="s">
        <v>17</v>
      </c>
      <c r="H261" t="s">
        <v>18</v>
      </c>
      <c r="I261" s="8">
        <v>358142.8162</v>
      </c>
      <c r="J261" s="8">
        <v>253503.901173019</v>
      </c>
      <c r="K261" s="8">
        <f>I261/1000000</f>
        <v>0.35814281619999999</v>
      </c>
      <c r="L261" s="8">
        <f>J261/1000000</f>
        <v>0.25350390117301902</v>
      </c>
      <c r="M261" t="s">
        <v>19</v>
      </c>
    </row>
    <row r="262" spans="2:13" x14ac:dyDescent="0.25">
      <c r="B262" t="s">
        <v>13</v>
      </c>
      <c r="C262" t="s">
        <v>46</v>
      </c>
      <c r="D262" t="s">
        <v>15</v>
      </c>
      <c r="E262">
        <v>2028</v>
      </c>
      <c r="F262" t="s">
        <v>27</v>
      </c>
      <c r="G262" t="s">
        <v>17</v>
      </c>
      <c r="H262" t="s">
        <v>18</v>
      </c>
      <c r="I262" s="8">
        <v>386626.00880000001</v>
      </c>
      <c r="J262" s="8">
        <v>128774.00786111099</v>
      </c>
      <c r="K262" s="8">
        <f>I262/1000000</f>
        <v>0.38662600880000003</v>
      </c>
      <c r="L262" s="8">
        <f>J262/1000000</f>
        <v>0.12877400786111098</v>
      </c>
      <c r="M262" t="s">
        <v>19</v>
      </c>
    </row>
    <row r="263" spans="2:13" x14ac:dyDescent="0.25">
      <c r="B263" t="s">
        <v>13</v>
      </c>
      <c r="C263" t="s">
        <v>14</v>
      </c>
      <c r="D263" t="s">
        <v>105</v>
      </c>
      <c r="E263">
        <v>2030</v>
      </c>
      <c r="F263" t="s">
        <v>27</v>
      </c>
      <c r="G263" t="s">
        <v>17</v>
      </c>
      <c r="H263" t="s">
        <v>18</v>
      </c>
      <c r="I263" s="8">
        <v>4845000</v>
      </c>
      <c r="J263" s="8"/>
      <c r="K263" s="8">
        <f>I263/1000000</f>
        <v>4.8449999999999998</v>
      </c>
      <c r="L263" s="8">
        <f>J263/1000000</f>
        <v>0</v>
      </c>
      <c r="M263" t="s">
        <v>39</v>
      </c>
    </row>
    <row r="264" spans="2:13" x14ac:dyDescent="0.25">
      <c r="B264" t="s">
        <v>13</v>
      </c>
      <c r="C264" t="s">
        <v>46</v>
      </c>
      <c r="D264" t="s">
        <v>105</v>
      </c>
      <c r="E264">
        <v>2030</v>
      </c>
      <c r="F264" t="s">
        <v>27</v>
      </c>
      <c r="G264" t="s">
        <v>17</v>
      </c>
      <c r="H264" t="s">
        <v>18</v>
      </c>
      <c r="I264" s="8">
        <v>800000</v>
      </c>
      <c r="J264" s="8"/>
      <c r="K264" s="8">
        <f>I264/1000000</f>
        <v>0.8</v>
      </c>
      <c r="L264" s="8">
        <f>J264/1000000</f>
        <v>0</v>
      </c>
      <c r="M264" t="s">
        <v>39</v>
      </c>
    </row>
    <row r="265" spans="2:13" x14ac:dyDescent="0.25">
      <c r="B265" t="s">
        <v>13</v>
      </c>
      <c r="C265" t="s">
        <v>46</v>
      </c>
      <c r="D265" t="s">
        <v>103</v>
      </c>
      <c r="E265">
        <v>2028</v>
      </c>
      <c r="F265" t="s">
        <v>27</v>
      </c>
      <c r="G265" t="s">
        <v>17</v>
      </c>
      <c r="H265" t="s">
        <v>18</v>
      </c>
      <c r="I265" s="8">
        <v>913507.14020000002</v>
      </c>
      <c r="J265" s="8">
        <v>89030.526041843696</v>
      </c>
      <c r="K265" s="8">
        <f>I265/1000000</f>
        <v>0.91350714020000001</v>
      </c>
      <c r="L265" s="8">
        <f>J265/1000000</f>
        <v>8.9030526041843694E-2</v>
      </c>
      <c r="M265" t="s">
        <v>39</v>
      </c>
    </row>
    <row r="266" spans="2:13" x14ac:dyDescent="0.25">
      <c r="B266" t="s">
        <v>13</v>
      </c>
      <c r="C266" t="s">
        <v>46</v>
      </c>
      <c r="D266" t="s">
        <v>101</v>
      </c>
      <c r="E266">
        <v>2028</v>
      </c>
      <c r="F266" t="s">
        <v>27</v>
      </c>
      <c r="G266" t="s">
        <v>17</v>
      </c>
      <c r="H266" t="s">
        <v>18</v>
      </c>
      <c r="I266" s="8">
        <v>148399.647</v>
      </c>
      <c r="J266" s="8">
        <v>135341.317602141</v>
      </c>
      <c r="K266" s="8">
        <f>I266/1000000</f>
        <v>0.148399647</v>
      </c>
      <c r="L266" s="8">
        <f>J266/1000000</f>
        <v>0.13534131760214099</v>
      </c>
      <c r="M266" t="s">
        <v>39</v>
      </c>
    </row>
    <row r="267" spans="2:13" x14ac:dyDescent="0.25">
      <c r="B267" t="s">
        <v>13</v>
      </c>
      <c r="C267" t="s">
        <v>14</v>
      </c>
      <c r="D267" t="s">
        <v>52</v>
      </c>
      <c r="E267">
        <v>2028</v>
      </c>
      <c r="F267" t="s">
        <v>27</v>
      </c>
      <c r="G267" t="s">
        <v>17</v>
      </c>
      <c r="H267" t="s">
        <v>18</v>
      </c>
      <c r="I267" s="8">
        <v>1705171.2305000001</v>
      </c>
      <c r="J267" s="8">
        <v>1547970.496875</v>
      </c>
      <c r="K267" s="8">
        <f>I267/1000000</f>
        <v>1.7051712305</v>
      </c>
      <c r="L267" s="8">
        <f>J267/1000000</f>
        <v>1.5479704968749999</v>
      </c>
      <c r="M267" t="s">
        <v>19</v>
      </c>
    </row>
    <row r="268" spans="2:13" x14ac:dyDescent="0.25">
      <c r="B268" t="s">
        <v>13</v>
      </c>
      <c r="C268" t="s">
        <v>46</v>
      </c>
      <c r="D268" t="s">
        <v>101</v>
      </c>
      <c r="E268">
        <v>2029</v>
      </c>
      <c r="F268" t="s">
        <v>27</v>
      </c>
      <c r="G268" t="s">
        <v>17</v>
      </c>
      <c r="H268" t="s">
        <v>18</v>
      </c>
      <c r="I268" s="8">
        <v>251836.2254</v>
      </c>
      <c r="J268" s="8">
        <v>229676.06223871</v>
      </c>
      <c r="K268" s="8">
        <f>I268/1000000</f>
        <v>0.2518362254</v>
      </c>
      <c r="L268" s="8">
        <f>J268/1000000</f>
        <v>0.22967606223871001</v>
      </c>
      <c r="M268" t="s">
        <v>39</v>
      </c>
    </row>
    <row r="269" spans="2:13" x14ac:dyDescent="0.25">
      <c r="B269" t="s">
        <v>13</v>
      </c>
      <c r="C269" t="s">
        <v>46</v>
      </c>
      <c r="D269" t="s">
        <v>101</v>
      </c>
      <c r="E269">
        <v>2030</v>
      </c>
      <c r="F269" t="s">
        <v>27</v>
      </c>
      <c r="G269" t="s">
        <v>17</v>
      </c>
      <c r="H269" t="s">
        <v>18</v>
      </c>
      <c r="I269" s="8">
        <v>207828.88029999999</v>
      </c>
      <c r="J269" s="8">
        <v>189541.114589492</v>
      </c>
      <c r="K269" s="8">
        <f>I269/1000000</f>
        <v>0.20782888029999999</v>
      </c>
      <c r="L269" s="8">
        <f>J269/1000000</f>
        <v>0.18954111458949199</v>
      </c>
      <c r="M269" t="s">
        <v>39</v>
      </c>
    </row>
    <row r="270" spans="2:13" x14ac:dyDescent="0.25">
      <c r="B270" t="s">
        <v>13</v>
      </c>
      <c r="C270" t="s">
        <v>14</v>
      </c>
      <c r="D270" t="s">
        <v>15</v>
      </c>
      <c r="E270">
        <v>2026</v>
      </c>
      <c r="F270" t="s">
        <v>21</v>
      </c>
      <c r="G270" t="s">
        <v>17</v>
      </c>
      <c r="H270" t="s">
        <v>18</v>
      </c>
      <c r="I270" s="8">
        <v>7164775.5345999999</v>
      </c>
      <c r="J270" s="8">
        <v>1549859.4</v>
      </c>
      <c r="K270" s="8">
        <f>I270/1000000</f>
        <v>7.1647755345999995</v>
      </c>
      <c r="L270" s="8">
        <f>J270/1000000</f>
        <v>1.5498593999999999</v>
      </c>
      <c r="M270" t="s">
        <v>19</v>
      </c>
    </row>
    <row r="271" spans="2:13" x14ac:dyDescent="0.25">
      <c r="B271" t="s">
        <v>13</v>
      </c>
      <c r="C271" t="s">
        <v>14</v>
      </c>
      <c r="D271" t="s">
        <v>38</v>
      </c>
      <c r="E271">
        <v>2028</v>
      </c>
      <c r="F271" t="s">
        <v>21</v>
      </c>
      <c r="G271" t="s">
        <v>17</v>
      </c>
      <c r="H271" t="s">
        <v>18</v>
      </c>
      <c r="I271" s="8">
        <v>6614568.8080000002</v>
      </c>
      <c r="J271" s="8">
        <v>5394530.4334242102</v>
      </c>
      <c r="K271" s="8">
        <f>I271/1000000</f>
        <v>6.6145688080000005</v>
      </c>
      <c r="L271" s="8">
        <f>J271/1000000</f>
        <v>5.3945304334242099</v>
      </c>
      <c r="M271" t="s">
        <v>39</v>
      </c>
    </row>
    <row r="272" spans="2:13" x14ac:dyDescent="0.25">
      <c r="B272" t="s">
        <v>13</v>
      </c>
      <c r="C272" t="s">
        <v>46</v>
      </c>
      <c r="D272" t="s">
        <v>52</v>
      </c>
      <c r="E272">
        <v>2029</v>
      </c>
      <c r="F272" t="s">
        <v>21</v>
      </c>
      <c r="G272" t="s">
        <v>17</v>
      </c>
      <c r="H272" t="s">
        <v>18</v>
      </c>
      <c r="I272" s="8">
        <v>431116.47279999999</v>
      </c>
      <c r="J272" s="8">
        <v>344539.97518735699</v>
      </c>
      <c r="K272" s="8">
        <f>I272/1000000</f>
        <v>0.43111647279999998</v>
      </c>
      <c r="L272" s="8">
        <f>J272/1000000</f>
        <v>0.34453997518735702</v>
      </c>
      <c r="M272" t="s">
        <v>19</v>
      </c>
    </row>
    <row r="273" spans="2:13" x14ac:dyDescent="0.25">
      <c r="B273" t="s">
        <v>13</v>
      </c>
      <c r="C273" t="s">
        <v>46</v>
      </c>
      <c r="D273" t="s">
        <v>52</v>
      </c>
      <c r="E273">
        <v>2030</v>
      </c>
      <c r="F273" t="s">
        <v>21</v>
      </c>
      <c r="G273" t="s">
        <v>17</v>
      </c>
      <c r="H273" t="s">
        <v>18</v>
      </c>
      <c r="I273" s="8">
        <v>443348.25709999999</v>
      </c>
      <c r="J273" s="8">
        <v>351090.94494750001</v>
      </c>
      <c r="K273" s="8">
        <f>I273/1000000</f>
        <v>0.44334825709999998</v>
      </c>
      <c r="L273" s="8">
        <f>J273/1000000</f>
        <v>0.35109094494750004</v>
      </c>
      <c r="M273" t="s">
        <v>19</v>
      </c>
    </row>
    <row r="274" spans="2:13" x14ac:dyDescent="0.25">
      <c r="B274" t="s">
        <v>13</v>
      </c>
      <c r="C274" t="s">
        <v>46</v>
      </c>
      <c r="D274" t="s">
        <v>52</v>
      </c>
      <c r="E274">
        <v>2027</v>
      </c>
      <c r="F274" t="s">
        <v>21</v>
      </c>
      <c r="G274" t="s">
        <v>17</v>
      </c>
      <c r="H274" t="s">
        <v>18</v>
      </c>
      <c r="I274" s="8">
        <v>616493.92209999997</v>
      </c>
      <c r="J274" s="8">
        <v>500707.118819536</v>
      </c>
      <c r="K274" s="8">
        <f>I274/1000000</f>
        <v>0.61649392209999998</v>
      </c>
      <c r="L274" s="8">
        <f>J274/1000000</f>
        <v>0.500707118819536</v>
      </c>
      <c r="M274" t="s">
        <v>19</v>
      </c>
    </row>
    <row r="275" spans="2:13" x14ac:dyDescent="0.25">
      <c r="B275" t="s">
        <v>13</v>
      </c>
      <c r="C275" t="s">
        <v>46</v>
      </c>
      <c r="D275" t="s">
        <v>52</v>
      </c>
      <c r="E275">
        <v>2028</v>
      </c>
      <c r="F275" t="s">
        <v>21</v>
      </c>
      <c r="G275" t="s">
        <v>17</v>
      </c>
      <c r="H275" t="s">
        <v>18</v>
      </c>
      <c r="I275" s="8">
        <v>506424.64809999999</v>
      </c>
      <c r="J275" s="8">
        <v>410293.52043652302</v>
      </c>
      <c r="K275" s="8">
        <f>I275/1000000</f>
        <v>0.50642464809999999</v>
      </c>
      <c r="L275" s="8">
        <f>J275/1000000</f>
        <v>0.41029352043652301</v>
      </c>
      <c r="M275" t="s">
        <v>19</v>
      </c>
    </row>
    <row r="276" spans="2:13" x14ac:dyDescent="0.25">
      <c r="B276" t="s">
        <v>13</v>
      </c>
      <c r="C276" t="s">
        <v>46</v>
      </c>
      <c r="D276" t="s">
        <v>69</v>
      </c>
      <c r="E276">
        <v>2029</v>
      </c>
      <c r="F276" t="s">
        <v>21</v>
      </c>
      <c r="G276" t="s">
        <v>17</v>
      </c>
      <c r="H276" t="s">
        <v>18</v>
      </c>
      <c r="I276" s="8">
        <v>2530934.5181999998</v>
      </c>
      <c r="J276" s="8">
        <v>1108042.6920024001</v>
      </c>
      <c r="K276" s="8">
        <f>I276/1000000</f>
        <v>2.5309345182</v>
      </c>
      <c r="L276" s="8">
        <f>J276/1000000</f>
        <v>1.1080426920024</v>
      </c>
      <c r="M276" t="s">
        <v>19</v>
      </c>
    </row>
    <row r="277" spans="2:13" x14ac:dyDescent="0.25">
      <c r="B277" t="s">
        <v>13</v>
      </c>
      <c r="C277" t="s">
        <v>46</v>
      </c>
      <c r="D277" t="s">
        <v>69</v>
      </c>
      <c r="E277">
        <v>2030</v>
      </c>
      <c r="F277" t="s">
        <v>21</v>
      </c>
      <c r="G277" t="s">
        <v>17</v>
      </c>
      <c r="H277" t="s">
        <v>18</v>
      </c>
      <c r="I277" s="8">
        <v>2221224.9665999999</v>
      </c>
      <c r="J277" s="8">
        <v>970177.74496128794</v>
      </c>
      <c r="K277" s="8">
        <f>I277/1000000</f>
        <v>2.2212249665999999</v>
      </c>
      <c r="L277" s="8">
        <f>J277/1000000</f>
        <v>0.97017774496128795</v>
      </c>
      <c r="M277" t="s">
        <v>19</v>
      </c>
    </row>
    <row r="278" spans="2:13" x14ac:dyDescent="0.25">
      <c r="B278" t="s">
        <v>13</v>
      </c>
      <c r="C278" t="s">
        <v>46</v>
      </c>
      <c r="D278" t="s">
        <v>74</v>
      </c>
      <c r="E278">
        <v>2029</v>
      </c>
      <c r="F278" t="s">
        <v>21</v>
      </c>
      <c r="G278" t="s">
        <v>17</v>
      </c>
      <c r="H278" t="s">
        <v>18</v>
      </c>
      <c r="I278" s="8">
        <v>267232.79340000002</v>
      </c>
      <c r="J278" s="8">
        <v>178794.72587625001</v>
      </c>
      <c r="K278" s="8">
        <f>I278/1000000</f>
        <v>0.2672327934</v>
      </c>
      <c r="L278" s="8">
        <f>J278/1000000</f>
        <v>0.17879472587625</v>
      </c>
      <c r="M278" t="s">
        <v>19</v>
      </c>
    </row>
    <row r="279" spans="2:13" x14ac:dyDescent="0.25">
      <c r="B279" t="s">
        <v>13</v>
      </c>
      <c r="C279" t="s">
        <v>46</v>
      </c>
      <c r="D279" t="s">
        <v>74</v>
      </c>
      <c r="E279">
        <v>2030</v>
      </c>
      <c r="F279" t="s">
        <v>21</v>
      </c>
      <c r="G279" t="s">
        <v>17</v>
      </c>
      <c r="H279" t="s">
        <v>18</v>
      </c>
      <c r="I279" s="8">
        <v>249592.29509999999</v>
      </c>
      <c r="J279" s="8">
        <v>167591.44875000001</v>
      </c>
      <c r="K279" s="8">
        <f>I279/1000000</f>
        <v>0.2495922951</v>
      </c>
      <c r="L279" s="8">
        <f>J279/1000000</f>
        <v>0.16759144875000001</v>
      </c>
      <c r="M279" t="s">
        <v>19</v>
      </c>
    </row>
    <row r="280" spans="2:13" x14ac:dyDescent="0.25">
      <c r="B280" t="s">
        <v>13</v>
      </c>
      <c r="C280" t="s">
        <v>46</v>
      </c>
      <c r="D280" t="s">
        <v>74</v>
      </c>
      <c r="E280">
        <v>2026</v>
      </c>
      <c r="F280" t="s">
        <v>21</v>
      </c>
      <c r="G280" t="s">
        <v>17</v>
      </c>
      <c r="H280" t="s">
        <v>18</v>
      </c>
      <c r="I280" s="8">
        <v>640742.34019999998</v>
      </c>
      <c r="J280" s="8">
        <v>379518.45766249998</v>
      </c>
      <c r="K280" s="8">
        <f>I280/1000000</f>
        <v>0.64074234019999998</v>
      </c>
      <c r="L280" s="8">
        <f>J280/1000000</f>
        <v>0.37951845766249998</v>
      </c>
      <c r="M280" t="s">
        <v>19</v>
      </c>
    </row>
    <row r="281" spans="2:13" x14ac:dyDescent="0.25">
      <c r="B281" t="s">
        <v>13</v>
      </c>
      <c r="C281" t="s">
        <v>46</v>
      </c>
      <c r="D281" t="s">
        <v>74</v>
      </c>
      <c r="E281">
        <v>2027</v>
      </c>
      <c r="F281" t="s">
        <v>21</v>
      </c>
      <c r="G281" t="s">
        <v>17</v>
      </c>
      <c r="H281" t="s">
        <v>18</v>
      </c>
      <c r="I281" s="8">
        <v>545754.30240000004</v>
      </c>
      <c r="J281" s="8">
        <v>329904.98764531198</v>
      </c>
      <c r="K281" s="8">
        <f>I281/1000000</f>
        <v>0.5457543024</v>
      </c>
      <c r="L281" s="8">
        <f>J281/1000000</f>
        <v>0.32990498764531195</v>
      </c>
      <c r="M281" t="s">
        <v>19</v>
      </c>
    </row>
    <row r="282" spans="2:13" x14ac:dyDescent="0.25">
      <c r="B282" t="s">
        <v>13</v>
      </c>
      <c r="C282" t="s">
        <v>46</v>
      </c>
      <c r="D282" t="s">
        <v>74</v>
      </c>
      <c r="E282">
        <v>2028</v>
      </c>
      <c r="F282" t="s">
        <v>21</v>
      </c>
      <c r="G282" t="s">
        <v>17</v>
      </c>
      <c r="H282" t="s">
        <v>18</v>
      </c>
      <c r="I282" s="8">
        <v>400249.94140000001</v>
      </c>
      <c r="J282" s="8">
        <v>261018.41766000001</v>
      </c>
      <c r="K282" s="8">
        <f>I282/1000000</f>
        <v>0.40024994140000003</v>
      </c>
      <c r="L282" s="8">
        <f>J282/1000000</f>
        <v>0.26101841766</v>
      </c>
      <c r="M282" t="s">
        <v>19</v>
      </c>
    </row>
    <row r="283" spans="2:13" x14ac:dyDescent="0.25">
      <c r="B283" t="s">
        <v>13</v>
      </c>
      <c r="C283" t="s">
        <v>46</v>
      </c>
      <c r="D283" t="s">
        <v>73</v>
      </c>
      <c r="E283">
        <v>2026</v>
      </c>
      <c r="F283" t="s">
        <v>21</v>
      </c>
      <c r="G283" t="s">
        <v>17</v>
      </c>
      <c r="H283" t="s">
        <v>18</v>
      </c>
      <c r="I283" s="8">
        <v>682820.12789999996</v>
      </c>
      <c r="J283" s="8">
        <v>725628.35495650396</v>
      </c>
      <c r="K283" s="8">
        <f>I283/1000000</f>
        <v>0.68282012790000002</v>
      </c>
      <c r="L283" s="8">
        <f>J283/1000000</f>
        <v>0.72562835495650391</v>
      </c>
      <c r="M283" t="s">
        <v>19</v>
      </c>
    </row>
    <row r="284" spans="2:13" x14ac:dyDescent="0.25">
      <c r="B284" t="s">
        <v>13</v>
      </c>
      <c r="C284" t="s">
        <v>46</v>
      </c>
      <c r="D284" t="s">
        <v>73</v>
      </c>
      <c r="E284">
        <v>2027</v>
      </c>
      <c r="F284" t="s">
        <v>21</v>
      </c>
      <c r="G284" t="s">
        <v>17</v>
      </c>
      <c r="H284" t="s">
        <v>18</v>
      </c>
      <c r="I284" s="8">
        <v>989875.32819999999</v>
      </c>
      <c r="J284" s="8">
        <v>1055239.42225311</v>
      </c>
      <c r="K284" s="8">
        <f>I284/1000000</f>
        <v>0.98987532820000002</v>
      </c>
      <c r="L284" s="8">
        <f>J284/1000000</f>
        <v>1.0552394222531101</v>
      </c>
      <c r="M284" t="s">
        <v>19</v>
      </c>
    </row>
    <row r="285" spans="2:13" x14ac:dyDescent="0.25">
      <c r="B285" t="s">
        <v>13</v>
      </c>
      <c r="C285" t="s">
        <v>46</v>
      </c>
      <c r="D285" t="s">
        <v>70</v>
      </c>
      <c r="E285">
        <v>2026</v>
      </c>
      <c r="F285" t="s">
        <v>21</v>
      </c>
      <c r="G285" t="s">
        <v>17</v>
      </c>
      <c r="H285" t="s">
        <v>18</v>
      </c>
      <c r="I285" s="8">
        <v>2216685.7448</v>
      </c>
      <c r="J285" s="8">
        <v>1087935.7504</v>
      </c>
      <c r="K285" s="8">
        <f>I285/1000000</f>
        <v>2.2166857447999999</v>
      </c>
      <c r="L285" s="8">
        <f>J285/1000000</f>
        <v>1.0879357504</v>
      </c>
      <c r="M285" t="s">
        <v>19</v>
      </c>
    </row>
    <row r="286" spans="2:13" x14ac:dyDescent="0.25">
      <c r="B286" t="s">
        <v>13</v>
      </c>
      <c r="C286" t="s">
        <v>46</v>
      </c>
      <c r="D286" t="s">
        <v>70</v>
      </c>
      <c r="E286">
        <v>2027</v>
      </c>
      <c r="F286" t="s">
        <v>21</v>
      </c>
      <c r="G286" t="s">
        <v>17</v>
      </c>
      <c r="H286" t="s">
        <v>18</v>
      </c>
      <c r="I286" s="8">
        <v>2188451.8816999998</v>
      </c>
      <c r="J286" s="8">
        <v>1609137.6839999999</v>
      </c>
      <c r="K286" s="8">
        <f>I286/1000000</f>
        <v>2.1884518816999998</v>
      </c>
      <c r="L286" s="8">
        <f>J286/1000000</f>
        <v>1.6091376839999998</v>
      </c>
      <c r="M286" t="s">
        <v>19</v>
      </c>
    </row>
    <row r="287" spans="2:13" x14ac:dyDescent="0.25">
      <c r="B287" t="s">
        <v>13</v>
      </c>
      <c r="C287" t="s">
        <v>46</v>
      </c>
      <c r="D287" t="s">
        <v>38</v>
      </c>
      <c r="E287">
        <v>2029</v>
      </c>
      <c r="F287" t="s">
        <v>21</v>
      </c>
      <c r="G287" t="s">
        <v>17</v>
      </c>
      <c r="H287" t="s">
        <v>18</v>
      </c>
      <c r="I287" s="8">
        <v>215878.26620000001</v>
      </c>
      <c r="J287" s="8">
        <v>199914.603349351</v>
      </c>
      <c r="K287" s="8">
        <f>I287/1000000</f>
        <v>0.2158782662</v>
      </c>
      <c r="L287" s="8">
        <f>J287/1000000</f>
        <v>0.19991460334935102</v>
      </c>
      <c r="M287" t="s">
        <v>39</v>
      </c>
    </row>
    <row r="288" spans="2:13" x14ac:dyDescent="0.25">
      <c r="B288" t="s">
        <v>13</v>
      </c>
      <c r="C288" t="s">
        <v>46</v>
      </c>
      <c r="D288" t="s">
        <v>38</v>
      </c>
      <c r="E288">
        <v>2030</v>
      </c>
      <c r="F288" t="s">
        <v>21</v>
      </c>
      <c r="G288" t="s">
        <v>17</v>
      </c>
      <c r="H288" t="s">
        <v>18</v>
      </c>
      <c r="I288" s="8">
        <v>202990.03810000001</v>
      </c>
      <c r="J288" s="8">
        <v>187979.427804167</v>
      </c>
      <c r="K288" s="8">
        <f>I288/1000000</f>
        <v>0.20299003809999999</v>
      </c>
      <c r="L288" s="8">
        <f>J288/1000000</f>
        <v>0.18797942780416702</v>
      </c>
      <c r="M288" t="s">
        <v>39</v>
      </c>
    </row>
    <row r="289" spans="2:13" x14ac:dyDescent="0.25">
      <c r="B289" t="s">
        <v>13</v>
      </c>
      <c r="C289" t="s">
        <v>46</v>
      </c>
      <c r="D289" t="s">
        <v>15</v>
      </c>
      <c r="E289">
        <v>2026</v>
      </c>
      <c r="F289" t="s">
        <v>21</v>
      </c>
      <c r="G289" t="s">
        <v>17</v>
      </c>
      <c r="H289" t="s">
        <v>18</v>
      </c>
      <c r="I289" s="8">
        <v>563182.85499999998</v>
      </c>
      <c r="J289" s="8">
        <v>121811.51815567999</v>
      </c>
      <c r="K289" s="8">
        <f>I289/1000000</f>
        <v>0.56318285499999998</v>
      </c>
      <c r="L289" s="8">
        <f>J289/1000000</f>
        <v>0.12181151815567999</v>
      </c>
      <c r="M289" t="s">
        <v>19</v>
      </c>
    </row>
    <row r="290" spans="2:13" x14ac:dyDescent="0.25">
      <c r="B290" t="s">
        <v>13</v>
      </c>
      <c r="C290" t="s">
        <v>46</v>
      </c>
      <c r="D290" t="s">
        <v>15</v>
      </c>
      <c r="E290">
        <v>2027</v>
      </c>
      <c r="F290" t="s">
        <v>21</v>
      </c>
      <c r="G290" t="s">
        <v>17</v>
      </c>
      <c r="H290" t="s">
        <v>18</v>
      </c>
      <c r="I290" s="8">
        <v>582994.50340000005</v>
      </c>
      <c r="J290" s="8">
        <v>126096.604161198</v>
      </c>
      <c r="K290" s="8">
        <f>I290/1000000</f>
        <v>0.58299450340000003</v>
      </c>
      <c r="L290" s="8">
        <f>J290/1000000</f>
        <v>0.126096604161198</v>
      </c>
      <c r="M290" t="s">
        <v>19</v>
      </c>
    </row>
    <row r="291" spans="2:13" x14ac:dyDescent="0.25">
      <c r="B291" t="s">
        <v>13</v>
      </c>
      <c r="C291" t="s">
        <v>46</v>
      </c>
      <c r="D291" t="s">
        <v>15</v>
      </c>
      <c r="E291">
        <v>2029</v>
      </c>
      <c r="F291" t="s">
        <v>21</v>
      </c>
      <c r="G291" t="s">
        <v>17</v>
      </c>
      <c r="H291" t="s">
        <v>18</v>
      </c>
      <c r="I291" s="8">
        <v>108964.8515</v>
      </c>
      <c r="J291" s="8">
        <v>36254.932466656202</v>
      </c>
      <c r="K291" s="8">
        <f>I291/1000000</f>
        <v>0.1089648515</v>
      </c>
      <c r="L291" s="8">
        <f>J291/1000000</f>
        <v>3.6254932466656203E-2</v>
      </c>
      <c r="M291" t="s">
        <v>19</v>
      </c>
    </row>
    <row r="292" spans="2:13" x14ac:dyDescent="0.25">
      <c r="B292" t="s">
        <v>13</v>
      </c>
      <c r="C292" t="s">
        <v>46</v>
      </c>
      <c r="D292" t="s">
        <v>15</v>
      </c>
      <c r="E292">
        <v>2030</v>
      </c>
      <c r="F292" t="s">
        <v>21</v>
      </c>
      <c r="G292" t="s">
        <v>17</v>
      </c>
      <c r="H292" t="s">
        <v>18</v>
      </c>
      <c r="I292" s="8">
        <v>103597.3858</v>
      </c>
      <c r="J292" s="8">
        <v>34469.062031250003</v>
      </c>
      <c r="K292" s="8">
        <f>I292/1000000</f>
        <v>0.1035973858</v>
      </c>
      <c r="L292" s="8">
        <f>J292/1000000</f>
        <v>3.4469062031250004E-2</v>
      </c>
      <c r="M292" t="s">
        <v>19</v>
      </c>
    </row>
    <row r="293" spans="2:13" x14ac:dyDescent="0.25">
      <c r="B293" t="s">
        <v>13</v>
      </c>
      <c r="C293" t="s">
        <v>46</v>
      </c>
      <c r="D293" t="s">
        <v>100</v>
      </c>
      <c r="E293">
        <v>2029</v>
      </c>
      <c r="F293" t="s">
        <v>21</v>
      </c>
      <c r="G293" t="s">
        <v>17</v>
      </c>
      <c r="H293" t="s">
        <v>18</v>
      </c>
      <c r="I293" s="8">
        <v>440395.05790000001</v>
      </c>
      <c r="J293" s="8">
        <v>550493.82233621203</v>
      </c>
      <c r="K293" s="8">
        <f>I293/1000000</f>
        <v>0.4403950579</v>
      </c>
      <c r="L293" s="8">
        <f>J293/1000000</f>
        <v>0.55049382233621202</v>
      </c>
      <c r="M293" t="s">
        <v>19</v>
      </c>
    </row>
    <row r="294" spans="2:13" x14ac:dyDescent="0.25">
      <c r="B294" t="s">
        <v>13</v>
      </c>
      <c r="C294" t="s">
        <v>46</v>
      </c>
      <c r="D294" t="s">
        <v>100</v>
      </c>
      <c r="E294">
        <v>2030</v>
      </c>
      <c r="F294" t="s">
        <v>21</v>
      </c>
      <c r="G294" t="s">
        <v>17</v>
      </c>
      <c r="H294" t="s">
        <v>18</v>
      </c>
      <c r="I294" s="8">
        <v>416272.93859999999</v>
      </c>
      <c r="J294" s="8">
        <v>520341.17320325098</v>
      </c>
      <c r="K294" s="8">
        <f>I294/1000000</f>
        <v>0.41627293859999998</v>
      </c>
      <c r="L294" s="8">
        <f>J294/1000000</f>
        <v>0.52034117320325102</v>
      </c>
      <c r="M294" t="s">
        <v>19</v>
      </c>
    </row>
    <row r="295" spans="2:13" x14ac:dyDescent="0.25">
      <c r="B295" t="s">
        <v>13</v>
      </c>
      <c r="C295" t="s">
        <v>46</v>
      </c>
      <c r="D295" t="s">
        <v>100</v>
      </c>
      <c r="E295">
        <v>2026</v>
      </c>
      <c r="F295" t="s">
        <v>21</v>
      </c>
      <c r="G295" t="s">
        <v>17</v>
      </c>
      <c r="H295" t="s">
        <v>18</v>
      </c>
      <c r="I295" s="8">
        <v>917807.12340000004</v>
      </c>
      <c r="J295" s="8">
        <v>1126143.70969304</v>
      </c>
      <c r="K295" s="8">
        <f>I295/1000000</f>
        <v>0.91780712340000004</v>
      </c>
      <c r="L295" s="8">
        <f>J295/1000000</f>
        <v>1.12614370969304</v>
      </c>
      <c r="M295" t="s">
        <v>19</v>
      </c>
    </row>
    <row r="296" spans="2:13" x14ac:dyDescent="0.25">
      <c r="B296" t="s">
        <v>13</v>
      </c>
      <c r="C296" t="s">
        <v>46</v>
      </c>
      <c r="D296" t="s">
        <v>100</v>
      </c>
      <c r="E296">
        <v>2027</v>
      </c>
      <c r="F296" t="s">
        <v>21</v>
      </c>
      <c r="G296" t="s">
        <v>17</v>
      </c>
      <c r="H296" t="s">
        <v>18</v>
      </c>
      <c r="I296" s="8">
        <v>840457.66280000005</v>
      </c>
      <c r="J296" s="8">
        <v>1031236.3960724</v>
      </c>
      <c r="K296" s="8">
        <f>I296/1000000</f>
        <v>0.8404576628</v>
      </c>
      <c r="L296" s="8">
        <f>J296/1000000</f>
        <v>1.0312363960724</v>
      </c>
      <c r="M296" t="s">
        <v>19</v>
      </c>
    </row>
    <row r="297" spans="2:13" x14ac:dyDescent="0.25">
      <c r="B297" t="s">
        <v>13</v>
      </c>
      <c r="C297" t="s">
        <v>46</v>
      </c>
      <c r="D297" t="s">
        <v>100</v>
      </c>
      <c r="E297">
        <v>2028</v>
      </c>
      <c r="F297" t="s">
        <v>21</v>
      </c>
      <c r="G297" t="s">
        <v>17</v>
      </c>
      <c r="H297" t="s">
        <v>18</v>
      </c>
      <c r="I297" s="8">
        <v>681607.32590000005</v>
      </c>
      <c r="J297" s="8">
        <v>852009.157373472</v>
      </c>
      <c r="K297" s="8">
        <f>I297/1000000</f>
        <v>0.68160732590000006</v>
      </c>
      <c r="L297" s="8">
        <f>J297/1000000</f>
        <v>0.85200915737347205</v>
      </c>
      <c r="M297" t="s">
        <v>19</v>
      </c>
    </row>
    <row r="298" spans="2:13" x14ac:dyDescent="0.25">
      <c r="B298" t="s">
        <v>13</v>
      </c>
      <c r="C298" t="s">
        <v>46</v>
      </c>
      <c r="D298" t="s">
        <v>72</v>
      </c>
      <c r="E298">
        <v>2030</v>
      </c>
      <c r="F298" t="s">
        <v>21</v>
      </c>
      <c r="G298" t="s">
        <v>17</v>
      </c>
      <c r="H298" t="s">
        <v>18</v>
      </c>
      <c r="I298" s="8">
        <v>836277.46140000003</v>
      </c>
      <c r="J298" s="8">
        <v>389388.03902778402</v>
      </c>
      <c r="K298" s="8">
        <f>I298/1000000</f>
        <v>0.83627746140000003</v>
      </c>
      <c r="L298" s="8">
        <f>J298/1000000</f>
        <v>0.38938803902778402</v>
      </c>
      <c r="M298" t="s">
        <v>19</v>
      </c>
    </row>
    <row r="299" spans="2:13" x14ac:dyDescent="0.25">
      <c r="B299" t="s">
        <v>13</v>
      </c>
      <c r="C299" t="s">
        <v>46</v>
      </c>
      <c r="D299" t="s">
        <v>72</v>
      </c>
      <c r="E299">
        <v>2026</v>
      </c>
      <c r="F299" t="s">
        <v>21</v>
      </c>
      <c r="G299" t="s">
        <v>17</v>
      </c>
      <c r="H299" t="s">
        <v>18</v>
      </c>
      <c r="I299" s="8">
        <v>3124418.5564999999</v>
      </c>
      <c r="J299" s="8">
        <v>1095772.67914064</v>
      </c>
      <c r="K299" s="8">
        <f>I299/1000000</f>
        <v>3.1244185564999998</v>
      </c>
      <c r="L299" s="8">
        <f>J299/1000000</f>
        <v>1.0957726791406399</v>
      </c>
      <c r="M299" t="s">
        <v>19</v>
      </c>
    </row>
    <row r="300" spans="2:13" x14ac:dyDescent="0.25">
      <c r="B300" t="s">
        <v>13</v>
      </c>
      <c r="C300" t="s">
        <v>46</v>
      </c>
      <c r="D300" t="s">
        <v>72</v>
      </c>
      <c r="E300">
        <v>2027</v>
      </c>
      <c r="F300" t="s">
        <v>21</v>
      </c>
      <c r="G300" t="s">
        <v>17</v>
      </c>
      <c r="H300" t="s">
        <v>18</v>
      </c>
      <c r="I300" s="8">
        <v>2572043.7892</v>
      </c>
      <c r="J300" s="8">
        <v>1049238.66570793</v>
      </c>
      <c r="K300" s="8">
        <f>I300/1000000</f>
        <v>2.5720437891999999</v>
      </c>
      <c r="L300" s="8">
        <f>J300/1000000</f>
        <v>1.04923866570793</v>
      </c>
      <c r="M300" t="s">
        <v>19</v>
      </c>
    </row>
    <row r="301" spans="2:13" x14ac:dyDescent="0.25">
      <c r="B301" t="s">
        <v>13</v>
      </c>
      <c r="C301" t="s">
        <v>46</v>
      </c>
      <c r="D301" t="s">
        <v>72</v>
      </c>
      <c r="E301">
        <v>2028</v>
      </c>
      <c r="F301" t="s">
        <v>21</v>
      </c>
      <c r="G301" t="s">
        <v>17</v>
      </c>
      <c r="H301" t="s">
        <v>18</v>
      </c>
      <c r="I301" s="8">
        <v>2068371.3130000001</v>
      </c>
      <c r="J301" s="8">
        <v>848348.33595062396</v>
      </c>
      <c r="K301" s="8">
        <f>I301/1000000</f>
        <v>2.0683713130000001</v>
      </c>
      <c r="L301" s="8">
        <f>J301/1000000</f>
        <v>0.84834833595062398</v>
      </c>
      <c r="M301" t="s">
        <v>19</v>
      </c>
    </row>
    <row r="302" spans="2:13" x14ac:dyDescent="0.25">
      <c r="B302" t="s">
        <v>13</v>
      </c>
      <c r="C302" t="s">
        <v>46</v>
      </c>
      <c r="D302" t="s">
        <v>76</v>
      </c>
      <c r="E302">
        <v>2029</v>
      </c>
      <c r="F302" t="s">
        <v>21</v>
      </c>
      <c r="G302" t="s">
        <v>17</v>
      </c>
      <c r="H302" t="s">
        <v>18</v>
      </c>
      <c r="I302" s="8">
        <v>3014634.6225999999</v>
      </c>
      <c r="J302" s="8">
        <v>938938.66377863497</v>
      </c>
      <c r="K302" s="8">
        <f>I302/1000000</f>
        <v>3.0146346226</v>
      </c>
      <c r="L302" s="8">
        <f>J302/1000000</f>
        <v>0.938938663778635</v>
      </c>
      <c r="M302" t="s">
        <v>39</v>
      </c>
    </row>
    <row r="303" spans="2:13" x14ac:dyDescent="0.25">
      <c r="B303" t="s">
        <v>13</v>
      </c>
      <c r="C303" t="s">
        <v>46</v>
      </c>
      <c r="D303" t="s">
        <v>76</v>
      </c>
      <c r="E303">
        <v>2030</v>
      </c>
      <c r="F303" t="s">
        <v>21</v>
      </c>
      <c r="G303" t="s">
        <v>17</v>
      </c>
      <c r="H303" t="s">
        <v>18</v>
      </c>
      <c r="I303" s="8">
        <v>2839361.3576000002</v>
      </c>
      <c r="J303" s="8">
        <v>884348.01986566605</v>
      </c>
      <c r="K303" s="8">
        <f>I303/1000000</f>
        <v>2.8393613576000001</v>
      </c>
      <c r="L303" s="8">
        <f>J303/1000000</f>
        <v>0.88434801986566602</v>
      </c>
      <c r="M303" t="s">
        <v>39</v>
      </c>
    </row>
    <row r="304" spans="2:13" x14ac:dyDescent="0.25">
      <c r="B304" t="s">
        <v>13</v>
      </c>
      <c r="C304" t="s">
        <v>46</v>
      </c>
      <c r="D304" t="s">
        <v>76</v>
      </c>
      <c r="E304">
        <v>2028</v>
      </c>
      <c r="F304" t="s">
        <v>21</v>
      </c>
      <c r="G304" t="s">
        <v>17</v>
      </c>
      <c r="H304" t="s">
        <v>18</v>
      </c>
      <c r="I304" s="8">
        <v>3397650.4103999999</v>
      </c>
      <c r="J304" s="8">
        <v>1058232.83273223</v>
      </c>
      <c r="K304" s="8">
        <f>I304/1000000</f>
        <v>3.3976504103999998</v>
      </c>
      <c r="L304" s="8">
        <f>J304/1000000</f>
        <v>1.0582328327322299</v>
      </c>
      <c r="M304" t="s">
        <v>39</v>
      </c>
    </row>
    <row r="305" spans="2:13" x14ac:dyDescent="0.25">
      <c r="B305" t="s">
        <v>13</v>
      </c>
      <c r="C305" t="s">
        <v>46</v>
      </c>
      <c r="D305" t="s">
        <v>102</v>
      </c>
      <c r="E305">
        <v>2028</v>
      </c>
      <c r="F305" t="s">
        <v>21</v>
      </c>
      <c r="G305" t="s">
        <v>17</v>
      </c>
      <c r="H305" t="s">
        <v>18</v>
      </c>
      <c r="I305" s="8">
        <v>100467.27589999999</v>
      </c>
      <c r="J305" s="8">
        <v>297025.94846481498</v>
      </c>
      <c r="K305" s="8">
        <f>I305/1000000</f>
        <v>0.1004672759</v>
      </c>
      <c r="L305" s="8">
        <f>J305/1000000</f>
        <v>0.297025948464815</v>
      </c>
      <c r="M305" t="s">
        <v>19</v>
      </c>
    </row>
    <row r="306" spans="2:13" x14ac:dyDescent="0.25">
      <c r="B306" t="s">
        <v>13</v>
      </c>
      <c r="C306" t="s">
        <v>46</v>
      </c>
      <c r="D306" t="s">
        <v>102</v>
      </c>
      <c r="E306">
        <v>2029</v>
      </c>
      <c r="F306" t="s">
        <v>21</v>
      </c>
      <c r="G306" t="s">
        <v>17</v>
      </c>
      <c r="H306" t="s">
        <v>18</v>
      </c>
      <c r="I306" s="8">
        <v>68469.9136</v>
      </c>
      <c r="J306" s="8">
        <v>202427.51519520799</v>
      </c>
      <c r="K306" s="8">
        <f>I306/1000000</f>
        <v>6.8469913600000001E-2</v>
      </c>
      <c r="L306" s="8">
        <f>J306/1000000</f>
        <v>0.20242751519520799</v>
      </c>
      <c r="M306" t="s">
        <v>19</v>
      </c>
    </row>
    <row r="307" spans="2:13" x14ac:dyDescent="0.25">
      <c r="B307" t="s">
        <v>13</v>
      </c>
      <c r="C307" t="s">
        <v>46</v>
      </c>
      <c r="D307" t="s">
        <v>102</v>
      </c>
      <c r="E307">
        <v>2030</v>
      </c>
      <c r="F307" t="s">
        <v>21</v>
      </c>
      <c r="G307" t="s">
        <v>17</v>
      </c>
      <c r="H307" t="s">
        <v>18</v>
      </c>
      <c r="I307" s="8">
        <v>64682.643900000003</v>
      </c>
      <c r="J307" s="8">
        <v>191230.661536334</v>
      </c>
      <c r="K307" s="8">
        <f>I307/1000000</f>
        <v>6.4682643900000003E-2</v>
      </c>
      <c r="L307" s="8">
        <f>J307/1000000</f>
        <v>0.191230661536334</v>
      </c>
      <c r="M307" t="s">
        <v>19</v>
      </c>
    </row>
    <row r="308" spans="2:13" x14ac:dyDescent="0.25">
      <c r="B308" t="s">
        <v>13</v>
      </c>
      <c r="C308" t="s">
        <v>46</v>
      </c>
      <c r="D308" t="s">
        <v>69</v>
      </c>
      <c r="E308">
        <v>2028</v>
      </c>
      <c r="F308" t="s">
        <v>21</v>
      </c>
      <c r="G308" t="s">
        <v>17</v>
      </c>
      <c r="H308" t="s">
        <v>18</v>
      </c>
      <c r="I308" s="8">
        <v>3880915.8683000002</v>
      </c>
      <c r="J308" s="8">
        <v>1481717.08102883</v>
      </c>
      <c r="K308" s="8">
        <f>I308/1000000</f>
        <v>3.8809158683000002</v>
      </c>
      <c r="L308" s="8">
        <f>J308/1000000</f>
        <v>1.48171708102883</v>
      </c>
      <c r="M308" t="s">
        <v>19</v>
      </c>
    </row>
    <row r="309" spans="2:13" x14ac:dyDescent="0.25">
      <c r="B309" t="s">
        <v>13</v>
      </c>
      <c r="C309" t="s">
        <v>46</v>
      </c>
      <c r="D309" t="s">
        <v>52</v>
      </c>
      <c r="E309">
        <v>2026</v>
      </c>
      <c r="F309" t="s">
        <v>21</v>
      </c>
      <c r="G309" t="s">
        <v>17</v>
      </c>
      <c r="H309" t="s">
        <v>18</v>
      </c>
      <c r="I309" s="8">
        <v>-86.078100000000006</v>
      </c>
      <c r="J309" s="8">
        <v>-127570.49887416</v>
      </c>
      <c r="K309" s="8">
        <f>I309/1000000</f>
        <v>-8.6078100000000005E-5</v>
      </c>
      <c r="L309" s="8">
        <f>J309/1000000</f>
        <v>-0.12757049887416</v>
      </c>
      <c r="M309" t="s">
        <v>19</v>
      </c>
    </row>
    <row r="310" spans="2:13" x14ac:dyDescent="0.25">
      <c r="B310" t="s">
        <v>13</v>
      </c>
      <c r="C310" t="s">
        <v>46</v>
      </c>
      <c r="D310" t="s">
        <v>72</v>
      </c>
      <c r="E310">
        <v>2029</v>
      </c>
      <c r="F310" t="s">
        <v>21</v>
      </c>
      <c r="G310" t="s">
        <v>17</v>
      </c>
      <c r="H310" t="s">
        <v>18</v>
      </c>
      <c r="I310" s="8">
        <v>884112.28060000006</v>
      </c>
      <c r="J310" s="8">
        <v>411660.91772486898</v>
      </c>
      <c r="K310" s="8">
        <f>I310/1000000</f>
        <v>0.88411228060000002</v>
      </c>
      <c r="L310" s="8">
        <f>J310/1000000</f>
        <v>0.41166091772486896</v>
      </c>
      <c r="M310" t="s">
        <v>19</v>
      </c>
    </row>
    <row r="311" spans="2:13" x14ac:dyDescent="0.25">
      <c r="B311" t="s">
        <v>13</v>
      </c>
      <c r="C311" t="s">
        <v>46</v>
      </c>
      <c r="D311" t="s">
        <v>15</v>
      </c>
      <c r="E311">
        <v>2028</v>
      </c>
      <c r="F311" t="s">
        <v>21</v>
      </c>
      <c r="G311" t="s">
        <v>17</v>
      </c>
      <c r="H311" t="s">
        <v>18</v>
      </c>
      <c r="I311" s="8">
        <v>297914.4474</v>
      </c>
      <c r="J311" s="8">
        <v>99122.497000000003</v>
      </c>
      <c r="K311" s="8">
        <f>I311/1000000</f>
        <v>0.2979144474</v>
      </c>
      <c r="L311" s="8">
        <f>J311/1000000</f>
        <v>9.9122497000000004E-2</v>
      </c>
      <c r="M311" t="s">
        <v>19</v>
      </c>
    </row>
    <row r="312" spans="2:13" x14ac:dyDescent="0.25">
      <c r="B312" t="s">
        <v>13</v>
      </c>
      <c r="C312" t="s">
        <v>46</v>
      </c>
      <c r="D312" t="s">
        <v>38</v>
      </c>
      <c r="E312">
        <v>2028</v>
      </c>
      <c r="F312" t="s">
        <v>21</v>
      </c>
      <c r="G312" t="s">
        <v>17</v>
      </c>
      <c r="H312" t="s">
        <v>18</v>
      </c>
      <c r="I312" s="8">
        <v>155032.77770000001</v>
      </c>
      <c r="J312" s="8">
        <v>163389.77069589999</v>
      </c>
      <c r="K312" s="8">
        <f>I312/1000000</f>
        <v>0.15503277770000001</v>
      </c>
      <c r="L312" s="8">
        <f>J312/1000000</f>
        <v>0.16338977069589999</v>
      </c>
      <c r="M312" t="s">
        <v>39</v>
      </c>
    </row>
    <row r="313" spans="2:13" x14ac:dyDescent="0.25">
      <c r="B313" t="s">
        <v>13</v>
      </c>
      <c r="C313" t="s">
        <v>46</v>
      </c>
      <c r="D313" t="s">
        <v>102</v>
      </c>
      <c r="E313">
        <v>2027</v>
      </c>
      <c r="F313" t="s">
        <v>21</v>
      </c>
      <c r="G313" t="s">
        <v>17</v>
      </c>
      <c r="H313" t="s">
        <v>18</v>
      </c>
      <c r="I313" s="8">
        <v>86454.327499999999</v>
      </c>
      <c r="J313" s="8">
        <v>256872.36809910799</v>
      </c>
      <c r="K313" s="8">
        <f>I313/1000000</f>
        <v>8.6454327499999997E-2</v>
      </c>
      <c r="L313" s="8">
        <f>J313/1000000</f>
        <v>0.25687236809910796</v>
      </c>
      <c r="M313" t="s">
        <v>19</v>
      </c>
    </row>
    <row r="314" spans="2:13" x14ac:dyDescent="0.25">
      <c r="B314" t="s">
        <v>13</v>
      </c>
      <c r="C314" t="s">
        <v>46</v>
      </c>
      <c r="D314" t="s">
        <v>76</v>
      </c>
      <c r="E314">
        <v>2027</v>
      </c>
      <c r="F314" t="s">
        <v>21</v>
      </c>
      <c r="G314" t="s">
        <v>17</v>
      </c>
      <c r="H314" t="s">
        <v>18</v>
      </c>
      <c r="I314" s="8">
        <v>2081181.9665999999</v>
      </c>
      <c r="J314" s="8">
        <v>638865.73560677597</v>
      </c>
      <c r="K314" s="8">
        <f>I314/1000000</f>
        <v>2.0811819666</v>
      </c>
      <c r="L314" s="8">
        <f>J314/1000000</f>
        <v>0.63886573560677595</v>
      </c>
      <c r="M314" t="s">
        <v>39</v>
      </c>
    </row>
    <row r="315" spans="2:13" x14ac:dyDescent="0.25">
      <c r="B315" t="s">
        <v>13</v>
      </c>
      <c r="C315" t="s">
        <v>14</v>
      </c>
      <c r="D315" t="s">
        <v>52</v>
      </c>
      <c r="E315">
        <v>2026</v>
      </c>
      <c r="F315" t="s">
        <v>21</v>
      </c>
      <c r="G315" t="s">
        <v>17</v>
      </c>
      <c r="H315" t="s">
        <v>18</v>
      </c>
      <c r="I315" s="8">
        <v>5819922.3026999999</v>
      </c>
      <c r="J315" s="8">
        <v>5757823.7640000004</v>
      </c>
      <c r="K315" s="8">
        <f>I315/1000000</f>
        <v>5.8199223027000002</v>
      </c>
      <c r="L315" s="8">
        <f>J315/1000000</f>
        <v>5.7578237640000003</v>
      </c>
      <c r="M315" t="s">
        <v>19</v>
      </c>
    </row>
    <row r="316" spans="2:13" x14ac:dyDescent="0.25">
      <c r="B316" t="s">
        <v>13</v>
      </c>
      <c r="C316" t="s">
        <v>14</v>
      </c>
      <c r="D316" t="s">
        <v>52</v>
      </c>
      <c r="E316">
        <v>2029</v>
      </c>
      <c r="F316" t="s">
        <v>21</v>
      </c>
      <c r="G316" t="s">
        <v>17</v>
      </c>
      <c r="H316" t="s">
        <v>18</v>
      </c>
      <c r="I316" s="8">
        <v>4091102.9616</v>
      </c>
      <c r="J316" s="8">
        <v>3548215.9906875002</v>
      </c>
      <c r="K316" s="8">
        <f>I316/1000000</f>
        <v>4.0911029615999999</v>
      </c>
      <c r="L316" s="8">
        <f>J316/1000000</f>
        <v>3.5482159906875004</v>
      </c>
      <c r="M316" t="s">
        <v>19</v>
      </c>
    </row>
    <row r="317" spans="2:13" x14ac:dyDescent="0.25">
      <c r="B317" t="s">
        <v>13</v>
      </c>
      <c r="C317" t="s">
        <v>46</v>
      </c>
      <c r="D317" t="s">
        <v>76</v>
      </c>
      <c r="E317">
        <v>2026</v>
      </c>
      <c r="F317" t="s">
        <v>21</v>
      </c>
      <c r="G317" t="s">
        <v>17</v>
      </c>
      <c r="H317" t="s">
        <v>18</v>
      </c>
      <c r="I317" s="8">
        <v>1802847.4802999999</v>
      </c>
      <c r="J317" s="8">
        <v>426550</v>
      </c>
      <c r="K317" s="8">
        <f>I317/1000000</f>
        <v>1.8028474802999999</v>
      </c>
      <c r="L317" s="8">
        <f>J317/1000000</f>
        <v>0.42654999999999998</v>
      </c>
      <c r="M317" t="s">
        <v>39</v>
      </c>
    </row>
    <row r="318" spans="2:13" x14ac:dyDescent="0.25">
      <c r="B318" t="s">
        <v>13</v>
      </c>
      <c r="C318" t="s">
        <v>14</v>
      </c>
      <c r="D318" t="s">
        <v>15</v>
      </c>
      <c r="E318">
        <v>2027</v>
      </c>
      <c r="F318" t="s">
        <v>20</v>
      </c>
      <c r="G318" t="s">
        <v>17</v>
      </c>
      <c r="H318" t="s">
        <v>18</v>
      </c>
      <c r="I318" s="8">
        <v>1228253.0473</v>
      </c>
      <c r="J318" s="8">
        <v>405968.8</v>
      </c>
      <c r="K318" s="8">
        <f>I318/1000000</f>
        <v>1.2282530473</v>
      </c>
      <c r="L318" s="8">
        <f>J318/1000000</f>
        <v>0.40596879999999996</v>
      </c>
      <c r="M318" t="s">
        <v>19</v>
      </c>
    </row>
    <row r="319" spans="2:13" x14ac:dyDescent="0.25">
      <c r="B319" t="s">
        <v>13</v>
      </c>
      <c r="C319" t="s">
        <v>46</v>
      </c>
      <c r="D319" t="s">
        <v>121</v>
      </c>
      <c r="E319">
        <v>2028</v>
      </c>
      <c r="F319" t="s">
        <v>20</v>
      </c>
      <c r="G319" t="s">
        <v>17</v>
      </c>
      <c r="H319" t="s">
        <v>18</v>
      </c>
      <c r="I319" s="8">
        <v>101794.4529</v>
      </c>
      <c r="J319" s="8">
        <v>196837.807447739</v>
      </c>
      <c r="K319" s="8">
        <f>I319/1000000</f>
        <v>0.1017944529</v>
      </c>
      <c r="L319" s="8">
        <f>J319/1000000</f>
        <v>0.19683780744773902</v>
      </c>
      <c r="M319" t="s">
        <v>19</v>
      </c>
    </row>
    <row r="320" spans="2:13" x14ac:dyDescent="0.25">
      <c r="B320" t="s">
        <v>13</v>
      </c>
      <c r="C320" t="s">
        <v>46</v>
      </c>
      <c r="D320" t="s">
        <v>52</v>
      </c>
      <c r="E320">
        <v>2030</v>
      </c>
      <c r="F320" t="s">
        <v>20</v>
      </c>
      <c r="G320" t="s">
        <v>17</v>
      </c>
      <c r="H320" t="s">
        <v>18</v>
      </c>
      <c r="I320" s="8">
        <v>311327.60720000003</v>
      </c>
      <c r="J320" s="8">
        <v>243893.313932961</v>
      </c>
      <c r="K320" s="8">
        <f>I320/1000000</f>
        <v>0.31132760720000002</v>
      </c>
      <c r="L320" s="8">
        <f>J320/1000000</f>
        <v>0.24389331393296099</v>
      </c>
      <c r="M320" t="s">
        <v>19</v>
      </c>
    </row>
    <row r="321" spans="2:13" x14ac:dyDescent="0.25">
      <c r="B321" t="s">
        <v>13</v>
      </c>
      <c r="C321" t="s">
        <v>46</v>
      </c>
      <c r="D321" t="s">
        <v>74</v>
      </c>
      <c r="E321">
        <v>2026</v>
      </c>
      <c r="F321" t="s">
        <v>20</v>
      </c>
      <c r="G321" t="s">
        <v>17</v>
      </c>
      <c r="H321" t="s">
        <v>18</v>
      </c>
      <c r="I321" s="8">
        <v>208175.0287</v>
      </c>
      <c r="J321" s="8">
        <v>122700</v>
      </c>
      <c r="K321" s="8">
        <f>I321/1000000</f>
        <v>0.20817502869999999</v>
      </c>
      <c r="L321" s="8">
        <f>J321/1000000</f>
        <v>0.1227</v>
      </c>
      <c r="M321" t="s">
        <v>19</v>
      </c>
    </row>
    <row r="322" spans="2:13" x14ac:dyDescent="0.25">
      <c r="B322" t="s">
        <v>13</v>
      </c>
      <c r="C322" t="s">
        <v>46</v>
      </c>
      <c r="D322" t="s">
        <v>74</v>
      </c>
      <c r="E322">
        <v>2027</v>
      </c>
      <c r="F322" t="s">
        <v>20</v>
      </c>
      <c r="G322" t="s">
        <v>17</v>
      </c>
      <c r="H322" t="s">
        <v>18</v>
      </c>
      <c r="I322" s="8">
        <v>292388.43579999998</v>
      </c>
      <c r="J322" s="8">
        <v>176031.52523596</v>
      </c>
      <c r="K322" s="8">
        <f>I322/1000000</f>
        <v>0.29238843579999996</v>
      </c>
      <c r="L322" s="8">
        <f>J322/1000000</f>
        <v>0.17603152523596</v>
      </c>
      <c r="M322" t="s">
        <v>19</v>
      </c>
    </row>
    <row r="323" spans="2:13" x14ac:dyDescent="0.25">
      <c r="B323" t="s">
        <v>13</v>
      </c>
      <c r="C323" t="s">
        <v>46</v>
      </c>
      <c r="D323" t="s">
        <v>74</v>
      </c>
      <c r="E323">
        <v>2028</v>
      </c>
      <c r="F323" t="s">
        <v>20</v>
      </c>
      <c r="G323" t="s">
        <v>17</v>
      </c>
      <c r="H323" t="s">
        <v>18</v>
      </c>
      <c r="I323" s="8">
        <v>269339.16440000001</v>
      </c>
      <c r="J323" s="8">
        <v>174816.77770457801</v>
      </c>
      <c r="K323" s="8">
        <f>I323/1000000</f>
        <v>0.2693391644</v>
      </c>
      <c r="L323" s="8">
        <f>J323/1000000</f>
        <v>0.17481677770457801</v>
      </c>
      <c r="M323" t="s">
        <v>19</v>
      </c>
    </row>
    <row r="324" spans="2:13" x14ac:dyDescent="0.25">
      <c r="B324" t="s">
        <v>13</v>
      </c>
      <c r="C324" t="s">
        <v>46</v>
      </c>
      <c r="D324" t="s">
        <v>74</v>
      </c>
      <c r="E324">
        <v>2029</v>
      </c>
      <c r="F324" t="s">
        <v>20</v>
      </c>
      <c r="G324" t="s">
        <v>17</v>
      </c>
      <c r="H324" t="s">
        <v>18</v>
      </c>
      <c r="I324" s="8">
        <v>266011.1961</v>
      </c>
      <c r="J324" s="8">
        <v>177088.34166535901</v>
      </c>
      <c r="K324" s="8">
        <f>I324/1000000</f>
        <v>0.26601119610000001</v>
      </c>
      <c r="L324" s="8">
        <f>J324/1000000</f>
        <v>0.177088341665359</v>
      </c>
      <c r="M324" t="s">
        <v>19</v>
      </c>
    </row>
    <row r="325" spans="2:13" x14ac:dyDescent="0.25">
      <c r="B325" t="s">
        <v>13</v>
      </c>
      <c r="C325" t="s">
        <v>46</v>
      </c>
      <c r="D325" t="s">
        <v>74</v>
      </c>
      <c r="E325">
        <v>2030</v>
      </c>
      <c r="F325" t="s">
        <v>20</v>
      </c>
      <c r="G325" t="s">
        <v>17</v>
      </c>
      <c r="H325" t="s">
        <v>18</v>
      </c>
      <c r="I325" s="8">
        <v>268814.17340000003</v>
      </c>
      <c r="J325" s="8">
        <v>179589.44013995101</v>
      </c>
      <c r="K325" s="8">
        <f>I325/1000000</f>
        <v>0.26881417340000002</v>
      </c>
      <c r="L325" s="8">
        <f>J325/1000000</f>
        <v>0.17958944013995101</v>
      </c>
      <c r="M325" t="s">
        <v>19</v>
      </c>
    </row>
    <row r="326" spans="2:13" x14ac:dyDescent="0.25">
      <c r="B326" t="s">
        <v>13</v>
      </c>
      <c r="C326" t="s">
        <v>46</v>
      </c>
      <c r="D326" t="s">
        <v>73</v>
      </c>
      <c r="E326">
        <v>2026</v>
      </c>
      <c r="F326" t="s">
        <v>20</v>
      </c>
      <c r="G326" t="s">
        <v>17</v>
      </c>
      <c r="H326" t="s">
        <v>18</v>
      </c>
      <c r="I326" s="8">
        <v>569769.73679999996</v>
      </c>
      <c r="J326" s="8">
        <v>597600</v>
      </c>
      <c r="K326" s="8">
        <f>I326/1000000</f>
        <v>0.56976973679999998</v>
      </c>
      <c r="L326" s="8">
        <f>J326/1000000</f>
        <v>0.59760000000000002</v>
      </c>
      <c r="M326" t="s">
        <v>19</v>
      </c>
    </row>
    <row r="327" spans="2:13" x14ac:dyDescent="0.25">
      <c r="B327" t="s">
        <v>13</v>
      </c>
      <c r="C327" t="s">
        <v>46</v>
      </c>
      <c r="D327" t="s">
        <v>73</v>
      </c>
      <c r="E327">
        <v>2027</v>
      </c>
      <c r="F327" t="s">
        <v>20</v>
      </c>
      <c r="G327" t="s">
        <v>17</v>
      </c>
      <c r="H327" t="s">
        <v>18</v>
      </c>
      <c r="I327" s="8">
        <v>577621.97979999997</v>
      </c>
      <c r="J327" s="8">
        <v>607627.74973399902</v>
      </c>
      <c r="K327" s="8">
        <f>I327/1000000</f>
        <v>0.57762197979999996</v>
      </c>
      <c r="L327" s="8">
        <f>J327/1000000</f>
        <v>0.60762774973399902</v>
      </c>
      <c r="M327" t="s">
        <v>19</v>
      </c>
    </row>
    <row r="328" spans="2:13" x14ac:dyDescent="0.25">
      <c r="B328" t="s">
        <v>13</v>
      </c>
      <c r="C328" t="s">
        <v>46</v>
      </c>
      <c r="D328" t="s">
        <v>73</v>
      </c>
      <c r="E328">
        <v>2028</v>
      </c>
      <c r="F328" t="s">
        <v>20</v>
      </c>
      <c r="G328" t="s">
        <v>17</v>
      </c>
      <c r="H328" t="s">
        <v>18</v>
      </c>
      <c r="I328" s="8">
        <v>650150.15659999999</v>
      </c>
      <c r="J328" s="8">
        <v>639649.83993014798</v>
      </c>
      <c r="K328" s="8">
        <f>I328/1000000</f>
        <v>0.65015015659999997</v>
      </c>
      <c r="L328" s="8">
        <f>J328/1000000</f>
        <v>0.63964983993014801</v>
      </c>
      <c r="M328" t="s">
        <v>19</v>
      </c>
    </row>
    <row r="329" spans="2:13" x14ac:dyDescent="0.25">
      <c r="B329" t="s">
        <v>13</v>
      </c>
      <c r="C329" t="s">
        <v>46</v>
      </c>
      <c r="D329" t="s">
        <v>73</v>
      </c>
      <c r="E329">
        <v>2029</v>
      </c>
      <c r="F329" t="s">
        <v>20</v>
      </c>
      <c r="G329" t="s">
        <v>17</v>
      </c>
      <c r="H329" t="s">
        <v>18</v>
      </c>
      <c r="I329" s="8">
        <v>666098.76020000002</v>
      </c>
      <c r="J329" s="8">
        <v>655340.86719834595</v>
      </c>
      <c r="K329" s="8">
        <f>I329/1000000</f>
        <v>0.66609876020000003</v>
      </c>
      <c r="L329" s="8">
        <f>J329/1000000</f>
        <v>0.65534086719834594</v>
      </c>
      <c r="M329" t="s">
        <v>19</v>
      </c>
    </row>
    <row r="330" spans="2:13" x14ac:dyDescent="0.25">
      <c r="B330" t="s">
        <v>13</v>
      </c>
      <c r="C330" t="s">
        <v>46</v>
      </c>
      <c r="D330" t="s">
        <v>73</v>
      </c>
      <c r="E330">
        <v>2030</v>
      </c>
      <c r="F330" t="s">
        <v>20</v>
      </c>
      <c r="G330" t="s">
        <v>17</v>
      </c>
      <c r="H330" t="s">
        <v>18</v>
      </c>
      <c r="I330" s="8">
        <v>680725.27159999998</v>
      </c>
      <c r="J330" s="8">
        <v>669731.15180469595</v>
      </c>
      <c r="K330" s="8">
        <f>I330/1000000</f>
        <v>0.68072527159999996</v>
      </c>
      <c r="L330" s="8">
        <f>J330/1000000</f>
        <v>0.669731151804696</v>
      </c>
      <c r="M330" t="s">
        <v>19</v>
      </c>
    </row>
    <row r="331" spans="2:13" x14ac:dyDescent="0.25">
      <c r="B331" t="s">
        <v>13</v>
      </c>
      <c r="C331" t="s">
        <v>46</v>
      </c>
      <c r="D331" t="s">
        <v>70</v>
      </c>
      <c r="E331">
        <v>2026</v>
      </c>
      <c r="F331" t="s">
        <v>20</v>
      </c>
      <c r="G331" t="s">
        <v>17</v>
      </c>
      <c r="H331" t="s">
        <v>18</v>
      </c>
      <c r="I331" s="8">
        <v>427677.65909999999</v>
      </c>
      <c r="J331" s="8">
        <v>247800</v>
      </c>
      <c r="K331" s="8">
        <f>I331/1000000</f>
        <v>0.4276776591</v>
      </c>
      <c r="L331" s="8">
        <f>J331/1000000</f>
        <v>0.24779999999999999</v>
      </c>
      <c r="M331" t="s">
        <v>19</v>
      </c>
    </row>
    <row r="332" spans="2:13" x14ac:dyDescent="0.25">
      <c r="B332" t="s">
        <v>13</v>
      </c>
      <c r="C332" t="s">
        <v>46</v>
      </c>
      <c r="D332" t="s">
        <v>70</v>
      </c>
      <c r="E332">
        <v>2027</v>
      </c>
      <c r="F332" t="s">
        <v>20</v>
      </c>
      <c r="G332" t="s">
        <v>17</v>
      </c>
      <c r="H332" t="s">
        <v>18</v>
      </c>
      <c r="I332" s="8">
        <v>350064.11139999999</v>
      </c>
      <c r="J332" s="8">
        <v>250590.77381108201</v>
      </c>
      <c r="K332" s="8">
        <f>I332/1000000</f>
        <v>0.35006411139999999</v>
      </c>
      <c r="L332" s="8">
        <f>J332/1000000</f>
        <v>0.25059077381108202</v>
      </c>
      <c r="M332" t="s">
        <v>19</v>
      </c>
    </row>
    <row r="333" spans="2:13" x14ac:dyDescent="0.25">
      <c r="B333" t="s">
        <v>13</v>
      </c>
      <c r="C333" t="s">
        <v>46</v>
      </c>
      <c r="D333" t="s">
        <v>70</v>
      </c>
      <c r="E333">
        <v>2028</v>
      </c>
      <c r="F333" t="s">
        <v>20</v>
      </c>
      <c r="G333" t="s">
        <v>17</v>
      </c>
      <c r="H333" t="s">
        <v>18</v>
      </c>
      <c r="I333" s="8">
        <v>363853.9448</v>
      </c>
      <c r="J333" s="8">
        <v>257546.40410287699</v>
      </c>
      <c r="K333" s="8">
        <f>I333/1000000</f>
        <v>0.3638539448</v>
      </c>
      <c r="L333" s="8">
        <f>J333/1000000</f>
        <v>0.25754640410287699</v>
      </c>
      <c r="M333" t="s">
        <v>19</v>
      </c>
    </row>
    <row r="334" spans="2:13" x14ac:dyDescent="0.25">
      <c r="B334" t="s">
        <v>13</v>
      </c>
      <c r="C334" t="s">
        <v>46</v>
      </c>
      <c r="D334" t="s">
        <v>70</v>
      </c>
      <c r="E334">
        <v>2030</v>
      </c>
      <c r="F334" t="s">
        <v>20</v>
      </c>
      <c r="G334" t="s">
        <v>17</v>
      </c>
      <c r="H334" t="s">
        <v>18</v>
      </c>
      <c r="I334" s="8">
        <v>843581.81510000001</v>
      </c>
      <c r="J334" s="8">
        <v>530058.54194680403</v>
      </c>
      <c r="K334" s="8">
        <f>I334/1000000</f>
        <v>0.84358181509999997</v>
      </c>
      <c r="L334" s="8">
        <f>J334/1000000</f>
        <v>0.53005854194680402</v>
      </c>
      <c r="M334" t="s">
        <v>19</v>
      </c>
    </row>
    <row r="335" spans="2:13" x14ac:dyDescent="0.25">
      <c r="B335" t="s">
        <v>13</v>
      </c>
      <c r="C335" t="s">
        <v>46</v>
      </c>
      <c r="D335" t="s">
        <v>38</v>
      </c>
      <c r="E335">
        <v>2026</v>
      </c>
      <c r="F335" t="s">
        <v>20</v>
      </c>
      <c r="G335" t="s">
        <v>17</v>
      </c>
      <c r="H335" t="s">
        <v>18</v>
      </c>
      <c r="I335" s="8">
        <v>90641.9859</v>
      </c>
      <c r="J335" s="8">
        <v>106000</v>
      </c>
      <c r="K335" s="8">
        <f>I335/1000000</f>
        <v>9.0641985899999999E-2</v>
      </c>
      <c r="L335" s="8">
        <f>J335/1000000</f>
        <v>0.106</v>
      </c>
      <c r="M335" t="s">
        <v>39</v>
      </c>
    </row>
    <row r="336" spans="2:13" x14ac:dyDescent="0.25">
      <c r="B336" t="s">
        <v>13</v>
      </c>
      <c r="C336" t="s">
        <v>46</v>
      </c>
      <c r="D336" t="s">
        <v>38</v>
      </c>
      <c r="E336">
        <v>2027</v>
      </c>
      <c r="F336" t="s">
        <v>20</v>
      </c>
      <c r="G336" t="s">
        <v>17</v>
      </c>
      <c r="H336" t="s">
        <v>18</v>
      </c>
      <c r="I336" s="8">
        <v>135607.1827</v>
      </c>
      <c r="J336" s="8">
        <v>152150.79755418201</v>
      </c>
      <c r="K336" s="8">
        <f>I336/1000000</f>
        <v>0.1356071827</v>
      </c>
      <c r="L336" s="8">
        <f>J336/1000000</f>
        <v>0.15215079755418201</v>
      </c>
      <c r="M336" t="s">
        <v>39</v>
      </c>
    </row>
    <row r="337" spans="2:13" x14ac:dyDescent="0.25">
      <c r="B337" t="s">
        <v>13</v>
      </c>
      <c r="C337" t="s">
        <v>46</v>
      </c>
      <c r="D337" t="s">
        <v>38</v>
      </c>
      <c r="E337">
        <v>2028</v>
      </c>
      <c r="F337" t="s">
        <v>20</v>
      </c>
      <c r="G337" t="s">
        <v>17</v>
      </c>
      <c r="H337" t="s">
        <v>18</v>
      </c>
      <c r="I337" s="8">
        <v>151262.02979999999</v>
      </c>
      <c r="J337" s="8">
        <v>157204.24417267201</v>
      </c>
      <c r="K337" s="8">
        <f>I337/1000000</f>
        <v>0.1512620298</v>
      </c>
      <c r="L337" s="8">
        <f>J337/1000000</f>
        <v>0.15720424417267201</v>
      </c>
      <c r="M337" t="s">
        <v>39</v>
      </c>
    </row>
    <row r="338" spans="2:13" x14ac:dyDescent="0.25">
      <c r="B338" t="s">
        <v>13</v>
      </c>
      <c r="C338" t="s">
        <v>46</v>
      </c>
      <c r="D338" t="s">
        <v>38</v>
      </c>
      <c r="E338">
        <v>2029</v>
      </c>
      <c r="F338" t="s">
        <v>20</v>
      </c>
      <c r="G338" t="s">
        <v>17</v>
      </c>
      <c r="H338" t="s">
        <v>18</v>
      </c>
      <c r="I338" s="8">
        <v>180785.0509</v>
      </c>
      <c r="J338" s="8">
        <v>165690.408149806</v>
      </c>
      <c r="K338" s="8">
        <f>I338/1000000</f>
        <v>0.18078505089999999</v>
      </c>
      <c r="L338" s="8">
        <f>J338/1000000</f>
        <v>0.16569040814980598</v>
      </c>
      <c r="M338" t="s">
        <v>39</v>
      </c>
    </row>
    <row r="339" spans="2:13" x14ac:dyDescent="0.25">
      <c r="B339" t="s">
        <v>13</v>
      </c>
      <c r="C339" t="s">
        <v>46</v>
      </c>
      <c r="D339" t="s">
        <v>38</v>
      </c>
      <c r="E339">
        <v>2030</v>
      </c>
      <c r="F339" t="s">
        <v>20</v>
      </c>
      <c r="G339" t="s">
        <v>17</v>
      </c>
      <c r="H339" t="s">
        <v>18</v>
      </c>
      <c r="I339" s="8">
        <v>183447.30009999999</v>
      </c>
      <c r="J339" s="8">
        <v>168130.37290355799</v>
      </c>
      <c r="K339" s="8">
        <f>I339/1000000</f>
        <v>0.18344730009999999</v>
      </c>
      <c r="L339" s="8">
        <f>J339/1000000</f>
        <v>0.16813037290355798</v>
      </c>
      <c r="M339" t="s">
        <v>39</v>
      </c>
    </row>
    <row r="340" spans="2:13" x14ac:dyDescent="0.25">
      <c r="B340" t="s">
        <v>13</v>
      </c>
      <c r="C340" t="s">
        <v>46</v>
      </c>
      <c r="D340" t="s">
        <v>15</v>
      </c>
      <c r="E340">
        <v>2028</v>
      </c>
      <c r="F340" t="s">
        <v>20</v>
      </c>
      <c r="G340" t="s">
        <v>17</v>
      </c>
      <c r="H340" t="s">
        <v>18</v>
      </c>
      <c r="I340" s="8">
        <v>127504.8685</v>
      </c>
      <c r="J340" s="8">
        <v>42401.629252685503</v>
      </c>
      <c r="K340" s="8">
        <f>I340/1000000</f>
        <v>0.12750486850000001</v>
      </c>
      <c r="L340" s="8">
        <f>J340/1000000</f>
        <v>4.2401629252685501E-2</v>
      </c>
      <c r="M340" t="s">
        <v>19</v>
      </c>
    </row>
    <row r="341" spans="2:13" x14ac:dyDescent="0.25">
      <c r="B341" t="s">
        <v>13</v>
      </c>
      <c r="C341" t="s">
        <v>46</v>
      </c>
      <c r="D341" t="s">
        <v>15</v>
      </c>
      <c r="E341">
        <v>2029</v>
      </c>
      <c r="F341" t="s">
        <v>20</v>
      </c>
      <c r="G341" t="s">
        <v>17</v>
      </c>
      <c r="H341" t="s">
        <v>18</v>
      </c>
      <c r="I341" s="8">
        <v>132591.55720000001</v>
      </c>
      <c r="J341" s="8">
        <v>44093.203006016898</v>
      </c>
      <c r="K341" s="8">
        <f>I341/1000000</f>
        <v>0.13259155720000002</v>
      </c>
      <c r="L341" s="8">
        <f>J341/1000000</f>
        <v>4.40932030060169E-2</v>
      </c>
      <c r="M341" t="s">
        <v>19</v>
      </c>
    </row>
    <row r="342" spans="2:13" x14ac:dyDescent="0.25">
      <c r="B342" t="s">
        <v>13</v>
      </c>
      <c r="C342" t="s">
        <v>46</v>
      </c>
      <c r="D342" t="s">
        <v>15</v>
      </c>
      <c r="E342">
        <v>2030</v>
      </c>
      <c r="F342" t="s">
        <v>20</v>
      </c>
      <c r="G342" t="s">
        <v>17</v>
      </c>
      <c r="H342" t="s">
        <v>18</v>
      </c>
      <c r="I342" s="8">
        <v>139303.65539999999</v>
      </c>
      <c r="J342" s="8">
        <v>46325.305231981103</v>
      </c>
      <c r="K342" s="8">
        <f>I342/1000000</f>
        <v>0.13930365539999998</v>
      </c>
      <c r="L342" s="8">
        <f>J342/1000000</f>
        <v>4.6325305231981105E-2</v>
      </c>
      <c r="M342" t="s">
        <v>19</v>
      </c>
    </row>
    <row r="343" spans="2:13" x14ac:dyDescent="0.25">
      <c r="B343" t="s">
        <v>13</v>
      </c>
      <c r="C343" t="s">
        <v>46</v>
      </c>
      <c r="D343" t="s">
        <v>72</v>
      </c>
      <c r="E343">
        <v>2026</v>
      </c>
      <c r="F343" t="s">
        <v>20</v>
      </c>
      <c r="G343" t="s">
        <v>17</v>
      </c>
      <c r="H343" t="s">
        <v>18</v>
      </c>
      <c r="I343" s="8">
        <v>1770047.7396</v>
      </c>
      <c r="J343" s="8">
        <v>620000</v>
      </c>
      <c r="K343" s="8">
        <f>I343/1000000</f>
        <v>1.7700477396000001</v>
      </c>
      <c r="L343" s="8">
        <f>J343/1000000</f>
        <v>0.62</v>
      </c>
      <c r="M343" t="s">
        <v>19</v>
      </c>
    </row>
    <row r="344" spans="2:13" x14ac:dyDescent="0.25">
      <c r="B344" t="s">
        <v>13</v>
      </c>
      <c r="C344" t="s">
        <v>46</v>
      </c>
      <c r="D344" t="s">
        <v>72</v>
      </c>
      <c r="E344">
        <v>2029</v>
      </c>
      <c r="F344" t="s">
        <v>20</v>
      </c>
      <c r="G344" t="s">
        <v>17</v>
      </c>
      <c r="H344" t="s">
        <v>18</v>
      </c>
      <c r="I344" s="8">
        <v>1391755.7722</v>
      </c>
      <c r="J344" s="8">
        <v>665350.94232356304</v>
      </c>
      <c r="K344" s="8">
        <f>I344/1000000</f>
        <v>1.3917557722</v>
      </c>
      <c r="L344" s="8">
        <f>J344/1000000</f>
        <v>0.66535094232356307</v>
      </c>
      <c r="M344" t="s">
        <v>19</v>
      </c>
    </row>
    <row r="345" spans="2:13" x14ac:dyDescent="0.25">
      <c r="B345" t="s">
        <v>13</v>
      </c>
      <c r="C345" t="s">
        <v>46</v>
      </c>
      <c r="D345" t="s">
        <v>72</v>
      </c>
      <c r="E345">
        <v>2030</v>
      </c>
      <c r="F345" t="s">
        <v>20</v>
      </c>
      <c r="G345" t="s">
        <v>17</v>
      </c>
      <c r="H345" t="s">
        <v>18</v>
      </c>
      <c r="I345" s="8">
        <v>1423592.6991000001</v>
      </c>
      <c r="J345" s="8">
        <v>680571.09063713998</v>
      </c>
      <c r="K345" s="8">
        <f>I345/1000000</f>
        <v>1.4235926991000001</v>
      </c>
      <c r="L345" s="8">
        <f>J345/1000000</f>
        <v>0.68057109063713994</v>
      </c>
      <c r="M345" t="s">
        <v>19</v>
      </c>
    </row>
    <row r="346" spans="2:13" x14ac:dyDescent="0.25">
      <c r="B346" t="s">
        <v>13</v>
      </c>
      <c r="C346" t="s">
        <v>46</v>
      </c>
      <c r="D346" t="s">
        <v>72</v>
      </c>
      <c r="E346">
        <v>2027</v>
      </c>
      <c r="F346" t="s">
        <v>20</v>
      </c>
      <c r="G346" t="s">
        <v>17</v>
      </c>
      <c r="H346" t="s">
        <v>18</v>
      </c>
      <c r="I346" s="8">
        <v>1641246.6924000001</v>
      </c>
      <c r="J346" s="8">
        <v>668536.45579390496</v>
      </c>
      <c r="K346" s="8">
        <f>I346/1000000</f>
        <v>1.6412466924</v>
      </c>
      <c r="L346" s="8">
        <f>J346/1000000</f>
        <v>0.66853645579390497</v>
      </c>
      <c r="M346" t="s">
        <v>19</v>
      </c>
    </row>
    <row r="347" spans="2:13" x14ac:dyDescent="0.25">
      <c r="B347" t="s">
        <v>13</v>
      </c>
      <c r="C347" t="s">
        <v>46</v>
      </c>
      <c r="D347" t="s">
        <v>72</v>
      </c>
      <c r="E347">
        <v>2028</v>
      </c>
      <c r="F347" t="s">
        <v>20</v>
      </c>
      <c r="G347" t="s">
        <v>17</v>
      </c>
      <c r="H347" t="s">
        <v>18</v>
      </c>
      <c r="I347" s="8">
        <v>1584286.4919</v>
      </c>
      <c r="J347" s="8">
        <v>648829.22100568702</v>
      </c>
      <c r="K347" s="8">
        <f>I347/1000000</f>
        <v>1.5842864918999999</v>
      </c>
      <c r="L347" s="8">
        <f>J347/1000000</f>
        <v>0.64882922100568707</v>
      </c>
      <c r="M347" t="s">
        <v>19</v>
      </c>
    </row>
    <row r="348" spans="2:13" x14ac:dyDescent="0.25">
      <c r="B348" t="s">
        <v>13</v>
      </c>
      <c r="C348" t="s">
        <v>46</v>
      </c>
      <c r="D348" t="s">
        <v>76</v>
      </c>
      <c r="E348">
        <v>2027</v>
      </c>
      <c r="F348" t="s">
        <v>20</v>
      </c>
      <c r="G348" t="s">
        <v>17</v>
      </c>
      <c r="H348" t="s">
        <v>18</v>
      </c>
      <c r="I348" s="8">
        <v>870088.59770000004</v>
      </c>
      <c r="J348" s="8">
        <v>268776.29268301302</v>
      </c>
      <c r="K348" s="8">
        <f>I348/1000000</f>
        <v>0.87008859770000002</v>
      </c>
      <c r="L348" s="8">
        <f>J348/1000000</f>
        <v>0.26877629268301301</v>
      </c>
      <c r="M348" t="s">
        <v>39</v>
      </c>
    </row>
    <row r="349" spans="2:13" x14ac:dyDescent="0.25">
      <c r="B349" t="s">
        <v>13</v>
      </c>
      <c r="C349" t="s">
        <v>46</v>
      </c>
      <c r="D349" t="s">
        <v>76</v>
      </c>
      <c r="E349">
        <v>2028</v>
      </c>
      <c r="F349" t="s">
        <v>20</v>
      </c>
      <c r="G349" t="s">
        <v>17</v>
      </c>
      <c r="H349" t="s">
        <v>18</v>
      </c>
      <c r="I349" s="8">
        <v>787966.15110000002</v>
      </c>
      <c r="J349" s="8">
        <v>246827.777848164</v>
      </c>
      <c r="K349" s="8">
        <f>I349/1000000</f>
        <v>0.78796615110000001</v>
      </c>
      <c r="L349" s="8">
        <f>J349/1000000</f>
        <v>0.24682777784816401</v>
      </c>
      <c r="M349" t="s">
        <v>39</v>
      </c>
    </row>
    <row r="350" spans="2:13" x14ac:dyDescent="0.25">
      <c r="B350" t="s">
        <v>13</v>
      </c>
      <c r="C350" t="s">
        <v>46</v>
      </c>
      <c r="D350" t="s">
        <v>76</v>
      </c>
      <c r="E350">
        <v>2029</v>
      </c>
      <c r="F350" t="s">
        <v>20</v>
      </c>
      <c r="G350" t="s">
        <v>17</v>
      </c>
      <c r="H350" t="s">
        <v>18</v>
      </c>
      <c r="I350" s="8">
        <v>708678.05980000005</v>
      </c>
      <c r="J350" s="8">
        <v>221991.046794561</v>
      </c>
      <c r="K350" s="8">
        <f>I350/1000000</f>
        <v>0.70867805980000009</v>
      </c>
      <c r="L350" s="8">
        <f>J350/1000000</f>
        <v>0.221991046794561</v>
      </c>
      <c r="M350" t="s">
        <v>39</v>
      </c>
    </row>
    <row r="351" spans="2:13" x14ac:dyDescent="0.25">
      <c r="B351" t="s">
        <v>13</v>
      </c>
      <c r="C351" t="s">
        <v>46</v>
      </c>
      <c r="D351" t="s">
        <v>76</v>
      </c>
      <c r="E351">
        <v>2030</v>
      </c>
      <c r="F351" t="s">
        <v>20</v>
      </c>
      <c r="G351" t="s">
        <v>17</v>
      </c>
      <c r="H351" t="s">
        <v>18</v>
      </c>
      <c r="I351" s="8">
        <v>754835.77549999999</v>
      </c>
      <c r="J351" s="8">
        <v>236449.797798771</v>
      </c>
      <c r="K351" s="8">
        <f>I351/1000000</f>
        <v>0.75483577550000003</v>
      </c>
      <c r="L351" s="8">
        <f>J351/1000000</f>
        <v>0.23644979779877101</v>
      </c>
      <c r="M351" t="s">
        <v>39</v>
      </c>
    </row>
    <row r="352" spans="2:13" x14ac:dyDescent="0.25">
      <c r="B352" t="s">
        <v>13</v>
      </c>
      <c r="C352" t="s">
        <v>46</v>
      </c>
      <c r="D352" t="s">
        <v>76</v>
      </c>
      <c r="E352">
        <v>2026</v>
      </c>
      <c r="F352" t="s">
        <v>20</v>
      </c>
      <c r="G352" t="s">
        <v>17</v>
      </c>
      <c r="H352" t="s">
        <v>18</v>
      </c>
      <c r="I352" s="8">
        <v>1557737.7379999999</v>
      </c>
      <c r="J352" s="8">
        <v>370400</v>
      </c>
      <c r="K352" s="8">
        <f>I352/1000000</f>
        <v>1.5577377379999999</v>
      </c>
      <c r="L352" s="8">
        <f>J352/1000000</f>
        <v>0.37040000000000001</v>
      </c>
      <c r="M352" t="s">
        <v>39</v>
      </c>
    </row>
    <row r="353" spans="2:13" x14ac:dyDescent="0.25">
      <c r="B353" t="s">
        <v>13</v>
      </c>
      <c r="C353" t="s">
        <v>46</v>
      </c>
      <c r="D353" t="s">
        <v>70</v>
      </c>
      <c r="E353">
        <v>2029</v>
      </c>
      <c r="F353" t="s">
        <v>20</v>
      </c>
      <c r="G353" t="s">
        <v>17</v>
      </c>
      <c r="H353" t="s">
        <v>18</v>
      </c>
      <c r="I353" s="8">
        <v>869996.07830000005</v>
      </c>
      <c r="J353" s="8">
        <v>547137.56796470098</v>
      </c>
      <c r="K353" s="8">
        <f>I353/1000000</f>
        <v>0.86999607830000003</v>
      </c>
      <c r="L353" s="8">
        <f>J353/1000000</f>
        <v>0.54713756796470103</v>
      </c>
      <c r="M353" t="s">
        <v>19</v>
      </c>
    </row>
    <row r="354" spans="2:13" x14ac:dyDescent="0.25">
      <c r="B354" t="s">
        <v>13</v>
      </c>
      <c r="C354" t="s">
        <v>46</v>
      </c>
      <c r="D354" t="s">
        <v>15</v>
      </c>
      <c r="E354">
        <v>2027</v>
      </c>
      <c r="F354" t="s">
        <v>20</v>
      </c>
      <c r="G354" t="s">
        <v>17</v>
      </c>
      <c r="H354" t="s">
        <v>18</v>
      </c>
      <c r="I354" s="8">
        <v>155151.76790000001</v>
      </c>
      <c r="J354" s="8">
        <v>51290.889234035298</v>
      </c>
      <c r="K354" s="8">
        <f>I354/1000000</f>
        <v>0.15515176790000001</v>
      </c>
      <c r="L354" s="8">
        <f>J354/1000000</f>
        <v>5.1290889234035297E-2</v>
      </c>
      <c r="M354" t="s">
        <v>19</v>
      </c>
    </row>
    <row r="355" spans="2:13" x14ac:dyDescent="0.25">
      <c r="B355" t="s">
        <v>13</v>
      </c>
      <c r="C355" t="s">
        <v>46</v>
      </c>
      <c r="D355" t="s">
        <v>121</v>
      </c>
      <c r="E355">
        <v>2027</v>
      </c>
      <c r="F355" t="s">
        <v>20</v>
      </c>
      <c r="G355" t="s">
        <v>17</v>
      </c>
      <c r="H355" t="s">
        <v>18</v>
      </c>
      <c r="I355" s="8">
        <v>106300.78599999999</v>
      </c>
      <c r="J355" s="8">
        <v>206718.74282307801</v>
      </c>
      <c r="K355" s="8">
        <f>I355/1000000</f>
        <v>0.10630078599999999</v>
      </c>
      <c r="L355" s="8">
        <f>J355/1000000</f>
        <v>0.20671874282307801</v>
      </c>
      <c r="M355" t="s">
        <v>19</v>
      </c>
    </row>
    <row r="356" spans="2:13" x14ac:dyDescent="0.25">
      <c r="B356" t="s">
        <v>13</v>
      </c>
      <c r="C356" t="s">
        <v>46</v>
      </c>
      <c r="D356" t="s">
        <v>52</v>
      </c>
      <c r="E356">
        <v>2029</v>
      </c>
      <c r="F356" t="s">
        <v>20</v>
      </c>
      <c r="G356" t="s">
        <v>17</v>
      </c>
      <c r="H356" t="s">
        <v>18</v>
      </c>
      <c r="I356" s="8">
        <v>296327.31439999997</v>
      </c>
      <c r="J356" s="8">
        <v>234218.90157345301</v>
      </c>
      <c r="K356" s="8">
        <f>I356/1000000</f>
        <v>0.29632731439999999</v>
      </c>
      <c r="L356" s="8">
        <f>J356/1000000</f>
        <v>0.23421890157345301</v>
      </c>
      <c r="M356" t="s">
        <v>19</v>
      </c>
    </row>
    <row r="357" spans="2:13" x14ac:dyDescent="0.25">
      <c r="B357" t="s">
        <v>13</v>
      </c>
      <c r="C357" t="s">
        <v>46</v>
      </c>
      <c r="D357" t="s">
        <v>100</v>
      </c>
      <c r="E357">
        <v>2028</v>
      </c>
      <c r="F357" t="s">
        <v>20</v>
      </c>
      <c r="G357" t="s">
        <v>17</v>
      </c>
      <c r="H357" t="s">
        <v>18</v>
      </c>
      <c r="I357" s="8">
        <v>428165.67180000001</v>
      </c>
      <c r="J357" s="8">
        <v>446005.908105265</v>
      </c>
      <c r="K357" s="8">
        <f>I357/1000000</f>
        <v>0.42816567180000004</v>
      </c>
      <c r="L357" s="8">
        <f>J357/1000000</f>
        <v>0.44600590810526503</v>
      </c>
      <c r="M357" t="s">
        <v>19</v>
      </c>
    </row>
    <row r="358" spans="2:13" x14ac:dyDescent="0.25">
      <c r="B358" t="s">
        <v>13</v>
      </c>
      <c r="C358" t="s">
        <v>46</v>
      </c>
      <c r="D358" t="s">
        <v>102</v>
      </c>
      <c r="E358">
        <v>2030</v>
      </c>
      <c r="F358" t="s">
        <v>20</v>
      </c>
      <c r="G358" t="s">
        <v>17</v>
      </c>
      <c r="H358" t="s">
        <v>18</v>
      </c>
      <c r="I358" s="8">
        <v>20978.6646</v>
      </c>
      <c r="J358" s="8">
        <v>47022.874724542598</v>
      </c>
      <c r="K358" s="8">
        <f>I358/1000000</f>
        <v>2.0978664599999999E-2</v>
      </c>
      <c r="L358" s="8">
        <f>J358/1000000</f>
        <v>4.7022874724542599E-2</v>
      </c>
      <c r="M358" t="s">
        <v>19</v>
      </c>
    </row>
    <row r="359" spans="2:13" x14ac:dyDescent="0.25">
      <c r="B359" t="s">
        <v>13</v>
      </c>
      <c r="C359" t="s">
        <v>46</v>
      </c>
      <c r="D359" t="s">
        <v>103</v>
      </c>
      <c r="E359">
        <v>2030</v>
      </c>
      <c r="F359" t="s">
        <v>20</v>
      </c>
      <c r="G359" t="s">
        <v>17</v>
      </c>
      <c r="H359" t="s">
        <v>18</v>
      </c>
      <c r="I359" s="8">
        <v>9287.1627000000008</v>
      </c>
      <c r="J359" s="8">
        <v>915.94572905049995</v>
      </c>
      <c r="K359" s="8">
        <f>I359/1000000</f>
        <v>9.2871627000000005E-3</v>
      </c>
      <c r="L359" s="8">
        <f>J359/1000000</f>
        <v>9.1594572905049992E-4</v>
      </c>
      <c r="M359" t="s">
        <v>39</v>
      </c>
    </row>
    <row r="360" spans="2:13" x14ac:dyDescent="0.25">
      <c r="B360" t="s">
        <v>13</v>
      </c>
      <c r="C360" t="s">
        <v>14</v>
      </c>
      <c r="D360" t="s">
        <v>121</v>
      </c>
      <c r="E360">
        <v>2027</v>
      </c>
      <c r="F360" t="s">
        <v>20</v>
      </c>
      <c r="G360" t="s">
        <v>17</v>
      </c>
      <c r="H360" t="s">
        <v>18</v>
      </c>
      <c r="I360" s="8">
        <v>659356.81709999999</v>
      </c>
      <c r="J360" s="8">
        <v>1292218.0171935901</v>
      </c>
      <c r="K360" s="8">
        <f>I360/1000000</f>
        <v>0.65935681709999994</v>
      </c>
      <c r="L360" s="8">
        <f>J360/1000000</f>
        <v>1.29221801719359</v>
      </c>
      <c r="M360" t="s">
        <v>19</v>
      </c>
    </row>
    <row r="361" spans="2:13" x14ac:dyDescent="0.25">
      <c r="B361" t="s">
        <v>13</v>
      </c>
      <c r="C361" t="s">
        <v>14</v>
      </c>
      <c r="D361" t="s">
        <v>74</v>
      </c>
      <c r="E361">
        <v>2028</v>
      </c>
      <c r="F361" t="s">
        <v>20</v>
      </c>
      <c r="G361" t="s">
        <v>17</v>
      </c>
      <c r="H361" t="s">
        <v>18</v>
      </c>
      <c r="I361" s="8">
        <v>1747005.8883</v>
      </c>
      <c r="J361" s="8">
        <v>1035447.35067418</v>
      </c>
      <c r="K361" s="8">
        <f>I361/1000000</f>
        <v>1.7470058882999999</v>
      </c>
      <c r="L361" s="8">
        <f>J361/1000000</f>
        <v>1.0354473506741799</v>
      </c>
      <c r="M361" t="s">
        <v>39</v>
      </c>
    </row>
    <row r="362" spans="2:13" x14ac:dyDescent="0.25">
      <c r="B362" t="s">
        <v>13</v>
      </c>
      <c r="C362" t="s">
        <v>14</v>
      </c>
      <c r="D362" t="s">
        <v>52</v>
      </c>
      <c r="E362">
        <v>2029</v>
      </c>
      <c r="F362" t="s">
        <v>20</v>
      </c>
      <c r="G362" t="s">
        <v>17</v>
      </c>
      <c r="H362" t="s">
        <v>18</v>
      </c>
      <c r="I362" s="8">
        <v>2271158.4674</v>
      </c>
      <c r="J362" s="8">
        <v>1965063.0798750001</v>
      </c>
      <c r="K362" s="8">
        <f>I362/1000000</f>
        <v>2.2711584673999998</v>
      </c>
      <c r="L362" s="8">
        <f>J362/1000000</f>
        <v>1.965063079875</v>
      </c>
      <c r="M362" t="s">
        <v>19</v>
      </c>
    </row>
    <row r="363" spans="2:13" x14ac:dyDescent="0.25">
      <c r="B363" t="s">
        <v>13</v>
      </c>
      <c r="C363" t="s">
        <v>14</v>
      </c>
      <c r="D363" t="s">
        <v>15</v>
      </c>
      <c r="E363">
        <v>2027</v>
      </c>
      <c r="F363" t="s">
        <v>33</v>
      </c>
      <c r="G363" t="s">
        <v>17</v>
      </c>
      <c r="H363" t="s">
        <v>18</v>
      </c>
      <c r="I363" s="8">
        <v>3963509.6003</v>
      </c>
      <c r="J363" s="8">
        <v>1310040.5</v>
      </c>
      <c r="K363" s="8">
        <f>I363/1000000</f>
        <v>3.9635096003000001</v>
      </c>
      <c r="L363" s="8">
        <f>J363/1000000</f>
        <v>1.3100404999999999</v>
      </c>
      <c r="M363" t="s">
        <v>19</v>
      </c>
    </row>
    <row r="364" spans="2:13" x14ac:dyDescent="0.25">
      <c r="B364" t="s">
        <v>13</v>
      </c>
      <c r="C364" t="s">
        <v>14</v>
      </c>
      <c r="D364" t="s">
        <v>40</v>
      </c>
      <c r="E364">
        <v>2027</v>
      </c>
      <c r="F364" t="s">
        <v>33</v>
      </c>
      <c r="G364" t="s">
        <v>17</v>
      </c>
      <c r="H364" t="s">
        <v>18</v>
      </c>
      <c r="I364" s="8">
        <v>15698108.069399999</v>
      </c>
      <c r="J364" s="8">
        <v>5059412.9865277801</v>
      </c>
      <c r="K364" s="8">
        <f>I364/1000000</f>
        <v>15.6981080694</v>
      </c>
      <c r="L364" s="8">
        <f>J364/1000000</f>
        <v>5.0594129865277804</v>
      </c>
      <c r="M364" t="s">
        <v>39</v>
      </c>
    </row>
    <row r="365" spans="2:13" x14ac:dyDescent="0.25">
      <c r="B365" t="s">
        <v>13</v>
      </c>
      <c r="C365" t="s">
        <v>14</v>
      </c>
      <c r="D365" t="s">
        <v>40</v>
      </c>
      <c r="E365">
        <v>2028</v>
      </c>
      <c r="F365" t="s">
        <v>33</v>
      </c>
      <c r="G365" t="s">
        <v>17</v>
      </c>
      <c r="H365" t="s">
        <v>18</v>
      </c>
      <c r="I365" s="8">
        <v>4893207.3949999996</v>
      </c>
      <c r="J365" s="8">
        <v>1381613.36541667</v>
      </c>
      <c r="K365" s="8">
        <f>I365/1000000</f>
        <v>4.8932073949999992</v>
      </c>
      <c r="L365" s="8">
        <f>J365/1000000</f>
        <v>1.38161336541667</v>
      </c>
      <c r="M365" t="s">
        <v>39</v>
      </c>
    </row>
    <row r="366" spans="2:13" x14ac:dyDescent="0.25">
      <c r="B366" t="s">
        <v>13</v>
      </c>
      <c r="C366" t="s">
        <v>46</v>
      </c>
      <c r="D366" t="s">
        <v>121</v>
      </c>
      <c r="E366">
        <v>2028</v>
      </c>
      <c r="F366" t="s">
        <v>33</v>
      </c>
      <c r="G366" t="s">
        <v>17</v>
      </c>
      <c r="H366" t="s">
        <v>18</v>
      </c>
      <c r="I366" s="8">
        <v>100726.42260000001</v>
      </c>
      <c r="J366" s="8">
        <v>139762.23392857099</v>
      </c>
      <c r="K366" s="8">
        <f>I366/1000000</f>
        <v>0.1007264226</v>
      </c>
      <c r="L366" s="8">
        <f>J366/1000000</f>
        <v>0.13976223392857098</v>
      </c>
      <c r="M366" t="s">
        <v>19</v>
      </c>
    </row>
    <row r="367" spans="2:13" x14ac:dyDescent="0.25">
      <c r="B367" t="s">
        <v>13</v>
      </c>
      <c r="C367" t="s">
        <v>46</v>
      </c>
      <c r="D367" t="s">
        <v>121</v>
      </c>
      <c r="E367">
        <v>2027</v>
      </c>
      <c r="F367" t="s">
        <v>33</v>
      </c>
      <c r="G367" t="s">
        <v>17</v>
      </c>
      <c r="H367" t="s">
        <v>18</v>
      </c>
      <c r="I367" s="8">
        <v>712516.95079999999</v>
      </c>
      <c r="J367" s="8">
        <v>971326.73077000002</v>
      </c>
      <c r="K367" s="8">
        <f>I367/1000000</f>
        <v>0.71251695079999999</v>
      </c>
      <c r="L367" s="8">
        <f>J367/1000000</f>
        <v>0.97132673076999998</v>
      </c>
      <c r="M367" t="s">
        <v>19</v>
      </c>
    </row>
    <row r="368" spans="2:13" x14ac:dyDescent="0.25">
      <c r="B368" t="s">
        <v>13</v>
      </c>
      <c r="C368" t="s">
        <v>46</v>
      </c>
      <c r="D368" t="s">
        <v>121</v>
      </c>
      <c r="E368">
        <v>2028</v>
      </c>
      <c r="F368" t="s">
        <v>33</v>
      </c>
      <c r="G368" t="s">
        <v>17</v>
      </c>
      <c r="H368" t="s">
        <v>18</v>
      </c>
      <c r="I368" s="8">
        <v>739661.2683</v>
      </c>
      <c r="J368" s="8">
        <v>1001856.33488574</v>
      </c>
      <c r="K368" s="8">
        <f>I368/1000000</f>
        <v>0.73966126830000001</v>
      </c>
      <c r="L368" s="8">
        <f>J368/1000000</f>
        <v>1.0018563348857399</v>
      </c>
      <c r="M368" t="s">
        <v>19</v>
      </c>
    </row>
    <row r="369" spans="2:13" x14ac:dyDescent="0.25">
      <c r="B369" t="s">
        <v>13</v>
      </c>
      <c r="C369" t="s">
        <v>46</v>
      </c>
      <c r="D369" t="s">
        <v>121</v>
      </c>
      <c r="E369">
        <v>2027</v>
      </c>
      <c r="F369" t="s">
        <v>33</v>
      </c>
      <c r="G369" t="s">
        <v>17</v>
      </c>
      <c r="H369" t="s">
        <v>18</v>
      </c>
      <c r="I369" s="8">
        <v>99397.3508</v>
      </c>
      <c r="J369" s="8">
        <v>138969.35</v>
      </c>
      <c r="K369" s="8">
        <f>I369/1000000</f>
        <v>9.9397350800000006E-2</v>
      </c>
      <c r="L369" s="8">
        <f>J369/1000000</f>
        <v>0.13896935000000002</v>
      </c>
      <c r="M369" t="s">
        <v>19</v>
      </c>
    </row>
    <row r="370" spans="2:13" x14ac:dyDescent="0.25">
      <c r="B370" t="s">
        <v>13</v>
      </c>
      <c r="C370" t="s">
        <v>46</v>
      </c>
      <c r="D370" t="s">
        <v>52</v>
      </c>
      <c r="E370">
        <v>2030</v>
      </c>
      <c r="F370" t="s">
        <v>33</v>
      </c>
      <c r="G370" t="s">
        <v>17</v>
      </c>
      <c r="H370" t="s">
        <v>18</v>
      </c>
      <c r="I370" s="8">
        <v>1580643.0514</v>
      </c>
      <c r="J370" s="8">
        <v>1238272.04202474</v>
      </c>
      <c r="K370" s="8">
        <f>I370/1000000</f>
        <v>1.5806430514000001</v>
      </c>
      <c r="L370" s="8">
        <f>J370/1000000</f>
        <v>1.2382720420247399</v>
      </c>
      <c r="M370" t="s">
        <v>19</v>
      </c>
    </row>
    <row r="371" spans="2:13" x14ac:dyDescent="0.25">
      <c r="B371" t="s">
        <v>13</v>
      </c>
      <c r="C371" t="s">
        <v>46</v>
      </c>
      <c r="D371" t="s">
        <v>69</v>
      </c>
      <c r="E371">
        <v>2028</v>
      </c>
      <c r="F371" t="s">
        <v>33</v>
      </c>
      <c r="G371" t="s">
        <v>17</v>
      </c>
      <c r="H371" t="s">
        <v>18</v>
      </c>
      <c r="I371" s="8">
        <v>438810.36330000003</v>
      </c>
      <c r="J371" s="8">
        <v>167535.92006117501</v>
      </c>
      <c r="K371" s="8">
        <f>I371/1000000</f>
        <v>0.43881036330000001</v>
      </c>
      <c r="L371" s="8">
        <f>J371/1000000</f>
        <v>0.16753592006117501</v>
      </c>
      <c r="M371" t="s">
        <v>19</v>
      </c>
    </row>
    <row r="372" spans="2:13" x14ac:dyDescent="0.25">
      <c r="B372" t="s">
        <v>13</v>
      </c>
      <c r="C372" t="s">
        <v>46</v>
      </c>
      <c r="D372" t="s">
        <v>72</v>
      </c>
      <c r="E372">
        <v>2027</v>
      </c>
      <c r="F372" t="s">
        <v>33</v>
      </c>
      <c r="G372" t="s">
        <v>17</v>
      </c>
      <c r="H372" t="s">
        <v>18</v>
      </c>
      <c r="I372" s="8">
        <v>399135.91249999998</v>
      </c>
      <c r="J372" s="8">
        <v>162823.67887500001</v>
      </c>
      <c r="K372" s="8">
        <f>I372/1000000</f>
        <v>0.39913591249999997</v>
      </c>
      <c r="L372" s="8">
        <f>J372/1000000</f>
        <v>0.16282367887500002</v>
      </c>
      <c r="M372" t="s">
        <v>19</v>
      </c>
    </row>
    <row r="373" spans="2:13" x14ac:dyDescent="0.25">
      <c r="B373" t="s">
        <v>13</v>
      </c>
      <c r="C373" t="s">
        <v>46</v>
      </c>
      <c r="D373" t="s">
        <v>72</v>
      </c>
      <c r="E373">
        <v>2028</v>
      </c>
      <c r="F373" t="s">
        <v>33</v>
      </c>
      <c r="G373" t="s">
        <v>17</v>
      </c>
      <c r="H373" t="s">
        <v>18</v>
      </c>
      <c r="I373" s="8">
        <v>402394.9804</v>
      </c>
      <c r="J373" s="8">
        <v>165043.437755625</v>
      </c>
      <c r="K373" s="8">
        <f>I373/1000000</f>
        <v>0.40239498039999999</v>
      </c>
      <c r="L373" s="8">
        <f>J373/1000000</f>
        <v>0.16504343775562499</v>
      </c>
      <c r="M373" t="s">
        <v>19</v>
      </c>
    </row>
    <row r="374" spans="2:13" x14ac:dyDescent="0.25">
      <c r="B374" t="s">
        <v>13</v>
      </c>
      <c r="C374" t="s">
        <v>46</v>
      </c>
      <c r="D374" t="s">
        <v>74</v>
      </c>
      <c r="E374">
        <v>2027</v>
      </c>
      <c r="F374" t="s">
        <v>33</v>
      </c>
      <c r="G374" t="s">
        <v>17</v>
      </c>
      <c r="H374" t="s">
        <v>18</v>
      </c>
      <c r="I374" s="8">
        <v>134410.0232</v>
      </c>
      <c r="J374" s="8">
        <v>81250</v>
      </c>
      <c r="K374" s="8">
        <f>I374/1000000</f>
        <v>0.13441002320000001</v>
      </c>
      <c r="L374" s="8">
        <f>J374/1000000</f>
        <v>8.1250000000000003E-2</v>
      </c>
      <c r="M374" t="s">
        <v>19</v>
      </c>
    </row>
    <row r="375" spans="2:13" x14ac:dyDescent="0.25">
      <c r="B375" t="s">
        <v>13</v>
      </c>
      <c r="C375" t="s">
        <v>46</v>
      </c>
      <c r="D375" t="s">
        <v>74</v>
      </c>
      <c r="E375">
        <v>2028</v>
      </c>
      <c r="F375" t="s">
        <v>33</v>
      </c>
      <c r="G375" t="s">
        <v>17</v>
      </c>
      <c r="H375" t="s">
        <v>18</v>
      </c>
      <c r="I375" s="8">
        <v>124590.08839999999</v>
      </c>
      <c r="J375" s="8">
        <v>81250</v>
      </c>
      <c r="K375" s="8">
        <f>I375/1000000</f>
        <v>0.12459008839999999</v>
      </c>
      <c r="L375" s="8">
        <f>J375/1000000</f>
        <v>8.1250000000000003E-2</v>
      </c>
      <c r="M375" t="s">
        <v>19</v>
      </c>
    </row>
    <row r="376" spans="2:13" x14ac:dyDescent="0.25">
      <c r="B376" t="s">
        <v>13</v>
      </c>
      <c r="C376" t="s">
        <v>46</v>
      </c>
      <c r="D376" t="s">
        <v>69</v>
      </c>
      <c r="E376">
        <v>2028</v>
      </c>
      <c r="F376" t="s">
        <v>33</v>
      </c>
      <c r="G376" t="s">
        <v>17</v>
      </c>
      <c r="H376" t="s">
        <v>18</v>
      </c>
      <c r="I376" s="8">
        <v>5252180.4839000003</v>
      </c>
      <c r="J376" s="8">
        <v>2002136.0654518399</v>
      </c>
      <c r="K376" s="8">
        <f>I376/1000000</f>
        <v>5.2521804839000001</v>
      </c>
      <c r="L376" s="8">
        <f>J376/1000000</f>
        <v>2.0021360654518401</v>
      </c>
      <c r="M376" t="s">
        <v>19</v>
      </c>
    </row>
    <row r="377" spans="2:13" x14ac:dyDescent="0.25">
      <c r="B377" t="s">
        <v>13</v>
      </c>
      <c r="C377" t="s">
        <v>46</v>
      </c>
      <c r="D377" t="s">
        <v>69</v>
      </c>
      <c r="E377">
        <v>2029</v>
      </c>
      <c r="F377" t="s">
        <v>33</v>
      </c>
      <c r="G377" t="s">
        <v>17</v>
      </c>
      <c r="H377" t="s">
        <v>18</v>
      </c>
      <c r="I377" s="8">
        <v>4629073.2419999996</v>
      </c>
      <c r="J377" s="8">
        <v>2022393.43305231</v>
      </c>
      <c r="K377" s="8">
        <f>I377/1000000</f>
        <v>4.6290732419999996</v>
      </c>
      <c r="L377" s="8">
        <f>J377/1000000</f>
        <v>2.0223934330523101</v>
      </c>
      <c r="M377" t="s">
        <v>19</v>
      </c>
    </row>
    <row r="378" spans="2:13" x14ac:dyDescent="0.25">
      <c r="B378" t="s">
        <v>13</v>
      </c>
      <c r="C378" t="s">
        <v>46</v>
      </c>
      <c r="D378" t="s">
        <v>69</v>
      </c>
      <c r="E378">
        <v>2030</v>
      </c>
      <c r="F378" t="s">
        <v>33</v>
      </c>
      <c r="G378" t="s">
        <v>17</v>
      </c>
      <c r="H378" t="s">
        <v>18</v>
      </c>
      <c r="I378" s="8">
        <v>4723368.2646000003</v>
      </c>
      <c r="J378" s="8">
        <v>2058785.2763698101</v>
      </c>
      <c r="K378" s="8">
        <f>I378/1000000</f>
        <v>4.7233682646000004</v>
      </c>
      <c r="L378" s="8">
        <f>J378/1000000</f>
        <v>2.05878527636981</v>
      </c>
      <c r="M378" t="s">
        <v>19</v>
      </c>
    </row>
    <row r="379" spans="2:13" x14ac:dyDescent="0.25">
      <c r="B379" t="s">
        <v>13</v>
      </c>
      <c r="C379" t="s">
        <v>46</v>
      </c>
      <c r="D379" t="s">
        <v>74</v>
      </c>
      <c r="E379">
        <v>2026</v>
      </c>
      <c r="F379" t="s">
        <v>33</v>
      </c>
      <c r="G379" t="s">
        <v>17</v>
      </c>
      <c r="H379" t="s">
        <v>18</v>
      </c>
      <c r="I379" s="8">
        <v>765676.39749999996</v>
      </c>
      <c r="J379" s="8">
        <v>451300</v>
      </c>
      <c r="K379" s="8">
        <f>I379/1000000</f>
        <v>0.76567639749999994</v>
      </c>
      <c r="L379" s="8">
        <f>J379/1000000</f>
        <v>0.45129999999999998</v>
      </c>
      <c r="M379" t="s">
        <v>19</v>
      </c>
    </row>
    <row r="380" spans="2:13" x14ac:dyDescent="0.25">
      <c r="B380" t="s">
        <v>13</v>
      </c>
      <c r="C380" t="s">
        <v>46</v>
      </c>
      <c r="D380" t="s">
        <v>74</v>
      </c>
      <c r="E380">
        <v>2027</v>
      </c>
      <c r="F380" t="s">
        <v>33</v>
      </c>
      <c r="G380" t="s">
        <v>17</v>
      </c>
      <c r="H380" t="s">
        <v>18</v>
      </c>
      <c r="I380" s="8">
        <v>1051788.9106999999</v>
      </c>
      <c r="J380" s="8">
        <v>633226.15913834504</v>
      </c>
      <c r="K380" s="8">
        <f>I380/1000000</f>
        <v>1.0517889106999998</v>
      </c>
      <c r="L380" s="8">
        <f>J380/1000000</f>
        <v>0.63322615913834501</v>
      </c>
      <c r="M380" t="s">
        <v>19</v>
      </c>
    </row>
    <row r="381" spans="2:13" x14ac:dyDescent="0.25">
      <c r="B381" t="s">
        <v>13</v>
      </c>
      <c r="C381" t="s">
        <v>46</v>
      </c>
      <c r="D381" t="s">
        <v>74</v>
      </c>
      <c r="E381">
        <v>2028</v>
      </c>
      <c r="F381" t="s">
        <v>33</v>
      </c>
      <c r="G381" t="s">
        <v>17</v>
      </c>
      <c r="H381" t="s">
        <v>18</v>
      </c>
      <c r="I381" s="8">
        <v>966155.3406</v>
      </c>
      <c r="J381" s="8">
        <v>627090.99068007502</v>
      </c>
      <c r="K381" s="8">
        <f>I381/1000000</f>
        <v>0.96615534059999997</v>
      </c>
      <c r="L381" s="8">
        <f>J381/1000000</f>
        <v>0.62709099068007501</v>
      </c>
      <c r="M381" t="s">
        <v>19</v>
      </c>
    </row>
    <row r="382" spans="2:13" x14ac:dyDescent="0.25">
      <c r="B382" t="s">
        <v>13</v>
      </c>
      <c r="C382" t="s">
        <v>46</v>
      </c>
      <c r="D382" t="s">
        <v>74</v>
      </c>
      <c r="E382">
        <v>2029</v>
      </c>
      <c r="F382" t="s">
        <v>33</v>
      </c>
      <c r="G382" t="s">
        <v>17</v>
      </c>
      <c r="H382" t="s">
        <v>18</v>
      </c>
      <c r="I382" s="8">
        <v>952244.8933</v>
      </c>
      <c r="J382" s="8">
        <v>633926.20874670299</v>
      </c>
      <c r="K382" s="8">
        <f>I382/1000000</f>
        <v>0.95224489329999995</v>
      </c>
      <c r="L382" s="8">
        <f>J382/1000000</f>
        <v>0.63392620874670302</v>
      </c>
      <c r="M382" t="s">
        <v>19</v>
      </c>
    </row>
    <row r="383" spans="2:13" x14ac:dyDescent="0.25">
      <c r="B383" t="s">
        <v>13</v>
      </c>
      <c r="C383" t="s">
        <v>46</v>
      </c>
      <c r="D383" t="s">
        <v>74</v>
      </c>
      <c r="E383">
        <v>2030</v>
      </c>
      <c r="F383" t="s">
        <v>33</v>
      </c>
      <c r="G383" t="s">
        <v>17</v>
      </c>
      <c r="H383" t="s">
        <v>18</v>
      </c>
      <c r="I383" s="8">
        <v>957716.54200000002</v>
      </c>
      <c r="J383" s="8">
        <v>639831.506648849</v>
      </c>
      <c r="K383" s="8">
        <f>I383/1000000</f>
        <v>0.957716542</v>
      </c>
      <c r="L383" s="8">
        <f>J383/1000000</f>
        <v>0.63983150664884902</v>
      </c>
      <c r="M383" t="s">
        <v>19</v>
      </c>
    </row>
    <row r="384" spans="2:13" x14ac:dyDescent="0.25">
      <c r="B384" t="s">
        <v>13</v>
      </c>
      <c r="C384" t="s">
        <v>46</v>
      </c>
      <c r="D384" t="s">
        <v>73</v>
      </c>
      <c r="E384">
        <v>2026</v>
      </c>
      <c r="F384" t="s">
        <v>33</v>
      </c>
      <c r="G384" t="s">
        <v>17</v>
      </c>
      <c r="H384" t="s">
        <v>18</v>
      </c>
      <c r="I384" s="8">
        <v>1606030.6980000001</v>
      </c>
      <c r="J384" s="8">
        <v>1684500</v>
      </c>
      <c r="K384" s="8">
        <f>I384/1000000</f>
        <v>1.6060306980000001</v>
      </c>
      <c r="L384" s="8">
        <f>J384/1000000</f>
        <v>1.6845000000000001</v>
      </c>
      <c r="M384" t="s">
        <v>19</v>
      </c>
    </row>
    <row r="385" spans="2:13" x14ac:dyDescent="0.25">
      <c r="B385" t="s">
        <v>13</v>
      </c>
      <c r="C385" t="s">
        <v>46</v>
      </c>
      <c r="D385" t="s">
        <v>70</v>
      </c>
      <c r="E385">
        <v>2026</v>
      </c>
      <c r="F385" t="s">
        <v>33</v>
      </c>
      <c r="G385" t="s">
        <v>17</v>
      </c>
      <c r="H385" t="s">
        <v>18</v>
      </c>
      <c r="I385" s="8">
        <v>2263010.3986</v>
      </c>
      <c r="J385" s="8">
        <v>1313200</v>
      </c>
      <c r="K385" s="8">
        <f>I385/1000000</f>
        <v>2.2630103986000001</v>
      </c>
      <c r="L385" s="8">
        <f>J385/1000000</f>
        <v>1.3131999999999999</v>
      </c>
      <c r="M385" t="s">
        <v>19</v>
      </c>
    </row>
    <row r="386" spans="2:13" x14ac:dyDescent="0.25">
      <c r="B386" t="s">
        <v>13</v>
      </c>
      <c r="C386" t="s">
        <v>46</v>
      </c>
      <c r="D386" t="s">
        <v>40</v>
      </c>
      <c r="E386">
        <v>2028</v>
      </c>
      <c r="F386" t="s">
        <v>33</v>
      </c>
      <c r="G386" t="s">
        <v>17</v>
      </c>
      <c r="H386" t="s">
        <v>18</v>
      </c>
      <c r="I386" s="8">
        <v>301069.96139999997</v>
      </c>
      <c r="J386" s="8">
        <v>85206.715210355993</v>
      </c>
      <c r="K386" s="8">
        <f>I386/1000000</f>
        <v>0.30106996139999997</v>
      </c>
      <c r="L386" s="8">
        <f>J386/1000000</f>
        <v>8.5206715210355999E-2</v>
      </c>
      <c r="M386" t="s">
        <v>39</v>
      </c>
    </row>
    <row r="387" spans="2:13" x14ac:dyDescent="0.25">
      <c r="B387" t="s">
        <v>13</v>
      </c>
      <c r="C387" t="s">
        <v>46</v>
      </c>
      <c r="D387" t="s">
        <v>100</v>
      </c>
      <c r="E387">
        <v>2027</v>
      </c>
      <c r="F387" t="s">
        <v>33</v>
      </c>
      <c r="G387" t="s">
        <v>17</v>
      </c>
      <c r="H387" t="s">
        <v>18</v>
      </c>
      <c r="I387" s="8">
        <v>132253.59940000001</v>
      </c>
      <c r="J387" s="8">
        <v>162274.35509999999</v>
      </c>
      <c r="K387" s="8">
        <f>I387/1000000</f>
        <v>0.1322535994</v>
      </c>
      <c r="L387" s="8">
        <f>J387/1000000</f>
        <v>0.16227435509999999</v>
      </c>
      <c r="M387" t="s">
        <v>19</v>
      </c>
    </row>
    <row r="388" spans="2:13" x14ac:dyDescent="0.25">
      <c r="B388" t="s">
        <v>13</v>
      </c>
      <c r="C388" t="s">
        <v>46</v>
      </c>
      <c r="D388" t="s">
        <v>100</v>
      </c>
      <c r="E388">
        <v>2028</v>
      </c>
      <c r="F388" t="s">
        <v>33</v>
      </c>
      <c r="G388" t="s">
        <v>17</v>
      </c>
      <c r="H388" t="s">
        <v>18</v>
      </c>
      <c r="I388" s="8">
        <v>132034.75020000001</v>
      </c>
      <c r="J388" s="8">
        <v>165043.437755625</v>
      </c>
      <c r="K388" s="8">
        <f>I388/1000000</f>
        <v>0.13203475020000002</v>
      </c>
      <c r="L388" s="8">
        <f>J388/1000000</f>
        <v>0.16504343775562499</v>
      </c>
      <c r="M388" t="s">
        <v>19</v>
      </c>
    </row>
    <row r="389" spans="2:13" x14ac:dyDescent="0.25">
      <c r="B389" t="s">
        <v>13</v>
      </c>
      <c r="C389" t="s">
        <v>46</v>
      </c>
      <c r="D389" t="s">
        <v>40</v>
      </c>
      <c r="E389">
        <v>2028</v>
      </c>
      <c r="F389" t="s">
        <v>33</v>
      </c>
      <c r="G389" t="s">
        <v>17</v>
      </c>
      <c r="H389" t="s">
        <v>18</v>
      </c>
      <c r="I389" s="8">
        <v>1937271.5493999999</v>
      </c>
      <c r="J389" s="8">
        <v>546061.39269911905</v>
      </c>
      <c r="K389" s="8">
        <f>I389/1000000</f>
        <v>1.9372715493999999</v>
      </c>
      <c r="L389" s="8">
        <f>J389/1000000</f>
        <v>0.54606139269911902</v>
      </c>
      <c r="M389" t="s">
        <v>39</v>
      </c>
    </row>
    <row r="390" spans="2:13" x14ac:dyDescent="0.25">
      <c r="B390" t="s">
        <v>13</v>
      </c>
      <c r="C390" t="s">
        <v>46</v>
      </c>
      <c r="D390" t="s">
        <v>40</v>
      </c>
      <c r="E390">
        <v>2029</v>
      </c>
      <c r="F390" t="s">
        <v>33</v>
      </c>
      <c r="G390" t="s">
        <v>17</v>
      </c>
      <c r="H390" t="s">
        <v>18</v>
      </c>
      <c r="I390" s="8">
        <v>1966577.1440999999</v>
      </c>
      <c r="J390" s="8">
        <v>554321.80093370005</v>
      </c>
      <c r="K390" s="8">
        <f>I390/1000000</f>
        <v>1.9665771441</v>
      </c>
      <c r="L390" s="8">
        <f>J390/1000000</f>
        <v>0.55432180093370009</v>
      </c>
      <c r="M390" t="s">
        <v>39</v>
      </c>
    </row>
    <row r="391" spans="2:13" x14ac:dyDescent="0.25">
      <c r="B391" t="s">
        <v>13</v>
      </c>
      <c r="C391" t="s">
        <v>46</v>
      </c>
      <c r="D391" t="s">
        <v>40</v>
      </c>
      <c r="E391">
        <v>2030</v>
      </c>
      <c r="F391" t="s">
        <v>33</v>
      </c>
      <c r="G391" t="s">
        <v>17</v>
      </c>
      <c r="H391" t="s">
        <v>18</v>
      </c>
      <c r="I391" s="8">
        <v>1986074.6385999999</v>
      </c>
      <c r="J391" s="8">
        <v>559817.58646293497</v>
      </c>
      <c r="K391" s="8">
        <f>I391/1000000</f>
        <v>1.9860746385999999</v>
      </c>
      <c r="L391" s="8">
        <f>J391/1000000</f>
        <v>0.559817586462935</v>
      </c>
      <c r="M391" t="s">
        <v>39</v>
      </c>
    </row>
    <row r="392" spans="2:13" x14ac:dyDescent="0.25">
      <c r="B392" t="s">
        <v>13</v>
      </c>
      <c r="C392" t="s">
        <v>46</v>
      </c>
      <c r="D392" t="s">
        <v>38</v>
      </c>
      <c r="E392">
        <v>2026</v>
      </c>
      <c r="F392" t="s">
        <v>33</v>
      </c>
      <c r="G392" t="s">
        <v>17</v>
      </c>
      <c r="H392" t="s">
        <v>18</v>
      </c>
      <c r="I392" s="8">
        <v>336410.10159999999</v>
      </c>
      <c r="J392" s="8">
        <v>393500</v>
      </c>
      <c r="K392" s="8">
        <f>I392/1000000</f>
        <v>0.33641010160000001</v>
      </c>
      <c r="L392" s="8">
        <f>J392/1000000</f>
        <v>0.39350000000000002</v>
      </c>
      <c r="M392" t="s">
        <v>39</v>
      </c>
    </row>
    <row r="393" spans="2:13" x14ac:dyDescent="0.25">
      <c r="B393" t="s">
        <v>13</v>
      </c>
      <c r="C393" t="s">
        <v>46</v>
      </c>
      <c r="D393" t="s">
        <v>15</v>
      </c>
      <c r="E393">
        <v>2028</v>
      </c>
      <c r="F393" t="s">
        <v>33</v>
      </c>
      <c r="G393" t="s">
        <v>17</v>
      </c>
      <c r="H393" t="s">
        <v>18</v>
      </c>
      <c r="I393" s="8">
        <v>454831.4241</v>
      </c>
      <c r="J393" s="8">
        <v>151143.57377690301</v>
      </c>
      <c r="K393" s="8">
        <f>I393/1000000</f>
        <v>0.45483142409999999</v>
      </c>
      <c r="L393" s="8">
        <f>J393/1000000</f>
        <v>0.15114357377690302</v>
      </c>
      <c r="M393" t="s">
        <v>19</v>
      </c>
    </row>
    <row r="394" spans="2:13" x14ac:dyDescent="0.25">
      <c r="B394" t="s">
        <v>13</v>
      </c>
      <c r="C394" t="s">
        <v>46</v>
      </c>
      <c r="D394" t="s">
        <v>15</v>
      </c>
      <c r="E394">
        <v>2029</v>
      </c>
      <c r="F394" t="s">
        <v>33</v>
      </c>
      <c r="G394" t="s">
        <v>17</v>
      </c>
      <c r="H394" t="s">
        <v>18</v>
      </c>
      <c r="I394" s="8">
        <v>468258.60810000001</v>
      </c>
      <c r="J394" s="8">
        <v>155605.51828845701</v>
      </c>
      <c r="K394" s="8">
        <f>I394/1000000</f>
        <v>0.46825860810000003</v>
      </c>
      <c r="L394" s="8">
        <f>J394/1000000</f>
        <v>0.15560551828845701</v>
      </c>
      <c r="M394" t="s">
        <v>19</v>
      </c>
    </row>
    <row r="395" spans="2:13" x14ac:dyDescent="0.25">
      <c r="B395" t="s">
        <v>13</v>
      </c>
      <c r="C395" t="s">
        <v>46</v>
      </c>
      <c r="D395" t="s">
        <v>15</v>
      </c>
      <c r="E395">
        <v>2030</v>
      </c>
      <c r="F395" t="s">
        <v>33</v>
      </c>
      <c r="G395" t="s">
        <v>17</v>
      </c>
      <c r="H395" t="s">
        <v>18</v>
      </c>
      <c r="I395" s="8">
        <v>480229.51439999999</v>
      </c>
      <c r="J395" s="8">
        <v>159583.531818783</v>
      </c>
      <c r="K395" s="8">
        <f>I395/1000000</f>
        <v>0.4802295144</v>
      </c>
      <c r="L395" s="8">
        <f>J395/1000000</f>
        <v>0.15958353181878299</v>
      </c>
      <c r="M395" t="s">
        <v>19</v>
      </c>
    </row>
    <row r="396" spans="2:13" x14ac:dyDescent="0.25">
      <c r="B396" t="s">
        <v>13</v>
      </c>
      <c r="C396" t="s">
        <v>46</v>
      </c>
      <c r="D396" t="s">
        <v>100</v>
      </c>
      <c r="E396">
        <v>2028</v>
      </c>
      <c r="F396" t="s">
        <v>33</v>
      </c>
      <c r="G396" t="s">
        <v>17</v>
      </c>
      <c r="H396" t="s">
        <v>18</v>
      </c>
      <c r="I396" s="8">
        <v>1558151.9201</v>
      </c>
      <c r="J396" s="8">
        <v>1947689.90016458</v>
      </c>
      <c r="K396" s="8">
        <f>I396/1000000</f>
        <v>1.5581519201</v>
      </c>
      <c r="L396" s="8">
        <f>J396/1000000</f>
        <v>1.94768990016458</v>
      </c>
      <c r="M396" t="s">
        <v>19</v>
      </c>
    </row>
    <row r="397" spans="2:13" x14ac:dyDescent="0.25">
      <c r="B397" t="s">
        <v>13</v>
      </c>
      <c r="C397" t="s">
        <v>46</v>
      </c>
      <c r="D397" t="s">
        <v>100</v>
      </c>
      <c r="E397">
        <v>2029</v>
      </c>
      <c r="F397" t="s">
        <v>33</v>
      </c>
      <c r="G397" t="s">
        <v>17</v>
      </c>
      <c r="H397" t="s">
        <v>18</v>
      </c>
      <c r="I397" s="8">
        <v>1595176.3973000001</v>
      </c>
      <c r="J397" s="8">
        <v>1993970.4966088301</v>
      </c>
      <c r="K397" s="8">
        <f>I397/1000000</f>
        <v>1.5951763973000002</v>
      </c>
      <c r="L397" s="8">
        <f>J397/1000000</f>
        <v>1.9939704966088301</v>
      </c>
      <c r="M397" t="s">
        <v>19</v>
      </c>
    </row>
    <row r="398" spans="2:13" x14ac:dyDescent="0.25">
      <c r="B398" t="s">
        <v>13</v>
      </c>
      <c r="C398" t="s">
        <v>46</v>
      </c>
      <c r="D398" t="s">
        <v>100</v>
      </c>
      <c r="E398">
        <v>2030</v>
      </c>
      <c r="F398" t="s">
        <v>33</v>
      </c>
      <c r="G398" t="s">
        <v>17</v>
      </c>
      <c r="H398" t="s">
        <v>18</v>
      </c>
      <c r="I398" s="8">
        <v>1624610.3572</v>
      </c>
      <c r="J398" s="8">
        <v>2030762.9465031801</v>
      </c>
      <c r="K398" s="8">
        <f>I398/1000000</f>
        <v>1.6246103571999999</v>
      </c>
      <c r="L398" s="8">
        <f>J398/1000000</f>
        <v>2.03076294650318</v>
      </c>
      <c r="M398" t="s">
        <v>19</v>
      </c>
    </row>
    <row r="399" spans="2:13" x14ac:dyDescent="0.25">
      <c r="B399" t="s">
        <v>13</v>
      </c>
      <c r="C399" t="s">
        <v>46</v>
      </c>
      <c r="D399" t="s">
        <v>100</v>
      </c>
      <c r="E399">
        <v>2026</v>
      </c>
      <c r="F399" t="s">
        <v>33</v>
      </c>
      <c r="G399" t="s">
        <v>17</v>
      </c>
      <c r="H399" t="s">
        <v>18</v>
      </c>
      <c r="I399" s="8">
        <v>1688140.8822999999</v>
      </c>
      <c r="J399" s="8">
        <v>2071338.50584375</v>
      </c>
      <c r="K399" s="8">
        <f>I399/1000000</f>
        <v>1.6881408822999999</v>
      </c>
      <c r="L399" s="8">
        <f>J399/1000000</f>
        <v>2.0713385058437499</v>
      </c>
      <c r="M399" t="s">
        <v>19</v>
      </c>
    </row>
    <row r="400" spans="2:13" x14ac:dyDescent="0.25">
      <c r="B400" t="s">
        <v>13</v>
      </c>
      <c r="C400" t="s">
        <v>46</v>
      </c>
      <c r="D400" t="s">
        <v>100</v>
      </c>
      <c r="E400">
        <v>2027</v>
      </c>
      <c r="F400" t="s">
        <v>33</v>
      </c>
      <c r="G400" t="s">
        <v>17</v>
      </c>
      <c r="H400" t="s">
        <v>18</v>
      </c>
      <c r="I400" s="8">
        <v>1606952.8123999999</v>
      </c>
      <c r="J400" s="8">
        <v>1971721.2422704999</v>
      </c>
      <c r="K400" s="8">
        <f>I400/1000000</f>
        <v>1.6069528123999999</v>
      </c>
      <c r="L400" s="8">
        <f>J400/1000000</f>
        <v>1.9717212422704999</v>
      </c>
      <c r="M400" t="s">
        <v>19</v>
      </c>
    </row>
    <row r="401" spans="2:13" x14ac:dyDescent="0.25">
      <c r="B401" t="s">
        <v>13</v>
      </c>
      <c r="C401" t="s">
        <v>46</v>
      </c>
      <c r="D401" t="s">
        <v>72</v>
      </c>
      <c r="E401">
        <v>2026</v>
      </c>
      <c r="F401" t="s">
        <v>33</v>
      </c>
      <c r="G401" t="s">
        <v>17</v>
      </c>
      <c r="H401" t="s">
        <v>18</v>
      </c>
      <c r="I401" s="8">
        <v>7507060.7549000001</v>
      </c>
      <c r="J401" s="8">
        <v>2630787.7432499998</v>
      </c>
      <c r="K401" s="8">
        <f>I401/1000000</f>
        <v>7.5070607549000004</v>
      </c>
      <c r="L401" s="8">
        <f>J401/1000000</f>
        <v>2.63078774325</v>
      </c>
      <c r="M401" t="s">
        <v>19</v>
      </c>
    </row>
    <row r="402" spans="2:13" x14ac:dyDescent="0.25">
      <c r="B402" t="s">
        <v>13</v>
      </c>
      <c r="C402" t="s">
        <v>46</v>
      </c>
      <c r="D402" t="s">
        <v>72</v>
      </c>
      <c r="E402">
        <v>2029</v>
      </c>
      <c r="F402" t="s">
        <v>33</v>
      </c>
      <c r="G402" t="s">
        <v>17</v>
      </c>
      <c r="H402" t="s">
        <v>18</v>
      </c>
      <c r="I402" s="8">
        <v>4652411.1147999996</v>
      </c>
      <c r="J402" s="8">
        <v>2224158.9947180999</v>
      </c>
      <c r="K402" s="8">
        <f>I402/1000000</f>
        <v>4.6524111147999996</v>
      </c>
      <c r="L402" s="8">
        <f>J402/1000000</f>
        <v>2.2241589947181</v>
      </c>
      <c r="M402" t="s">
        <v>19</v>
      </c>
    </row>
    <row r="403" spans="2:13" x14ac:dyDescent="0.25">
      <c r="B403" t="s">
        <v>13</v>
      </c>
      <c r="C403" t="s">
        <v>46</v>
      </c>
      <c r="D403" t="s">
        <v>72</v>
      </c>
      <c r="E403">
        <v>2030</v>
      </c>
      <c r="F403" t="s">
        <v>33</v>
      </c>
      <c r="G403" t="s">
        <v>17</v>
      </c>
      <c r="H403" t="s">
        <v>18</v>
      </c>
      <c r="I403" s="8">
        <v>4738256.7193999998</v>
      </c>
      <c r="J403" s="8">
        <v>2265198.8488731198</v>
      </c>
      <c r="K403" s="8">
        <f>I403/1000000</f>
        <v>4.7382567193999998</v>
      </c>
      <c r="L403" s="8">
        <f>J403/1000000</f>
        <v>2.2651988488731196</v>
      </c>
      <c r="M403" t="s">
        <v>19</v>
      </c>
    </row>
    <row r="404" spans="2:13" x14ac:dyDescent="0.25">
      <c r="B404" t="s">
        <v>13</v>
      </c>
      <c r="C404" t="s">
        <v>46</v>
      </c>
      <c r="D404" t="s">
        <v>72</v>
      </c>
      <c r="E404">
        <v>2028</v>
      </c>
      <c r="F404" t="s">
        <v>33</v>
      </c>
      <c r="G404" t="s">
        <v>17</v>
      </c>
      <c r="H404" t="s">
        <v>18</v>
      </c>
      <c r="I404" s="8">
        <v>5304814.8712999998</v>
      </c>
      <c r="J404" s="8">
        <v>2172535.6607532902</v>
      </c>
      <c r="K404" s="8">
        <f>I404/1000000</f>
        <v>5.3048148712999996</v>
      </c>
      <c r="L404" s="8">
        <f>J404/1000000</f>
        <v>2.1725356607532902</v>
      </c>
      <c r="M404" t="s">
        <v>19</v>
      </c>
    </row>
    <row r="405" spans="2:13" x14ac:dyDescent="0.25">
      <c r="B405" t="s">
        <v>13</v>
      </c>
      <c r="C405" t="s">
        <v>46</v>
      </c>
      <c r="D405" t="s">
        <v>72</v>
      </c>
      <c r="E405">
        <v>2027</v>
      </c>
      <c r="F405" t="s">
        <v>33</v>
      </c>
      <c r="G405" t="s">
        <v>17</v>
      </c>
      <c r="H405" t="s">
        <v>18</v>
      </c>
      <c r="I405" s="8">
        <v>5396173.9511000002</v>
      </c>
      <c r="J405" s="8">
        <v>2199341.235756</v>
      </c>
      <c r="K405" s="8">
        <f>I405/1000000</f>
        <v>5.3961739510999998</v>
      </c>
      <c r="L405" s="8">
        <f>J405/1000000</f>
        <v>2.199341235756</v>
      </c>
      <c r="M405" t="s">
        <v>19</v>
      </c>
    </row>
    <row r="406" spans="2:13" x14ac:dyDescent="0.25">
      <c r="B406" t="s">
        <v>13</v>
      </c>
      <c r="C406" t="s">
        <v>46</v>
      </c>
      <c r="D406" t="s">
        <v>76</v>
      </c>
      <c r="E406">
        <v>2028</v>
      </c>
      <c r="F406" t="s">
        <v>33</v>
      </c>
      <c r="G406" t="s">
        <v>17</v>
      </c>
      <c r="H406" t="s">
        <v>18</v>
      </c>
      <c r="I406" s="8">
        <v>2602458.8487</v>
      </c>
      <c r="J406" s="8">
        <v>815211.58448530303</v>
      </c>
      <c r="K406" s="8">
        <f>I406/1000000</f>
        <v>2.6024588487</v>
      </c>
      <c r="L406" s="8">
        <f>J406/1000000</f>
        <v>0.81521158448530306</v>
      </c>
      <c r="M406" t="s">
        <v>39</v>
      </c>
    </row>
    <row r="407" spans="2:13" x14ac:dyDescent="0.25">
      <c r="B407" t="s">
        <v>13</v>
      </c>
      <c r="C407" t="s">
        <v>46</v>
      </c>
      <c r="D407" t="s">
        <v>76</v>
      </c>
      <c r="E407">
        <v>2027</v>
      </c>
      <c r="F407" t="s">
        <v>33</v>
      </c>
      <c r="G407" t="s">
        <v>17</v>
      </c>
      <c r="H407" t="s">
        <v>18</v>
      </c>
      <c r="I407" s="8">
        <v>2815511.9001000002</v>
      </c>
      <c r="J407" s="8">
        <v>869730.798072804</v>
      </c>
      <c r="K407" s="8">
        <f>I407/1000000</f>
        <v>2.8155119001000002</v>
      </c>
      <c r="L407" s="8">
        <f>J407/1000000</f>
        <v>0.86973079807280396</v>
      </c>
      <c r="M407" t="s">
        <v>39</v>
      </c>
    </row>
    <row r="408" spans="2:13" x14ac:dyDescent="0.25">
      <c r="B408" t="s">
        <v>13</v>
      </c>
      <c r="C408" t="s">
        <v>46</v>
      </c>
      <c r="D408" t="s">
        <v>76</v>
      </c>
      <c r="E408">
        <v>2029</v>
      </c>
      <c r="F408" t="s">
        <v>33</v>
      </c>
      <c r="G408" t="s">
        <v>17</v>
      </c>
      <c r="H408" t="s">
        <v>18</v>
      </c>
      <c r="I408" s="8">
        <v>2058883.6645</v>
      </c>
      <c r="J408" s="8">
        <v>644938.46474825405</v>
      </c>
      <c r="K408" s="8">
        <f>I408/1000000</f>
        <v>2.0588836645000002</v>
      </c>
      <c r="L408" s="8">
        <f>J408/1000000</f>
        <v>0.644938464748254</v>
      </c>
      <c r="M408" t="s">
        <v>39</v>
      </c>
    </row>
    <row r="409" spans="2:13" x14ac:dyDescent="0.25">
      <c r="B409" t="s">
        <v>13</v>
      </c>
      <c r="C409" t="s">
        <v>46</v>
      </c>
      <c r="D409" t="s">
        <v>76</v>
      </c>
      <c r="E409">
        <v>2030</v>
      </c>
      <c r="F409" t="s">
        <v>33</v>
      </c>
      <c r="G409" t="s">
        <v>17</v>
      </c>
      <c r="H409" t="s">
        <v>18</v>
      </c>
      <c r="I409" s="8">
        <v>2107126.0529999998</v>
      </c>
      <c r="J409" s="8">
        <v>660050.23258789</v>
      </c>
      <c r="K409" s="8">
        <f>I409/1000000</f>
        <v>2.107126053</v>
      </c>
      <c r="L409" s="8">
        <f>J409/1000000</f>
        <v>0.66005023258788997</v>
      </c>
      <c r="M409" t="s">
        <v>39</v>
      </c>
    </row>
    <row r="410" spans="2:13" x14ac:dyDescent="0.25">
      <c r="B410" t="s">
        <v>13</v>
      </c>
      <c r="C410" t="s">
        <v>46</v>
      </c>
      <c r="D410" t="s">
        <v>102</v>
      </c>
      <c r="E410">
        <v>2028</v>
      </c>
      <c r="F410" t="s">
        <v>33</v>
      </c>
      <c r="G410" t="s">
        <v>17</v>
      </c>
      <c r="H410" t="s">
        <v>18</v>
      </c>
      <c r="I410" s="8">
        <v>55342.526299999998</v>
      </c>
      <c r="J410" s="8">
        <v>124048.156987814</v>
      </c>
      <c r="K410" s="8">
        <f>I410/1000000</f>
        <v>5.53425263E-2</v>
      </c>
      <c r="L410" s="8">
        <f>J410/1000000</f>
        <v>0.124048156987814</v>
      </c>
      <c r="M410" t="s">
        <v>19</v>
      </c>
    </row>
    <row r="411" spans="2:13" x14ac:dyDescent="0.25">
      <c r="B411" t="s">
        <v>13</v>
      </c>
      <c r="C411" t="s">
        <v>46</v>
      </c>
      <c r="D411" t="s">
        <v>102</v>
      </c>
      <c r="E411">
        <v>2029</v>
      </c>
      <c r="F411" t="s">
        <v>33</v>
      </c>
      <c r="G411" t="s">
        <v>17</v>
      </c>
      <c r="H411" t="s">
        <v>18</v>
      </c>
      <c r="I411" s="8">
        <v>54790.618000000002</v>
      </c>
      <c r="J411" s="8">
        <v>122811.075595063</v>
      </c>
      <c r="K411" s="8">
        <f>I411/1000000</f>
        <v>5.4790617999999999E-2</v>
      </c>
      <c r="L411" s="8">
        <f>J411/1000000</f>
        <v>0.12281107559506299</v>
      </c>
      <c r="M411" t="s">
        <v>19</v>
      </c>
    </row>
    <row r="412" spans="2:13" x14ac:dyDescent="0.25">
      <c r="B412" t="s">
        <v>13</v>
      </c>
      <c r="C412" t="s">
        <v>46</v>
      </c>
      <c r="D412" t="s">
        <v>102</v>
      </c>
      <c r="E412">
        <v>2030</v>
      </c>
      <c r="F412" t="s">
        <v>33</v>
      </c>
      <c r="G412" t="s">
        <v>17</v>
      </c>
      <c r="H412" t="s">
        <v>18</v>
      </c>
      <c r="I412" s="8">
        <v>56136.379699999998</v>
      </c>
      <c r="J412" s="8">
        <v>125827.54910991</v>
      </c>
      <c r="K412" s="8">
        <f>I412/1000000</f>
        <v>5.6136379699999996E-2</v>
      </c>
      <c r="L412" s="8">
        <f>J412/1000000</f>
        <v>0.12582754910991001</v>
      </c>
      <c r="M412" t="s">
        <v>19</v>
      </c>
    </row>
    <row r="413" spans="2:13" x14ac:dyDescent="0.25">
      <c r="B413" t="s">
        <v>13</v>
      </c>
      <c r="C413" t="s">
        <v>46</v>
      </c>
      <c r="D413" t="s">
        <v>103</v>
      </c>
      <c r="E413">
        <v>2029</v>
      </c>
      <c r="F413" t="s">
        <v>33</v>
      </c>
      <c r="G413" t="s">
        <v>17</v>
      </c>
      <c r="H413" t="s">
        <v>18</v>
      </c>
      <c r="I413" s="8">
        <v>12423.9676</v>
      </c>
      <c r="J413" s="8">
        <v>1208.3815914938</v>
      </c>
      <c r="K413" s="8">
        <f>I413/1000000</f>
        <v>1.24239676E-2</v>
      </c>
      <c r="L413" s="8">
        <f>J413/1000000</f>
        <v>1.2083815914938E-3</v>
      </c>
      <c r="M413" t="s">
        <v>39</v>
      </c>
    </row>
    <row r="414" spans="2:13" x14ac:dyDescent="0.25">
      <c r="B414" t="s">
        <v>13</v>
      </c>
      <c r="C414" t="s">
        <v>46</v>
      </c>
      <c r="D414" t="s">
        <v>103</v>
      </c>
      <c r="E414">
        <v>2030</v>
      </c>
      <c r="F414" t="s">
        <v>33</v>
      </c>
      <c r="G414" t="s">
        <v>17</v>
      </c>
      <c r="H414" t="s">
        <v>18</v>
      </c>
      <c r="I414" s="8">
        <v>15275.158799999999</v>
      </c>
      <c r="J414" s="8">
        <v>1483.7283335018999</v>
      </c>
      <c r="K414" s="8">
        <f>I414/1000000</f>
        <v>1.5275158799999999E-2</v>
      </c>
      <c r="L414" s="8">
        <f>J414/1000000</f>
        <v>1.4837283335018998E-3</v>
      </c>
      <c r="M414" t="s">
        <v>39</v>
      </c>
    </row>
    <row r="415" spans="2:13" x14ac:dyDescent="0.25">
      <c r="B415" t="s">
        <v>13</v>
      </c>
      <c r="C415" t="s">
        <v>46</v>
      </c>
      <c r="D415" t="s">
        <v>69</v>
      </c>
      <c r="E415">
        <v>2027</v>
      </c>
      <c r="F415" t="s">
        <v>33</v>
      </c>
      <c r="G415" t="s">
        <v>17</v>
      </c>
      <c r="H415" t="s">
        <v>18</v>
      </c>
      <c r="I415" s="8">
        <v>5883146.5182999996</v>
      </c>
      <c r="J415" s="8">
        <v>1977629.86405558</v>
      </c>
      <c r="K415" s="8">
        <f>I415/1000000</f>
        <v>5.8831465182999994</v>
      </c>
      <c r="L415" s="8">
        <f>J415/1000000</f>
        <v>1.9776298640555801</v>
      </c>
      <c r="M415" t="s">
        <v>19</v>
      </c>
    </row>
    <row r="416" spans="2:13" x14ac:dyDescent="0.25">
      <c r="B416" t="s">
        <v>13</v>
      </c>
      <c r="C416" t="s">
        <v>46</v>
      </c>
      <c r="D416" t="s">
        <v>69</v>
      </c>
      <c r="E416">
        <v>2027</v>
      </c>
      <c r="F416" t="s">
        <v>33</v>
      </c>
      <c r="G416" t="s">
        <v>17</v>
      </c>
      <c r="H416" t="s">
        <v>18</v>
      </c>
      <c r="I416" s="8">
        <v>485390.45490000001</v>
      </c>
      <c r="J416" s="8">
        <v>163361.532773916</v>
      </c>
      <c r="K416" s="8">
        <f>I416/1000000</f>
        <v>0.48539045489999999</v>
      </c>
      <c r="L416" s="8">
        <f>J416/1000000</f>
        <v>0.16336153277391599</v>
      </c>
      <c r="M416" t="s">
        <v>19</v>
      </c>
    </row>
    <row r="417" spans="2:13" x14ac:dyDescent="0.25">
      <c r="B417" t="s">
        <v>13</v>
      </c>
      <c r="C417" t="s">
        <v>46</v>
      </c>
      <c r="D417" t="s">
        <v>121</v>
      </c>
      <c r="E417">
        <v>2026</v>
      </c>
      <c r="F417" t="s">
        <v>33</v>
      </c>
      <c r="G417" t="s">
        <v>17</v>
      </c>
      <c r="H417" t="s">
        <v>18</v>
      </c>
      <c r="I417" s="8">
        <v>1258399.3839</v>
      </c>
      <c r="J417" s="8">
        <v>1764250</v>
      </c>
      <c r="K417" s="8">
        <f>I417/1000000</f>
        <v>1.2583993839000001</v>
      </c>
      <c r="L417" s="8">
        <f>J417/1000000</f>
        <v>1.7642500000000001</v>
      </c>
      <c r="M417" t="s">
        <v>19</v>
      </c>
    </row>
    <row r="418" spans="2:13" x14ac:dyDescent="0.25">
      <c r="B418" t="s">
        <v>13</v>
      </c>
      <c r="C418" t="s">
        <v>46</v>
      </c>
      <c r="D418" t="s">
        <v>40</v>
      </c>
      <c r="E418">
        <v>2027</v>
      </c>
      <c r="F418" t="s">
        <v>33</v>
      </c>
      <c r="G418" t="s">
        <v>17</v>
      </c>
      <c r="H418" t="s">
        <v>18</v>
      </c>
      <c r="I418" s="8">
        <v>1662277.7438000001</v>
      </c>
      <c r="J418" s="8">
        <v>534571.17146614799</v>
      </c>
      <c r="K418" s="8">
        <f>I418/1000000</f>
        <v>1.6622777438</v>
      </c>
      <c r="L418" s="8">
        <f>J418/1000000</f>
        <v>0.53457117146614797</v>
      </c>
      <c r="M418" t="s">
        <v>39</v>
      </c>
    </row>
    <row r="419" spans="2:13" x14ac:dyDescent="0.25">
      <c r="B419" t="s">
        <v>13</v>
      </c>
      <c r="C419" t="s">
        <v>46</v>
      </c>
      <c r="D419" t="s">
        <v>40</v>
      </c>
      <c r="E419">
        <v>2027</v>
      </c>
      <c r="F419" t="s">
        <v>33</v>
      </c>
      <c r="G419" t="s">
        <v>17</v>
      </c>
      <c r="H419" t="s">
        <v>18</v>
      </c>
      <c r="I419" s="8">
        <v>262730.61589999998</v>
      </c>
      <c r="J419" s="8">
        <v>84906.452265372194</v>
      </c>
      <c r="K419" s="8">
        <f>I419/1000000</f>
        <v>0.26273061589999996</v>
      </c>
      <c r="L419" s="8">
        <f>J419/1000000</f>
        <v>8.490645226537219E-2</v>
      </c>
      <c r="M419" t="s">
        <v>39</v>
      </c>
    </row>
    <row r="420" spans="2:13" x14ac:dyDescent="0.25">
      <c r="B420" t="s">
        <v>13</v>
      </c>
      <c r="C420" t="s">
        <v>46</v>
      </c>
      <c r="D420" t="s">
        <v>15</v>
      </c>
      <c r="E420">
        <v>2027</v>
      </c>
      <c r="F420" t="s">
        <v>33</v>
      </c>
      <c r="G420" t="s">
        <v>17</v>
      </c>
      <c r="H420" t="s">
        <v>18</v>
      </c>
      <c r="I420" s="8">
        <v>550441.57680000004</v>
      </c>
      <c r="J420" s="8">
        <v>181832.625959556</v>
      </c>
      <c r="K420" s="8">
        <f>I420/1000000</f>
        <v>0.55044157680000005</v>
      </c>
      <c r="L420" s="8">
        <f>J420/1000000</f>
        <v>0.18183262595955599</v>
      </c>
      <c r="M420" t="s">
        <v>19</v>
      </c>
    </row>
    <row r="421" spans="2:13" x14ac:dyDescent="0.25">
      <c r="B421" t="s">
        <v>13</v>
      </c>
      <c r="C421" t="s">
        <v>46</v>
      </c>
      <c r="D421" t="s">
        <v>52</v>
      </c>
      <c r="E421">
        <v>2029</v>
      </c>
      <c r="F421" t="s">
        <v>33</v>
      </c>
      <c r="G421" t="s">
        <v>17</v>
      </c>
      <c r="H421" t="s">
        <v>18</v>
      </c>
      <c r="I421" s="8">
        <v>1589820.8568</v>
      </c>
      <c r="J421" s="8">
        <v>1256604.0211091901</v>
      </c>
      <c r="K421" s="8">
        <f>I421/1000000</f>
        <v>1.5898208567999998</v>
      </c>
      <c r="L421" s="8">
        <f>J421/1000000</f>
        <v>1.25660402110919</v>
      </c>
      <c r="M421" t="s">
        <v>19</v>
      </c>
    </row>
    <row r="422" spans="2:13" x14ac:dyDescent="0.25">
      <c r="B422" t="s">
        <v>13</v>
      </c>
      <c r="C422" t="s">
        <v>46</v>
      </c>
      <c r="D422" t="s">
        <v>102</v>
      </c>
      <c r="E422">
        <v>2027</v>
      </c>
      <c r="F422" t="s">
        <v>33</v>
      </c>
      <c r="G422" t="s">
        <v>17</v>
      </c>
      <c r="H422" t="s">
        <v>18</v>
      </c>
      <c r="I422" s="8">
        <v>49668.5337</v>
      </c>
      <c r="J422" s="8">
        <v>107032.767830032</v>
      </c>
      <c r="K422" s="8">
        <f>I422/1000000</f>
        <v>4.9668533700000003E-2</v>
      </c>
      <c r="L422" s="8">
        <f>J422/1000000</f>
        <v>0.107032767830032</v>
      </c>
      <c r="M422" t="s">
        <v>19</v>
      </c>
    </row>
    <row r="423" spans="2:13" x14ac:dyDescent="0.25">
      <c r="B423" t="s">
        <v>13</v>
      </c>
      <c r="C423" t="s">
        <v>46</v>
      </c>
      <c r="D423" t="s">
        <v>76</v>
      </c>
      <c r="E423">
        <v>2026</v>
      </c>
      <c r="F423" t="s">
        <v>33</v>
      </c>
      <c r="G423" t="s">
        <v>17</v>
      </c>
      <c r="H423" t="s">
        <v>18</v>
      </c>
      <c r="I423" s="8">
        <v>1750345.6687</v>
      </c>
      <c r="J423" s="8">
        <v>416200</v>
      </c>
      <c r="K423" s="8">
        <f>I423/1000000</f>
        <v>1.7503456687000001</v>
      </c>
      <c r="L423" s="8">
        <f>J423/1000000</f>
        <v>0.41620000000000001</v>
      </c>
      <c r="M423" t="s">
        <v>39</v>
      </c>
    </row>
    <row r="424" spans="2:13" x14ac:dyDescent="0.25">
      <c r="B424" t="s">
        <v>13</v>
      </c>
      <c r="C424" t="s">
        <v>46</v>
      </c>
      <c r="D424" t="s">
        <v>103</v>
      </c>
      <c r="E424">
        <v>2028</v>
      </c>
      <c r="F424" t="s">
        <v>33</v>
      </c>
      <c r="G424" t="s">
        <v>17</v>
      </c>
      <c r="H424" t="s">
        <v>18</v>
      </c>
      <c r="I424" s="8">
        <v>10634.236000000001</v>
      </c>
      <c r="J424" s="8">
        <v>1035.5893238900001</v>
      </c>
      <c r="K424" s="8">
        <f>I424/1000000</f>
        <v>1.0634236E-2</v>
      </c>
      <c r="L424" s="8">
        <f>J424/1000000</f>
        <v>1.0355893238900001E-3</v>
      </c>
      <c r="M424" t="s">
        <v>39</v>
      </c>
    </row>
    <row r="425" spans="2:13" x14ac:dyDescent="0.25">
      <c r="B425" t="s">
        <v>13</v>
      </c>
      <c r="C425" t="s">
        <v>14</v>
      </c>
      <c r="D425" t="s">
        <v>52</v>
      </c>
      <c r="E425">
        <v>2029</v>
      </c>
      <c r="F425" t="s">
        <v>33</v>
      </c>
      <c r="G425" t="s">
        <v>17</v>
      </c>
      <c r="H425" t="s">
        <v>18</v>
      </c>
      <c r="I425" s="8">
        <v>8208085.1162</v>
      </c>
      <c r="J425" s="8">
        <v>7101840.4261875004</v>
      </c>
      <c r="K425" s="8">
        <f>I425/1000000</f>
        <v>8.2080851161999995</v>
      </c>
      <c r="L425" s="8">
        <f>J425/1000000</f>
        <v>7.1018404261875006</v>
      </c>
      <c r="M425" t="s">
        <v>19</v>
      </c>
    </row>
    <row r="426" spans="2:13" x14ac:dyDescent="0.25">
      <c r="B426" t="s">
        <v>13</v>
      </c>
      <c r="C426" t="s">
        <v>46</v>
      </c>
      <c r="D426" t="s">
        <v>52</v>
      </c>
      <c r="E426">
        <v>2027</v>
      </c>
      <c r="F426" t="s">
        <v>63</v>
      </c>
      <c r="G426" t="s">
        <v>17</v>
      </c>
      <c r="H426" t="s">
        <v>18</v>
      </c>
      <c r="I426" s="8">
        <v>28629.476200000001</v>
      </c>
      <c r="J426" s="8">
        <v>23215.394825261301</v>
      </c>
      <c r="K426" s="8">
        <f>I426/1000000</f>
        <v>2.86294762E-2</v>
      </c>
      <c r="L426" s="8">
        <f>J426/1000000</f>
        <v>2.3215394825261301E-2</v>
      </c>
      <c r="M426" t="s">
        <v>19</v>
      </c>
    </row>
    <row r="427" spans="2:13" x14ac:dyDescent="0.25">
      <c r="B427" t="s">
        <v>13</v>
      </c>
      <c r="C427" t="s">
        <v>46</v>
      </c>
      <c r="D427" t="s">
        <v>52</v>
      </c>
      <c r="E427">
        <v>2028</v>
      </c>
      <c r="F427" t="s">
        <v>63</v>
      </c>
      <c r="G427" t="s">
        <v>17</v>
      </c>
      <c r="H427" t="s">
        <v>18</v>
      </c>
      <c r="I427" s="8">
        <v>23614.890599999999</v>
      </c>
      <c r="J427" s="8">
        <v>19102.6446326478</v>
      </c>
      <c r="K427" s="8">
        <f>I427/1000000</f>
        <v>2.3614890599999997E-2</v>
      </c>
      <c r="L427" s="8">
        <f>J427/1000000</f>
        <v>1.9102644632647801E-2</v>
      </c>
      <c r="M427" t="s">
        <v>19</v>
      </c>
    </row>
    <row r="428" spans="2:13" x14ac:dyDescent="0.25">
      <c r="B428" t="s">
        <v>13</v>
      </c>
      <c r="C428" t="s">
        <v>46</v>
      </c>
      <c r="D428" t="s">
        <v>52</v>
      </c>
      <c r="E428">
        <v>2029</v>
      </c>
      <c r="F428" t="s">
        <v>63</v>
      </c>
      <c r="G428" t="s">
        <v>17</v>
      </c>
      <c r="H428" t="s">
        <v>18</v>
      </c>
      <c r="I428" s="8">
        <v>17616.676200000002</v>
      </c>
      <c r="J428" s="8">
        <v>14057.4266002351</v>
      </c>
      <c r="K428" s="8">
        <f>I428/1000000</f>
        <v>1.76166762E-2</v>
      </c>
      <c r="L428" s="8">
        <f>J428/1000000</f>
        <v>1.4057426600235099E-2</v>
      </c>
      <c r="M428" t="s">
        <v>19</v>
      </c>
    </row>
    <row r="429" spans="2:13" x14ac:dyDescent="0.25">
      <c r="B429" t="s">
        <v>13</v>
      </c>
      <c r="C429" t="s">
        <v>46</v>
      </c>
      <c r="D429" t="s">
        <v>52</v>
      </c>
      <c r="E429">
        <v>2030</v>
      </c>
      <c r="F429" t="s">
        <v>63</v>
      </c>
      <c r="G429" t="s">
        <v>17</v>
      </c>
      <c r="H429" t="s">
        <v>18</v>
      </c>
      <c r="I429" s="8">
        <v>14897.4264</v>
      </c>
      <c r="J429" s="8">
        <v>11779.551487500001</v>
      </c>
      <c r="K429" s="8">
        <f>I429/1000000</f>
        <v>1.48974264E-2</v>
      </c>
      <c r="L429" s="8">
        <f>J429/1000000</f>
        <v>1.1779551487500001E-2</v>
      </c>
      <c r="M429" t="s">
        <v>19</v>
      </c>
    </row>
    <row r="430" spans="2:13" x14ac:dyDescent="0.25">
      <c r="B430" t="s">
        <v>13</v>
      </c>
      <c r="C430" t="s">
        <v>46</v>
      </c>
      <c r="D430" t="s">
        <v>52</v>
      </c>
      <c r="E430">
        <v>2026</v>
      </c>
      <c r="F430" t="s">
        <v>63</v>
      </c>
      <c r="G430" t="s">
        <v>17</v>
      </c>
      <c r="H430" t="s">
        <v>18</v>
      </c>
      <c r="I430" s="8">
        <v>34190.736599999997</v>
      </c>
      <c r="J430" s="8">
        <v>27500</v>
      </c>
      <c r="K430" s="8">
        <f>I430/1000000</f>
        <v>3.4190736599999993E-2</v>
      </c>
      <c r="L430" s="8">
        <f>J430/1000000</f>
        <v>2.75E-2</v>
      </c>
      <c r="M430" t="s">
        <v>19</v>
      </c>
    </row>
    <row r="431" spans="2:13" x14ac:dyDescent="0.25">
      <c r="B431" t="s">
        <v>13</v>
      </c>
      <c r="C431" t="s">
        <v>46</v>
      </c>
      <c r="D431" t="s">
        <v>69</v>
      </c>
      <c r="E431">
        <v>2029</v>
      </c>
      <c r="F431" t="s">
        <v>63</v>
      </c>
      <c r="G431" t="s">
        <v>17</v>
      </c>
      <c r="H431" t="s">
        <v>18</v>
      </c>
      <c r="I431" s="8">
        <v>115532.92329999999</v>
      </c>
      <c r="J431" s="8">
        <v>50580.2937155853</v>
      </c>
      <c r="K431" s="8">
        <f>I431/1000000</f>
        <v>0.11553292329999999</v>
      </c>
      <c r="L431" s="8">
        <f>J431/1000000</f>
        <v>5.0580293715585298E-2</v>
      </c>
      <c r="M431" t="s">
        <v>19</v>
      </c>
    </row>
    <row r="432" spans="2:13" x14ac:dyDescent="0.25">
      <c r="B432" t="s">
        <v>13</v>
      </c>
      <c r="C432" t="s">
        <v>46</v>
      </c>
      <c r="D432" t="s">
        <v>69</v>
      </c>
      <c r="E432">
        <v>2030</v>
      </c>
      <c r="F432" t="s">
        <v>63</v>
      </c>
      <c r="G432" t="s">
        <v>17</v>
      </c>
      <c r="H432" t="s">
        <v>18</v>
      </c>
      <c r="I432" s="8">
        <v>90161.4902</v>
      </c>
      <c r="J432" s="8">
        <v>39380.374612725704</v>
      </c>
      <c r="K432" s="8">
        <f>I432/1000000</f>
        <v>9.01614902E-2</v>
      </c>
      <c r="L432" s="8">
        <f>J432/1000000</f>
        <v>3.9380374612725706E-2</v>
      </c>
      <c r="M432" t="s">
        <v>19</v>
      </c>
    </row>
    <row r="433" spans="2:13" x14ac:dyDescent="0.25">
      <c r="B433" t="s">
        <v>13</v>
      </c>
      <c r="C433" t="s">
        <v>46</v>
      </c>
      <c r="D433" t="s">
        <v>73</v>
      </c>
      <c r="E433">
        <v>2026</v>
      </c>
      <c r="F433" t="s">
        <v>63</v>
      </c>
      <c r="G433" t="s">
        <v>17</v>
      </c>
      <c r="H433" t="s">
        <v>18</v>
      </c>
      <c r="I433" s="8">
        <v>30770.858</v>
      </c>
      <c r="J433" s="8">
        <v>32700</v>
      </c>
      <c r="K433" s="8">
        <f>I433/1000000</f>
        <v>3.0770858000000002E-2</v>
      </c>
      <c r="L433" s="8">
        <f>J433/1000000</f>
        <v>3.27E-2</v>
      </c>
      <c r="M433" t="s">
        <v>19</v>
      </c>
    </row>
    <row r="434" spans="2:13" x14ac:dyDescent="0.25">
      <c r="B434" t="s">
        <v>13</v>
      </c>
      <c r="C434" t="s">
        <v>46</v>
      </c>
      <c r="D434" t="s">
        <v>73</v>
      </c>
      <c r="E434">
        <v>2027</v>
      </c>
      <c r="F434" t="s">
        <v>63</v>
      </c>
      <c r="G434" t="s">
        <v>17</v>
      </c>
      <c r="H434" t="s">
        <v>18</v>
      </c>
      <c r="I434" s="8">
        <v>24346.787100000001</v>
      </c>
      <c r="J434" s="8">
        <v>25954.599211453398</v>
      </c>
      <c r="K434" s="8">
        <f>I434/1000000</f>
        <v>2.4346787100000003E-2</v>
      </c>
      <c r="L434" s="8">
        <f>J434/1000000</f>
        <v>2.5954599211453398E-2</v>
      </c>
      <c r="M434" t="s">
        <v>19</v>
      </c>
    </row>
    <row r="435" spans="2:13" x14ac:dyDescent="0.25">
      <c r="B435" t="s">
        <v>13</v>
      </c>
      <c r="C435" t="s">
        <v>46</v>
      </c>
      <c r="D435" t="s">
        <v>73</v>
      </c>
      <c r="E435">
        <v>2028</v>
      </c>
      <c r="F435" t="s">
        <v>63</v>
      </c>
      <c r="G435" t="s">
        <v>17</v>
      </c>
      <c r="H435" t="s">
        <v>18</v>
      </c>
      <c r="I435" s="8">
        <v>9216.7122999999992</v>
      </c>
      <c r="J435" s="8">
        <v>9168.4031582790994</v>
      </c>
      <c r="K435" s="8">
        <f>I435/1000000</f>
        <v>9.216712299999999E-3</v>
      </c>
      <c r="L435" s="8">
        <f>J435/1000000</f>
        <v>9.1684031582791002E-3</v>
      </c>
      <c r="M435" t="s">
        <v>19</v>
      </c>
    </row>
    <row r="436" spans="2:13" x14ac:dyDescent="0.25">
      <c r="B436" t="s">
        <v>13</v>
      </c>
      <c r="C436" t="s">
        <v>46</v>
      </c>
      <c r="D436" t="s">
        <v>70</v>
      </c>
      <c r="E436">
        <v>2026</v>
      </c>
      <c r="F436" t="s">
        <v>63</v>
      </c>
      <c r="G436" t="s">
        <v>17</v>
      </c>
      <c r="H436" t="s">
        <v>18</v>
      </c>
      <c r="I436" s="8">
        <v>84569.028600000005</v>
      </c>
      <c r="J436" s="8">
        <v>49000</v>
      </c>
      <c r="K436" s="8">
        <f>I436/1000000</f>
        <v>8.4569028599999999E-2</v>
      </c>
      <c r="L436" s="8">
        <f>J436/1000000</f>
        <v>4.9000000000000002E-2</v>
      </c>
      <c r="M436" t="s">
        <v>19</v>
      </c>
    </row>
    <row r="437" spans="2:13" x14ac:dyDescent="0.25">
      <c r="B437" t="s">
        <v>13</v>
      </c>
      <c r="C437" t="s">
        <v>46</v>
      </c>
      <c r="D437" t="s">
        <v>70</v>
      </c>
      <c r="E437">
        <v>2027</v>
      </c>
      <c r="F437" t="s">
        <v>63</v>
      </c>
      <c r="G437" t="s">
        <v>17</v>
      </c>
      <c r="H437" t="s">
        <v>18</v>
      </c>
      <c r="I437" s="8">
        <v>67663.832800000004</v>
      </c>
      <c r="J437" s="8">
        <v>48436.648234644097</v>
      </c>
      <c r="K437" s="8">
        <f>I437/1000000</f>
        <v>6.7663832800000004E-2</v>
      </c>
      <c r="L437" s="8">
        <f>J437/1000000</f>
        <v>4.8436648234644095E-2</v>
      </c>
      <c r="M437" t="s">
        <v>19</v>
      </c>
    </row>
    <row r="438" spans="2:13" x14ac:dyDescent="0.25">
      <c r="B438" t="s">
        <v>13</v>
      </c>
      <c r="C438" t="s">
        <v>46</v>
      </c>
      <c r="D438" t="s">
        <v>70</v>
      </c>
      <c r="E438">
        <v>2028</v>
      </c>
      <c r="F438" t="s">
        <v>63</v>
      </c>
      <c r="G438" t="s">
        <v>17</v>
      </c>
      <c r="H438" t="s">
        <v>18</v>
      </c>
      <c r="I438" s="8">
        <v>34567.780599999998</v>
      </c>
      <c r="J438" s="8">
        <v>24468.0804532068</v>
      </c>
      <c r="K438" s="8">
        <f>I438/1000000</f>
        <v>3.45677806E-2</v>
      </c>
      <c r="L438" s="8">
        <f>J438/1000000</f>
        <v>2.4468080453206798E-2</v>
      </c>
      <c r="M438" t="s">
        <v>19</v>
      </c>
    </row>
    <row r="439" spans="2:13" x14ac:dyDescent="0.25">
      <c r="B439" t="s">
        <v>13</v>
      </c>
      <c r="C439" t="s">
        <v>46</v>
      </c>
      <c r="D439" t="s">
        <v>15</v>
      </c>
      <c r="E439">
        <v>2026</v>
      </c>
      <c r="F439" t="s">
        <v>63</v>
      </c>
      <c r="G439" t="s">
        <v>17</v>
      </c>
      <c r="H439" t="s">
        <v>18</v>
      </c>
      <c r="I439" s="8">
        <v>27505.989699999998</v>
      </c>
      <c r="J439" s="8">
        <v>5950</v>
      </c>
      <c r="K439" s="8">
        <f>I439/1000000</f>
        <v>2.7505989699999997E-2</v>
      </c>
      <c r="L439" s="8">
        <f>J439/1000000</f>
        <v>5.9500000000000004E-3</v>
      </c>
      <c r="M439" t="s">
        <v>19</v>
      </c>
    </row>
    <row r="440" spans="2:13" x14ac:dyDescent="0.25">
      <c r="B440" t="s">
        <v>13</v>
      </c>
      <c r="C440" t="s">
        <v>46</v>
      </c>
      <c r="D440" t="s">
        <v>15</v>
      </c>
      <c r="E440">
        <v>2027</v>
      </c>
      <c r="F440" t="s">
        <v>63</v>
      </c>
      <c r="G440" t="s">
        <v>17</v>
      </c>
      <c r="H440" t="s">
        <v>18</v>
      </c>
      <c r="I440" s="8">
        <v>20732.0576</v>
      </c>
      <c r="J440" s="8">
        <v>4484.6868196279001</v>
      </c>
      <c r="K440" s="8">
        <f>I440/1000000</f>
        <v>2.0732057599999999E-2</v>
      </c>
      <c r="L440" s="8">
        <f>J440/1000000</f>
        <v>4.4846868196279002E-3</v>
      </c>
      <c r="M440" t="s">
        <v>19</v>
      </c>
    </row>
    <row r="441" spans="2:13" x14ac:dyDescent="0.25">
      <c r="B441" t="s">
        <v>13</v>
      </c>
      <c r="C441" t="s">
        <v>46</v>
      </c>
      <c r="D441" t="s">
        <v>15</v>
      </c>
      <c r="E441">
        <v>2029</v>
      </c>
      <c r="F441" t="s">
        <v>63</v>
      </c>
      <c r="G441" t="s">
        <v>17</v>
      </c>
      <c r="H441" t="s">
        <v>18</v>
      </c>
      <c r="I441" s="8">
        <v>9916.0004000000008</v>
      </c>
      <c r="J441" s="8">
        <v>3299.8427845245001</v>
      </c>
      <c r="K441" s="8">
        <f>I441/1000000</f>
        <v>9.9160004000000013E-3</v>
      </c>
      <c r="L441" s="8">
        <f>J441/1000000</f>
        <v>3.2998427845244999E-3</v>
      </c>
      <c r="M441" t="s">
        <v>19</v>
      </c>
    </row>
    <row r="442" spans="2:13" x14ac:dyDescent="0.25">
      <c r="B442" t="s">
        <v>13</v>
      </c>
      <c r="C442" t="s">
        <v>46</v>
      </c>
      <c r="D442" t="s">
        <v>15</v>
      </c>
      <c r="E442">
        <v>2030</v>
      </c>
      <c r="F442" t="s">
        <v>63</v>
      </c>
      <c r="G442" t="s">
        <v>17</v>
      </c>
      <c r="H442" t="s">
        <v>18</v>
      </c>
      <c r="I442" s="8">
        <v>7624.5708999999997</v>
      </c>
      <c r="J442" s="8">
        <v>2537.3017543411001</v>
      </c>
      <c r="K442" s="8">
        <f>I442/1000000</f>
        <v>7.6245708999999997E-3</v>
      </c>
      <c r="L442" s="8">
        <f>J442/1000000</f>
        <v>2.5373017543411001E-3</v>
      </c>
      <c r="M442" t="s">
        <v>19</v>
      </c>
    </row>
    <row r="443" spans="2:13" x14ac:dyDescent="0.25">
      <c r="B443" t="s">
        <v>13</v>
      </c>
      <c r="C443" t="s">
        <v>46</v>
      </c>
      <c r="D443" t="s">
        <v>100</v>
      </c>
      <c r="E443">
        <v>2028</v>
      </c>
      <c r="F443" t="s">
        <v>63</v>
      </c>
      <c r="G443" t="s">
        <v>17</v>
      </c>
      <c r="H443" t="s">
        <v>18</v>
      </c>
      <c r="I443" s="8">
        <v>15649.3951</v>
      </c>
      <c r="J443" s="8">
        <v>16301.453207455899</v>
      </c>
      <c r="K443" s="8">
        <f>I443/1000000</f>
        <v>1.5649395100000001E-2</v>
      </c>
      <c r="L443" s="8">
        <f>J443/1000000</f>
        <v>1.63014532074559E-2</v>
      </c>
      <c r="M443" t="s">
        <v>19</v>
      </c>
    </row>
    <row r="444" spans="2:13" x14ac:dyDescent="0.25">
      <c r="B444" t="s">
        <v>13</v>
      </c>
      <c r="C444" t="s">
        <v>46</v>
      </c>
      <c r="D444" t="s">
        <v>69</v>
      </c>
      <c r="E444">
        <v>2028</v>
      </c>
      <c r="F444" t="s">
        <v>63</v>
      </c>
      <c r="G444" t="s">
        <v>17</v>
      </c>
      <c r="H444" t="s">
        <v>18</v>
      </c>
      <c r="I444" s="8">
        <v>52036.857900000003</v>
      </c>
      <c r="J444" s="8">
        <v>19867.449788927199</v>
      </c>
      <c r="K444" s="8">
        <f>I444/1000000</f>
        <v>5.2036857900000004E-2</v>
      </c>
      <c r="L444" s="8">
        <f>J444/1000000</f>
        <v>1.98674497889272E-2</v>
      </c>
      <c r="M444" t="s">
        <v>19</v>
      </c>
    </row>
    <row r="445" spans="2:13" x14ac:dyDescent="0.25">
      <c r="B445" t="s">
        <v>13</v>
      </c>
      <c r="C445" t="s">
        <v>46</v>
      </c>
      <c r="D445" t="s">
        <v>15</v>
      </c>
      <c r="E445">
        <v>2028</v>
      </c>
      <c r="F445" t="s">
        <v>63</v>
      </c>
      <c r="G445" t="s">
        <v>17</v>
      </c>
      <c r="H445" t="s">
        <v>18</v>
      </c>
      <c r="I445" s="8">
        <v>11846.026900000001</v>
      </c>
      <c r="J445" s="8">
        <v>3942.1162849488001</v>
      </c>
      <c r="K445" s="8">
        <f>I445/1000000</f>
        <v>1.1846026900000001E-2</v>
      </c>
      <c r="L445" s="8">
        <f>J445/1000000</f>
        <v>3.9421162849487996E-3</v>
      </c>
      <c r="M445" t="s">
        <v>19</v>
      </c>
    </row>
    <row r="446" spans="2:13" x14ac:dyDescent="0.25">
      <c r="B446" t="s">
        <v>13</v>
      </c>
      <c r="C446" t="s">
        <v>46</v>
      </c>
      <c r="D446" t="s">
        <v>100</v>
      </c>
      <c r="E446">
        <v>2027</v>
      </c>
      <c r="F446" t="s">
        <v>63</v>
      </c>
      <c r="G446" t="s">
        <v>17</v>
      </c>
      <c r="H446" t="s">
        <v>18</v>
      </c>
      <c r="I446" s="8">
        <v>15240.1798</v>
      </c>
      <c r="J446" s="8">
        <v>15119.225941152699</v>
      </c>
      <c r="K446" s="8">
        <f>I446/1000000</f>
        <v>1.52401798E-2</v>
      </c>
      <c r="L446" s="8">
        <f>J446/1000000</f>
        <v>1.5119225941152699E-2</v>
      </c>
      <c r="M446" t="s">
        <v>19</v>
      </c>
    </row>
    <row r="447" spans="2:13" x14ac:dyDescent="0.25">
      <c r="B447" t="s">
        <v>13</v>
      </c>
      <c r="C447" t="s">
        <v>14</v>
      </c>
      <c r="D447" t="s">
        <v>52</v>
      </c>
      <c r="E447">
        <v>2029</v>
      </c>
      <c r="F447" t="s">
        <v>63</v>
      </c>
      <c r="G447" t="s">
        <v>17</v>
      </c>
      <c r="H447" t="s">
        <v>18</v>
      </c>
      <c r="I447" s="8">
        <v>102708.9207</v>
      </c>
      <c r="J447" s="8">
        <v>89079.506999999998</v>
      </c>
      <c r="K447" s="8">
        <f>I447/1000000</f>
        <v>0.1027089207</v>
      </c>
      <c r="L447" s="8">
        <f>J447/1000000</f>
        <v>8.9079507000000002E-2</v>
      </c>
      <c r="M447" t="s">
        <v>19</v>
      </c>
    </row>
    <row r="448" spans="2:13" x14ac:dyDescent="0.25">
      <c r="B448" t="s">
        <v>13</v>
      </c>
      <c r="C448" t="s">
        <v>14</v>
      </c>
      <c r="D448" t="s">
        <v>15</v>
      </c>
      <c r="E448">
        <v>2028</v>
      </c>
      <c r="F448" t="s">
        <v>23</v>
      </c>
      <c r="G448" t="s">
        <v>17</v>
      </c>
      <c r="H448" t="s">
        <v>18</v>
      </c>
      <c r="I448" s="8">
        <v>840993.82050000003</v>
      </c>
      <c r="J448" s="8">
        <v>279865.59999999998</v>
      </c>
      <c r="K448" s="8">
        <f>I448/1000000</f>
        <v>0.84099382050000004</v>
      </c>
      <c r="L448" s="8">
        <f>J448/1000000</f>
        <v>0.27986559999999999</v>
      </c>
      <c r="M448" t="s">
        <v>19</v>
      </c>
    </row>
    <row r="449" spans="2:13" x14ac:dyDescent="0.25">
      <c r="B449" t="s">
        <v>13</v>
      </c>
      <c r="C449" t="s">
        <v>46</v>
      </c>
      <c r="D449" t="s">
        <v>70</v>
      </c>
      <c r="E449">
        <v>2026</v>
      </c>
      <c r="F449" t="s">
        <v>23</v>
      </c>
      <c r="G449" t="s">
        <v>17</v>
      </c>
      <c r="H449" t="s">
        <v>18</v>
      </c>
      <c r="I449" s="8">
        <v>509830.42969999998</v>
      </c>
      <c r="J449" s="8">
        <v>295400</v>
      </c>
      <c r="K449" s="8">
        <f>I449/1000000</f>
        <v>0.50983042970000003</v>
      </c>
      <c r="L449" s="8">
        <f>J449/1000000</f>
        <v>0.2954</v>
      </c>
      <c r="M449" t="s">
        <v>19</v>
      </c>
    </row>
    <row r="450" spans="2:13" x14ac:dyDescent="0.25">
      <c r="B450" t="s">
        <v>13</v>
      </c>
      <c r="C450" t="s">
        <v>46</v>
      </c>
      <c r="D450" t="s">
        <v>70</v>
      </c>
      <c r="E450">
        <v>2027</v>
      </c>
      <c r="F450" t="s">
        <v>23</v>
      </c>
      <c r="G450" t="s">
        <v>17</v>
      </c>
      <c r="H450" t="s">
        <v>18</v>
      </c>
      <c r="I450" s="8">
        <v>435718.10629999998</v>
      </c>
      <c r="J450" s="8">
        <v>311905.54493999999</v>
      </c>
      <c r="K450" s="8">
        <f>I450/1000000</f>
        <v>0.43571810629999996</v>
      </c>
      <c r="L450" s="8">
        <f>J450/1000000</f>
        <v>0.31190554494</v>
      </c>
      <c r="M450" t="s">
        <v>19</v>
      </c>
    </row>
    <row r="451" spans="2:13" x14ac:dyDescent="0.25">
      <c r="B451" t="s">
        <v>13</v>
      </c>
      <c r="C451" t="s">
        <v>46</v>
      </c>
      <c r="D451" t="s">
        <v>70</v>
      </c>
      <c r="E451">
        <v>2028</v>
      </c>
      <c r="F451" t="s">
        <v>23</v>
      </c>
      <c r="G451" t="s">
        <v>17</v>
      </c>
      <c r="H451" t="s">
        <v>18</v>
      </c>
      <c r="I451" s="8">
        <v>453318.51740000001</v>
      </c>
      <c r="J451" s="8">
        <v>320872.03045199998</v>
      </c>
      <c r="K451" s="8">
        <f>I451/1000000</f>
        <v>0.45331851740000001</v>
      </c>
      <c r="L451" s="8">
        <f>J451/1000000</f>
        <v>0.32087203045199997</v>
      </c>
      <c r="M451" t="s">
        <v>19</v>
      </c>
    </row>
    <row r="452" spans="2:13" x14ac:dyDescent="0.25">
      <c r="B452" t="s">
        <v>13</v>
      </c>
      <c r="C452" t="s">
        <v>46</v>
      </c>
      <c r="D452" t="s">
        <v>70</v>
      </c>
      <c r="E452">
        <v>2029</v>
      </c>
      <c r="F452" t="s">
        <v>23</v>
      </c>
      <c r="G452" t="s">
        <v>17</v>
      </c>
      <c r="H452" t="s">
        <v>18</v>
      </c>
      <c r="I452" s="8">
        <v>525384.77679999999</v>
      </c>
      <c r="J452" s="8">
        <v>330412.69515599997</v>
      </c>
      <c r="K452" s="8">
        <f>I452/1000000</f>
        <v>0.52538477679999995</v>
      </c>
      <c r="L452" s="8">
        <f>J452/1000000</f>
        <v>0.33041269515599997</v>
      </c>
      <c r="M452" t="s">
        <v>19</v>
      </c>
    </row>
    <row r="453" spans="2:13" x14ac:dyDescent="0.25">
      <c r="B453" t="s">
        <v>13</v>
      </c>
      <c r="C453" t="s">
        <v>46</v>
      </c>
      <c r="D453" t="s">
        <v>70</v>
      </c>
      <c r="E453">
        <v>2030</v>
      </c>
      <c r="F453" t="s">
        <v>23</v>
      </c>
      <c r="G453" t="s">
        <v>17</v>
      </c>
      <c r="H453" t="s">
        <v>18</v>
      </c>
      <c r="I453" s="8">
        <v>435784.31420000002</v>
      </c>
      <c r="J453" s="8">
        <v>273821.926988105</v>
      </c>
      <c r="K453" s="8">
        <f>I453/1000000</f>
        <v>0.43578431420000002</v>
      </c>
      <c r="L453" s="8">
        <f>J453/1000000</f>
        <v>0.27382192698810498</v>
      </c>
      <c r="M453" t="s">
        <v>19</v>
      </c>
    </row>
    <row r="454" spans="2:13" x14ac:dyDescent="0.25">
      <c r="B454" t="s">
        <v>13</v>
      </c>
      <c r="C454" t="s">
        <v>46</v>
      </c>
      <c r="D454" t="s">
        <v>15</v>
      </c>
      <c r="E454">
        <v>2029</v>
      </c>
      <c r="F454" t="s">
        <v>23</v>
      </c>
      <c r="G454" t="s">
        <v>17</v>
      </c>
      <c r="H454" t="s">
        <v>18</v>
      </c>
      <c r="I454" s="8">
        <v>67631.291299999997</v>
      </c>
      <c r="J454" s="8">
        <v>22506.315106578899</v>
      </c>
      <c r="K454" s="8">
        <f>I454/1000000</f>
        <v>6.7631291299999993E-2</v>
      </c>
      <c r="L454" s="8">
        <f>J454/1000000</f>
        <v>2.2506315106578897E-2</v>
      </c>
      <c r="M454" t="s">
        <v>19</v>
      </c>
    </row>
    <row r="455" spans="2:13" x14ac:dyDescent="0.25">
      <c r="B455" t="s">
        <v>13</v>
      </c>
      <c r="C455" t="s">
        <v>46</v>
      </c>
      <c r="D455" t="s">
        <v>15</v>
      </c>
      <c r="E455">
        <v>2030</v>
      </c>
      <c r="F455" t="s">
        <v>23</v>
      </c>
      <c r="G455" t="s">
        <v>17</v>
      </c>
      <c r="H455" t="s">
        <v>18</v>
      </c>
      <c r="I455" s="8">
        <v>45754.160199999998</v>
      </c>
      <c r="J455" s="8">
        <v>15226.0518368421</v>
      </c>
      <c r="K455" s="8">
        <f>I455/1000000</f>
        <v>4.5754160199999998E-2</v>
      </c>
      <c r="L455" s="8">
        <f>J455/1000000</f>
        <v>1.52260518368421E-2</v>
      </c>
      <c r="M455" t="s">
        <v>19</v>
      </c>
    </row>
    <row r="456" spans="2:13" x14ac:dyDescent="0.25">
      <c r="B456" t="s">
        <v>13</v>
      </c>
      <c r="C456" t="s">
        <v>46</v>
      </c>
      <c r="D456" t="s">
        <v>76</v>
      </c>
      <c r="E456">
        <v>2030</v>
      </c>
      <c r="F456" t="s">
        <v>23</v>
      </c>
      <c r="G456" t="s">
        <v>17</v>
      </c>
      <c r="H456" t="s">
        <v>18</v>
      </c>
      <c r="I456" s="8">
        <v>282625.42910000001</v>
      </c>
      <c r="J456" s="8">
        <v>88624.982416281797</v>
      </c>
      <c r="K456" s="8">
        <f>I456/1000000</f>
        <v>0.28262542909999999</v>
      </c>
      <c r="L456" s="8">
        <f>J456/1000000</f>
        <v>8.8624982416281792E-2</v>
      </c>
      <c r="M456" t="s">
        <v>39</v>
      </c>
    </row>
    <row r="457" spans="2:13" x14ac:dyDescent="0.25">
      <c r="B457" t="s">
        <v>13</v>
      </c>
      <c r="C457" t="s">
        <v>46</v>
      </c>
      <c r="D457" t="s">
        <v>76</v>
      </c>
      <c r="E457">
        <v>2028</v>
      </c>
      <c r="F457" t="s">
        <v>23</v>
      </c>
      <c r="G457" t="s">
        <v>17</v>
      </c>
      <c r="H457" t="s">
        <v>18</v>
      </c>
      <c r="I457" s="8">
        <v>525213.17570000002</v>
      </c>
      <c r="J457" s="8">
        <v>164695.047471211</v>
      </c>
      <c r="K457" s="8">
        <f>I457/1000000</f>
        <v>0.52521317570000003</v>
      </c>
      <c r="L457" s="8">
        <f>J457/1000000</f>
        <v>0.164695047471211</v>
      </c>
      <c r="M457" t="s">
        <v>39</v>
      </c>
    </row>
    <row r="458" spans="2:13" x14ac:dyDescent="0.25">
      <c r="B458" t="s">
        <v>13</v>
      </c>
      <c r="C458" t="s">
        <v>46</v>
      </c>
      <c r="D458" t="s">
        <v>76</v>
      </c>
      <c r="E458">
        <v>2029</v>
      </c>
      <c r="F458" t="s">
        <v>23</v>
      </c>
      <c r="G458" t="s">
        <v>17</v>
      </c>
      <c r="H458" t="s">
        <v>18</v>
      </c>
      <c r="I458" s="8">
        <v>434932.10450000002</v>
      </c>
      <c r="J458" s="8">
        <v>136384.93265769401</v>
      </c>
      <c r="K458" s="8">
        <f>I458/1000000</f>
        <v>0.43493210450000003</v>
      </c>
      <c r="L458" s="8">
        <f>J458/1000000</f>
        <v>0.136384932657694</v>
      </c>
      <c r="M458" t="s">
        <v>39</v>
      </c>
    </row>
    <row r="459" spans="2:13" x14ac:dyDescent="0.25">
      <c r="B459" t="s">
        <v>13</v>
      </c>
      <c r="C459" t="s">
        <v>46</v>
      </c>
      <c r="D459" t="s">
        <v>102</v>
      </c>
      <c r="E459">
        <v>2028</v>
      </c>
      <c r="F459" t="s">
        <v>23</v>
      </c>
      <c r="G459" t="s">
        <v>17</v>
      </c>
      <c r="H459" t="s">
        <v>18</v>
      </c>
      <c r="I459" s="8">
        <v>10476.2978</v>
      </c>
      <c r="J459" s="8">
        <v>30972.595470622698</v>
      </c>
      <c r="K459" s="8">
        <f>I459/1000000</f>
        <v>1.0476297800000001E-2</v>
      </c>
      <c r="L459" s="8">
        <f>J459/1000000</f>
        <v>3.0972595470622699E-2</v>
      </c>
      <c r="M459" t="s">
        <v>19</v>
      </c>
    </row>
    <row r="460" spans="2:13" x14ac:dyDescent="0.25">
      <c r="B460" t="s">
        <v>13</v>
      </c>
      <c r="C460" t="s">
        <v>46</v>
      </c>
      <c r="D460" t="s">
        <v>102</v>
      </c>
      <c r="E460">
        <v>2029</v>
      </c>
      <c r="F460" t="s">
        <v>23</v>
      </c>
      <c r="G460" t="s">
        <v>17</v>
      </c>
      <c r="H460" t="s">
        <v>18</v>
      </c>
      <c r="I460" s="8">
        <v>10802.953</v>
      </c>
      <c r="J460" s="8">
        <v>31938.333363539601</v>
      </c>
      <c r="K460" s="8">
        <f>I460/1000000</f>
        <v>1.0802952999999999E-2</v>
      </c>
      <c r="L460" s="8">
        <f>J460/1000000</f>
        <v>3.1938333363539601E-2</v>
      </c>
      <c r="M460" t="s">
        <v>19</v>
      </c>
    </row>
    <row r="461" spans="2:13" x14ac:dyDescent="0.25">
      <c r="B461" t="s">
        <v>13</v>
      </c>
      <c r="C461" t="s">
        <v>46</v>
      </c>
      <c r="D461" t="s">
        <v>102</v>
      </c>
      <c r="E461">
        <v>2030</v>
      </c>
      <c r="F461" t="s">
        <v>23</v>
      </c>
      <c r="G461" t="s">
        <v>17</v>
      </c>
      <c r="H461" t="s">
        <v>18</v>
      </c>
      <c r="I461" s="8">
        <v>11128.6962</v>
      </c>
      <c r="J461" s="8">
        <v>32901.375089408</v>
      </c>
      <c r="K461" s="8">
        <f>I461/1000000</f>
        <v>1.11286962E-2</v>
      </c>
      <c r="L461" s="8">
        <f>J461/1000000</f>
        <v>3.2901375089407998E-2</v>
      </c>
      <c r="M461" t="s">
        <v>19</v>
      </c>
    </row>
    <row r="462" spans="2:13" x14ac:dyDescent="0.25">
      <c r="B462" t="s">
        <v>13</v>
      </c>
      <c r="C462" t="s">
        <v>46</v>
      </c>
      <c r="D462" t="s">
        <v>102</v>
      </c>
      <c r="E462">
        <v>2027</v>
      </c>
      <c r="F462" t="s">
        <v>23</v>
      </c>
      <c r="G462" t="s">
        <v>17</v>
      </c>
      <c r="H462" t="s">
        <v>18</v>
      </c>
      <c r="I462" s="8">
        <v>10322.0571</v>
      </c>
      <c r="J462" s="8">
        <v>30668.808968820202</v>
      </c>
      <c r="K462" s="8">
        <f>I462/1000000</f>
        <v>1.03220571E-2</v>
      </c>
      <c r="L462" s="8">
        <f>J462/1000000</f>
        <v>3.0668808968820203E-2</v>
      </c>
      <c r="M462" t="s">
        <v>19</v>
      </c>
    </row>
    <row r="463" spans="2:13" x14ac:dyDescent="0.25">
      <c r="B463" t="s">
        <v>13</v>
      </c>
      <c r="C463" t="s">
        <v>46</v>
      </c>
      <c r="D463" t="s">
        <v>15</v>
      </c>
      <c r="E463">
        <v>2028</v>
      </c>
      <c r="F463" t="s">
        <v>23</v>
      </c>
      <c r="G463" t="s">
        <v>17</v>
      </c>
      <c r="H463" t="s">
        <v>18</v>
      </c>
      <c r="I463" s="8">
        <v>111296.7452</v>
      </c>
      <c r="J463" s="8">
        <v>37037.2880394737</v>
      </c>
      <c r="K463" s="8">
        <f>I463/1000000</f>
        <v>0.11129674520000001</v>
      </c>
      <c r="L463" s="8">
        <f>J463/1000000</f>
        <v>3.7037288039473704E-2</v>
      </c>
      <c r="M463" t="s">
        <v>19</v>
      </c>
    </row>
    <row r="464" spans="2:13" x14ac:dyDescent="0.25">
      <c r="B464" t="s">
        <v>13</v>
      </c>
      <c r="C464" t="s">
        <v>46</v>
      </c>
      <c r="D464" t="s">
        <v>102</v>
      </c>
      <c r="E464">
        <v>2026</v>
      </c>
      <c r="F464" t="s">
        <v>23</v>
      </c>
      <c r="G464" t="s">
        <v>17</v>
      </c>
      <c r="H464" t="s">
        <v>18</v>
      </c>
      <c r="I464" s="8">
        <v>20161.496200000001</v>
      </c>
      <c r="J464" s="8">
        <v>60000</v>
      </c>
      <c r="K464" s="8">
        <f>I464/1000000</f>
        <v>2.01614962E-2</v>
      </c>
      <c r="L464" s="8">
        <f>J464/1000000</f>
        <v>0.06</v>
      </c>
      <c r="M464" t="s">
        <v>19</v>
      </c>
    </row>
    <row r="465" spans="2:13" x14ac:dyDescent="0.25">
      <c r="B465" t="s">
        <v>13</v>
      </c>
      <c r="C465" t="s">
        <v>46</v>
      </c>
      <c r="D465" t="s">
        <v>103</v>
      </c>
      <c r="E465">
        <v>2030</v>
      </c>
      <c r="F465" t="s">
        <v>23</v>
      </c>
      <c r="G465" t="s">
        <v>17</v>
      </c>
      <c r="H465" t="s">
        <v>18</v>
      </c>
      <c r="I465" s="8">
        <v>20604.8037</v>
      </c>
      <c r="J465" s="8">
        <v>2008.0057373555001</v>
      </c>
      <c r="K465" s="8">
        <f>I465/1000000</f>
        <v>2.06048037E-2</v>
      </c>
      <c r="L465" s="8">
        <f>J465/1000000</f>
        <v>2.0080057373555002E-3</v>
      </c>
      <c r="M465" t="s">
        <v>39</v>
      </c>
    </row>
    <row r="466" spans="2:13" x14ac:dyDescent="0.25">
      <c r="B466" t="s">
        <v>13</v>
      </c>
      <c r="C466" t="s">
        <v>14</v>
      </c>
      <c r="D466" t="s">
        <v>52</v>
      </c>
      <c r="E466">
        <v>2028</v>
      </c>
      <c r="F466" t="s">
        <v>23</v>
      </c>
      <c r="G466" t="s">
        <v>17</v>
      </c>
      <c r="H466" t="s">
        <v>18</v>
      </c>
      <c r="I466" s="8">
        <v>824139.18909999996</v>
      </c>
      <c r="J466" s="8">
        <v>748161.31499999994</v>
      </c>
      <c r="K466" s="8">
        <f>I466/1000000</f>
        <v>0.82413918909999995</v>
      </c>
      <c r="L466" s="8">
        <f>J466/1000000</f>
        <v>0.74816131499999994</v>
      </c>
      <c r="M466" t="s">
        <v>19</v>
      </c>
    </row>
    <row r="467" spans="2:13" x14ac:dyDescent="0.25">
      <c r="B467" t="s">
        <v>13</v>
      </c>
      <c r="C467" t="s">
        <v>14</v>
      </c>
      <c r="D467" t="s">
        <v>15</v>
      </c>
      <c r="E467">
        <v>2028</v>
      </c>
      <c r="F467" t="s">
        <v>22</v>
      </c>
      <c r="G467" t="s">
        <v>17</v>
      </c>
      <c r="H467" t="s">
        <v>18</v>
      </c>
      <c r="I467" s="8">
        <v>20959865.484900001</v>
      </c>
      <c r="J467" s="8">
        <v>6968914.0499999998</v>
      </c>
      <c r="K467" s="8">
        <f>I467/1000000</f>
        <v>20.9598654849</v>
      </c>
      <c r="L467" s="8">
        <f>J467/1000000</f>
        <v>6.9689140499999995</v>
      </c>
      <c r="M467" t="s">
        <v>19</v>
      </c>
    </row>
    <row r="468" spans="2:13" x14ac:dyDescent="0.25">
      <c r="B468" t="s">
        <v>13</v>
      </c>
      <c r="C468" t="s">
        <v>46</v>
      </c>
      <c r="D468" t="s">
        <v>52</v>
      </c>
      <c r="E468">
        <v>2029</v>
      </c>
      <c r="F468" t="s">
        <v>22</v>
      </c>
      <c r="G468" t="s">
        <v>17</v>
      </c>
      <c r="H468" t="s">
        <v>18</v>
      </c>
      <c r="I468" s="8">
        <v>7236234.8584000003</v>
      </c>
      <c r="J468" s="8">
        <v>5708090.3441161197</v>
      </c>
      <c r="K468" s="8">
        <f>I468/1000000</f>
        <v>7.2362348584000005</v>
      </c>
      <c r="L468" s="8">
        <f>J468/1000000</f>
        <v>5.7080903441161199</v>
      </c>
      <c r="M468" t="s">
        <v>19</v>
      </c>
    </row>
    <row r="469" spans="2:13" x14ac:dyDescent="0.25">
      <c r="B469" t="s">
        <v>13</v>
      </c>
      <c r="C469" t="s">
        <v>46</v>
      </c>
      <c r="D469" t="s">
        <v>52</v>
      </c>
      <c r="E469">
        <v>2030</v>
      </c>
      <c r="F469" t="s">
        <v>22</v>
      </c>
      <c r="G469" t="s">
        <v>17</v>
      </c>
      <c r="H469" t="s">
        <v>18</v>
      </c>
      <c r="I469" s="8">
        <v>7447148.2675999999</v>
      </c>
      <c r="J469" s="8">
        <v>5822514.6475422801</v>
      </c>
      <c r="K469" s="8">
        <f>I469/1000000</f>
        <v>7.4471482676000003</v>
      </c>
      <c r="L469" s="8">
        <f>J469/1000000</f>
        <v>5.8225146475422802</v>
      </c>
      <c r="M469" t="s">
        <v>19</v>
      </c>
    </row>
    <row r="470" spans="2:13" x14ac:dyDescent="0.25">
      <c r="B470" t="s">
        <v>13</v>
      </c>
      <c r="C470" t="s">
        <v>46</v>
      </c>
      <c r="D470" t="s">
        <v>52</v>
      </c>
      <c r="E470">
        <v>2027</v>
      </c>
      <c r="F470" t="s">
        <v>22</v>
      </c>
      <c r="G470" t="s">
        <v>17</v>
      </c>
      <c r="H470" t="s">
        <v>18</v>
      </c>
      <c r="I470" s="8">
        <v>6676254.2045</v>
      </c>
      <c r="J470" s="8">
        <v>5347696.7194615398</v>
      </c>
      <c r="K470" s="8">
        <f>I470/1000000</f>
        <v>6.6762542045000002</v>
      </c>
      <c r="L470" s="8">
        <f>J470/1000000</f>
        <v>5.3476967194615401</v>
      </c>
      <c r="M470" t="s">
        <v>19</v>
      </c>
    </row>
    <row r="471" spans="2:13" x14ac:dyDescent="0.25">
      <c r="B471" t="s">
        <v>13</v>
      </c>
      <c r="C471" t="s">
        <v>46</v>
      </c>
      <c r="D471" t="s">
        <v>52</v>
      </c>
      <c r="E471">
        <v>2028</v>
      </c>
      <c r="F471" t="s">
        <v>22</v>
      </c>
      <c r="G471" t="s">
        <v>17</v>
      </c>
      <c r="H471" t="s">
        <v>18</v>
      </c>
      <c r="I471" s="8">
        <v>6893650.5894999998</v>
      </c>
      <c r="J471" s="8">
        <v>5510264.13907813</v>
      </c>
      <c r="K471" s="8">
        <f>I471/1000000</f>
        <v>6.8936505895</v>
      </c>
      <c r="L471" s="8">
        <f>J471/1000000</f>
        <v>5.5102641390781297</v>
      </c>
      <c r="M471" t="s">
        <v>19</v>
      </c>
    </row>
    <row r="472" spans="2:13" x14ac:dyDescent="0.25">
      <c r="B472" t="s">
        <v>13</v>
      </c>
      <c r="C472" t="s">
        <v>46</v>
      </c>
      <c r="D472" t="s">
        <v>69</v>
      </c>
      <c r="E472">
        <v>2030</v>
      </c>
      <c r="F472" t="s">
        <v>22</v>
      </c>
      <c r="G472" t="s">
        <v>17</v>
      </c>
      <c r="H472" t="s">
        <v>18</v>
      </c>
      <c r="I472" s="8">
        <v>25921109.4388</v>
      </c>
      <c r="J472" s="8">
        <v>11298292.970286099</v>
      </c>
      <c r="K472" s="8">
        <f>I472/1000000</f>
        <v>25.921109438799999</v>
      </c>
      <c r="L472" s="8">
        <f>J472/1000000</f>
        <v>11.298292970286099</v>
      </c>
      <c r="M472" t="s">
        <v>19</v>
      </c>
    </row>
    <row r="473" spans="2:13" x14ac:dyDescent="0.25">
      <c r="B473" t="s">
        <v>13</v>
      </c>
      <c r="C473" t="s">
        <v>46</v>
      </c>
      <c r="D473" t="s">
        <v>74</v>
      </c>
      <c r="E473">
        <v>2029</v>
      </c>
      <c r="F473" t="s">
        <v>22</v>
      </c>
      <c r="G473" t="s">
        <v>17</v>
      </c>
      <c r="H473" t="s">
        <v>18</v>
      </c>
      <c r="I473" s="8">
        <v>3942401.2949999999</v>
      </c>
      <c r="J473" s="8">
        <v>2624526.0268326998</v>
      </c>
      <c r="K473" s="8">
        <f>I473/1000000</f>
        <v>3.9424012949999998</v>
      </c>
      <c r="L473" s="8">
        <f>J473/1000000</f>
        <v>2.6245260268327</v>
      </c>
      <c r="M473" t="s">
        <v>19</v>
      </c>
    </row>
    <row r="474" spans="2:13" x14ac:dyDescent="0.25">
      <c r="B474" t="s">
        <v>13</v>
      </c>
      <c r="C474" t="s">
        <v>46</v>
      </c>
      <c r="D474" t="s">
        <v>74</v>
      </c>
      <c r="E474">
        <v>2030</v>
      </c>
      <c r="F474" t="s">
        <v>22</v>
      </c>
      <c r="G474" t="s">
        <v>17</v>
      </c>
      <c r="H474" t="s">
        <v>18</v>
      </c>
      <c r="I474" s="8">
        <v>3992426.7107000002</v>
      </c>
      <c r="J474" s="8">
        <v>2667261.43430294</v>
      </c>
      <c r="K474" s="8">
        <f>I474/1000000</f>
        <v>3.9924267107000002</v>
      </c>
      <c r="L474" s="8">
        <f>J474/1000000</f>
        <v>2.6672614343029402</v>
      </c>
      <c r="M474" t="s">
        <v>19</v>
      </c>
    </row>
    <row r="475" spans="2:13" x14ac:dyDescent="0.25">
      <c r="B475" t="s">
        <v>13</v>
      </c>
      <c r="C475" t="s">
        <v>46</v>
      </c>
      <c r="D475" t="s">
        <v>74</v>
      </c>
      <c r="E475">
        <v>2026</v>
      </c>
      <c r="F475" t="s">
        <v>22</v>
      </c>
      <c r="G475" t="s">
        <v>17</v>
      </c>
      <c r="H475" t="s">
        <v>18</v>
      </c>
      <c r="I475" s="8">
        <v>4208737.0662000002</v>
      </c>
      <c r="J475" s="8">
        <v>2483226.5096171401</v>
      </c>
      <c r="K475" s="8">
        <f>I475/1000000</f>
        <v>4.2087370662000003</v>
      </c>
      <c r="L475" s="8">
        <f>J475/1000000</f>
        <v>2.4832265096171402</v>
      </c>
      <c r="M475" t="s">
        <v>19</v>
      </c>
    </row>
    <row r="476" spans="2:13" x14ac:dyDescent="0.25">
      <c r="B476" t="s">
        <v>13</v>
      </c>
      <c r="C476" t="s">
        <v>46</v>
      </c>
      <c r="D476" t="s">
        <v>74</v>
      </c>
      <c r="E476">
        <v>2027</v>
      </c>
      <c r="F476" t="s">
        <v>22</v>
      </c>
      <c r="G476" t="s">
        <v>17</v>
      </c>
      <c r="H476" t="s">
        <v>18</v>
      </c>
      <c r="I476" s="8">
        <v>4293469.8370000003</v>
      </c>
      <c r="J476" s="8">
        <v>2584869.8220723001</v>
      </c>
      <c r="K476" s="8">
        <f>I476/1000000</f>
        <v>4.293469837</v>
      </c>
      <c r="L476" s="8">
        <f>J476/1000000</f>
        <v>2.5848698220723003</v>
      </c>
      <c r="M476" t="s">
        <v>19</v>
      </c>
    </row>
    <row r="477" spans="2:13" x14ac:dyDescent="0.25">
      <c r="B477" t="s">
        <v>13</v>
      </c>
      <c r="C477" t="s">
        <v>46</v>
      </c>
      <c r="D477" t="s">
        <v>74</v>
      </c>
      <c r="E477">
        <v>2028</v>
      </c>
      <c r="F477" t="s">
        <v>22</v>
      </c>
      <c r="G477" t="s">
        <v>17</v>
      </c>
      <c r="H477" t="s">
        <v>18</v>
      </c>
      <c r="I477" s="8">
        <v>4001533.8240999999</v>
      </c>
      <c r="J477" s="8">
        <v>2597228.1107283402</v>
      </c>
      <c r="K477" s="8">
        <f>I477/1000000</f>
        <v>4.0015338241</v>
      </c>
      <c r="L477" s="8">
        <f>J477/1000000</f>
        <v>2.5972281107283401</v>
      </c>
      <c r="M477" t="s">
        <v>19</v>
      </c>
    </row>
    <row r="478" spans="2:13" x14ac:dyDescent="0.25">
      <c r="B478" t="s">
        <v>13</v>
      </c>
      <c r="C478" t="s">
        <v>46</v>
      </c>
      <c r="D478" t="s">
        <v>73</v>
      </c>
      <c r="E478">
        <v>2026</v>
      </c>
      <c r="F478" t="s">
        <v>22</v>
      </c>
      <c r="G478" t="s">
        <v>17</v>
      </c>
      <c r="H478" t="s">
        <v>18</v>
      </c>
      <c r="I478" s="8">
        <v>8439341.2783000004</v>
      </c>
      <c r="J478" s="8">
        <v>8850813.5574031305</v>
      </c>
      <c r="K478" s="8">
        <f>I478/1000000</f>
        <v>8.4393412783000006</v>
      </c>
      <c r="L478" s="8">
        <f>J478/1000000</f>
        <v>8.8508135574031304</v>
      </c>
      <c r="M478" t="s">
        <v>19</v>
      </c>
    </row>
    <row r="479" spans="2:13" x14ac:dyDescent="0.25">
      <c r="B479" t="s">
        <v>13</v>
      </c>
      <c r="C479" t="s">
        <v>46</v>
      </c>
      <c r="D479" t="s">
        <v>73</v>
      </c>
      <c r="E479">
        <v>2027</v>
      </c>
      <c r="F479" t="s">
        <v>22</v>
      </c>
      <c r="G479" t="s">
        <v>17</v>
      </c>
      <c r="H479" t="s">
        <v>18</v>
      </c>
      <c r="I479" s="8">
        <v>8714190.2540000007</v>
      </c>
      <c r="J479" s="8">
        <v>9165658.2119728103</v>
      </c>
      <c r="K479" s="8">
        <f>I479/1000000</f>
        <v>8.714190254</v>
      </c>
      <c r="L479" s="8">
        <f>J479/1000000</f>
        <v>9.1656582119728096</v>
      </c>
      <c r="M479" t="s">
        <v>19</v>
      </c>
    </row>
    <row r="480" spans="2:13" x14ac:dyDescent="0.25">
      <c r="B480" t="s">
        <v>13</v>
      </c>
      <c r="C480" t="s">
        <v>46</v>
      </c>
      <c r="D480" t="s">
        <v>73</v>
      </c>
      <c r="E480">
        <v>2028</v>
      </c>
      <c r="F480" t="s">
        <v>22</v>
      </c>
      <c r="G480" t="s">
        <v>17</v>
      </c>
      <c r="H480" t="s">
        <v>18</v>
      </c>
      <c r="I480" s="8">
        <v>9770862.0002999995</v>
      </c>
      <c r="J480" s="8">
        <v>9613056.6924712192</v>
      </c>
      <c r="K480" s="8">
        <f>I480/1000000</f>
        <v>9.7708620002999993</v>
      </c>
      <c r="L480" s="8">
        <f>J480/1000000</f>
        <v>9.6130566924712184</v>
      </c>
      <c r="M480" t="s">
        <v>19</v>
      </c>
    </row>
    <row r="481" spans="2:13" x14ac:dyDescent="0.25">
      <c r="B481" t="s">
        <v>13</v>
      </c>
      <c r="C481" t="s">
        <v>46</v>
      </c>
      <c r="D481" t="s">
        <v>70</v>
      </c>
      <c r="E481">
        <v>2026</v>
      </c>
      <c r="F481" t="s">
        <v>22</v>
      </c>
      <c r="G481" t="s">
        <v>17</v>
      </c>
      <c r="H481" t="s">
        <v>18</v>
      </c>
      <c r="I481" s="8">
        <v>12936193.266100001</v>
      </c>
      <c r="J481" s="8">
        <v>7524846.75</v>
      </c>
      <c r="K481" s="8">
        <f>I481/1000000</f>
        <v>12.9361932661</v>
      </c>
      <c r="L481" s="8">
        <f>J481/1000000</f>
        <v>7.52484675</v>
      </c>
      <c r="M481" t="s">
        <v>19</v>
      </c>
    </row>
    <row r="482" spans="2:13" x14ac:dyDescent="0.25">
      <c r="B482" t="s">
        <v>13</v>
      </c>
      <c r="C482" t="s">
        <v>46</v>
      </c>
      <c r="D482" t="s">
        <v>70</v>
      </c>
      <c r="E482">
        <v>2027</v>
      </c>
      <c r="F482" t="s">
        <v>22</v>
      </c>
      <c r="G482" t="s">
        <v>17</v>
      </c>
      <c r="H482" t="s">
        <v>18</v>
      </c>
      <c r="I482" s="8">
        <v>10863142.282099999</v>
      </c>
      <c r="J482" s="8">
        <v>7814157.75</v>
      </c>
      <c r="K482" s="8">
        <f>I482/1000000</f>
        <v>10.8631422821</v>
      </c>
      <c r="L482" s="8">
        <f>J482/1000000</f>
        <v>7.8141577499999997</v>
      </c>
      <c r="M482" t="s">
        <v>19</v>
      </c>
    </row>
    <row r="483" spans="2:13" x14ac:dyDescent="0.25">
      <c r="B483" t="s">
        <v>13</v>
      </c>
      <c r="C483" t="s">
        <v>46</v>
      </c>
      <c r="D483" t="s">
        <v>70</v>
      </c>
      <c r="E483">
        <v>2028</v>
      </c>
      <c r="F483" t="s">
        <v>22</v>
      </c>
      <c r="G483" t="s">
        <v>17</v>
      </c>
      <c r="H483" t="s">
        <v>18</v>
      </c>
      <c r="I483" s="8">
        <v>11249925.503799999</v>
      </c>
      <c r="J483" s="8">
        <v>8000333.6875</v>
      </c>
      <c r="K483" s="8">
        <f>I483/1000000</f>
        <v>11.249925503799998</v>
      </c>
      <c r="L483" s="8">
        <f>J483/1000000</f>
        <v>8.0003336874999995</v>
      </c>
      <c r="M483" t="s">
        <v>19</v>
      </c>
    </row>
    <row r="484" spans="2:13" x14ac:dyDescent="0.25">
      <c r="B484" t="s">
        <v>13</v>
      </c>
      <c r="C484" t="s">
        <v>46</v>
      </c>
      <c r="D484" t="s">
        <v>15</v>
      </c>
      <c r="E484">
        <v>2029</v>
      </c>
      <c r="F484" t="s">
        <v>22</v>
      </c>
      <c r="G484" t="s">
        <v>17</v>
      </c>
      <c r="H484" t="s">
        <v>18</v>
      </c>
      <c r="I484" s="8">
        <v>4113827.1493000002</v>
      </c>
      <c r="J484" s="8">
        <v>1368049.51604945</v>
      </c>
      <c r="K484" s="8">
        <f>I484/1000000</f>
        <v>4.1138271493000005</v>
      </c>
      <c r="L484" s="8">
        <f>J484/1000000</f>
        <v>1.3680495160494501</v>
      </c>
      <c r="M484" t="s">
        <v>19</v>
      </c>
    </row>
    <row r="485" spans="2:13" x14ac:dyDescent="0.25">
      <c r="B485" t="s">
        <v>13</v>
      </c>
      <c r="C485" t="s">
        <v>46</v>
      </c>
      <c r="D485" t="s">
        <v>15</v>
      </c>
      <c r="E485">
        <v>2030</v>
      </c>
      <c r="F485" t="s">
        <v>22</v>
      </c>
      <c r="G485" t="s">
        <v>17</v>
      </c>
      <c r="H485" t="s">
        <v>18</v>
      </c>
      <c r="I485" s="8">
        <v>4230918.3324999996</v>
      </c>
      <c r="J485" s="8">
        <v>1406988.0836399901</v>
      </c>
      <c r="K485" s="8">
        <f>I485/1000000</f>
        <v>4.2309183324999999</v>
      </c>
      <c r="L485" s="8">
        <f>J485/1000000</f>
        <v>1.4069880836399902</v>
      </c>
      <c r="M485" t="s">
        <v>19</v>
      </c>
    </row>
    <row r="486" spans="2:13" x14ac:dyDescent="0.25">
      <c r="B486" t="s">
        <v>13</v>
      </c>
      <c r="C486" t="s">
        <v>46</v>
      </c>
      <c r="D486" t="s">
        <v>100</v>
      </c>
      <c r="E486">
        <v>2029</v>
      </c>
      <c r="F486" t="s">
        <v>22</v>
      </c>
      <c r="G486" t="s">
        <v>17</v>
      </c>
      <c r="H486" t="s">
        <v>18</v>
      </c>
      <c r="I486" s="8">
        <v>17248266.4734</v>
      </c>
      <c r="J486" s="8">
        <v>7603080.0349916201</v>
      </c>
      <c r="K486" s="8">
        <f>I486/1000000</f>
        <v>17.248266473400001</v>
      </c>
      <c r="L486" s="8">
        <f>J486/1000000</f>
        <v>7.6030800349916206</v>
      </c>
      <c r="M486" t="s">
        <v>19</v>
      </c>
    </row>
    <row r="487" spans="2:13" x14ac:dyDescent="0.25">
      <c r="B487" t="s">
        <v>13</v>
      </c>
      <c r="C487" t="s">
        <v>46</v>
      </c>
      <c r="D487" t="s">
        <v>100</v>
      </c>
      <c r="E487">
        <v>2030</v>
      </c>
      <c r="F487" t="s">
        <v>22</v>
      </c>
      <c r="G487" t="s">
        <v>17</v>
      </c>
      <c r="H487" t="s">
        <v>18</v>
      </c>
      <c r="I487" s="8">
        <v>17506898.9969</v>
      </c>
      <c r="J487" s="8">
        <v>7785725.2664839001</v>
      </c>
      <c r="K487" s="8">
        <f>I487/1000000</f>
        <v>17.506898996899999</v>
      </c>
      <c r="L487" s="8">
        <f>J487/1000000</f>
        <v>7.7857252664839001</v>
      </c>
      <c r="M487" t="s">
        <v>19</v>
      </c>
    </row>
    <row r="488" spans="2:13" x14ac:dyDescent="0.25">
      <c r="B488" t="s">
        <v>13</v>
      </c>
      <c r="C488" t="s">
        <v>46</v>
      </c>
      <c r="D488" t="s">
        <v>100</v>
      </c>
      <c r="E488">
        <v>2026</v>
      </c>
      <c r="F488" t="s">
        <v>22</v>
      </c>
      <c r="G488" t="s">
        <v>17</v>
      </c>
      <c r="H488" t="s">
        <v>18</v>
      </c>
      <c r="I488" s="8">
        <v>14808679.0655</v>
      </c>
      <c r="J488" s="8">
        <v>6955154.2217834201</v>
      </c>
      <c r="K488" s="8">
        <f>I488/1000000</f>
        <v>14.8086790655</v>
      </c>
      <c r="L488" s="8">
        <f>J488/1000000</f>
        <v>6.9551542217834204</v>
      </c>
      <c r="M488" t="s">
        <v>19</v>
      </c>
    </row>
    <row r="489" spans="2:13" x14ac:dyDescent="0.25">
      <c r="B489" t="s">
        <v>13</v>
      </c>
      <c r="C489" t="s">
        <v>46</v>
      </c>
      <c r="D489" t="s">
        <v>100</v>
      </c>
      <c r="E489">
        <v>2027</v>
      </c>
      <c r="F489" t="s">
        <v>22</v>
      </c>
      <c r="G489" t="s">
        <v>17</v>
      </c>
      <c r="H489" t="s">
        <v>18</v>
      </c>
      <c r="I489" s="8">
        <v>15503609.7996</v>
      </c>
      <c r="J489" s="8">
        <v>7213779.0120892897</v>
      </c>
      <c r="K489" s="8">
        <f>I489/1000000</f>
        <v>15.5036097996</v>
      </c>
      <c r="L489" s="8">
        <f>J489/1000000</f>
        <v>7.2137790120892893</v>
      </c>
      <c r="M489" t="s">
        <v>19</v>
      </c>
    </row>
    <row r="490" spans="2:13" x14ac:dyDescent="0.25">
      <c r="B490" t="s">
        <v>13</v>
      </c>
      <c r="C490" t="s">
        <v>46</v>
      </c>
      <c r="D490" t="s">
        <v>100</v>
      </c>
      <c r="E490">
        <v>2028</v>
      </c>
      <c r="F490" t="s">
        <v>22</v>
      </c>
      <c r="G490" t="s">
        <v>17</v>
      </c>
      <c r="H490" t="s">
        <v>18</v>
      </c>
      <c r="I490" s="8">
        <v>15721017.3873</v>
      </c>
      <c r="J490" s="8">
        <v>7385650.6473264499</v>
      </c>
      <c r="K490" s="8">
        <f>I490/1000000</f>
        <v>15.7210173873</v>
      </c>
      <c r="L490" s="8">
        <f>J490/1000000</f>
        <v>7.3856506473264503</v>
      </c>
      <c r="M490" t="s">
        <v>19</v>
      </c>
    </row>
    <row r="491" spans="2:13" x14ac:dyDescent="0.25">
      <c r="B491" t="s">
        <v>13</v>
      </c>
      <c r="C491" t="s">
        <v>46</v>
      </c>
      <c r="D491" t="s">
        <v>72</v>
      </c>
      <c r="E491">
        <v>2030</v>
      </c>
      <c r="F491" t="s">
        <v>22</v>
      </c>
      <c r="G491" t="s">
        <v>17</v>
      </c>
      <c r="H491" t="s">
        <v>18</v>
      </c>
      <c r="I491" s="8">
        <v>24904985.973900001</v>
      </c>
      <c r="J491" s="8">
        <v>11576800.431041799</v>
      </c>
      <c r="K491" s="8">
        <f>I491/1000000</f>
        <v>24.904985973900001</v>
      </c>
      <c r="L491" s="8">
        <f>J491/1000000</f>
        <v>11.5768004310418</v>
      </c>
      <c r="M491" t="s">
        <v>19</v>
      </c>
    </row>
    <row r="492" spans="2:13" x14ac:dyDescent="0.25">
      <c r="B492" t="s">
        <v>13</v>
      </c>
      <c r="C492" t="s">
        <v>46</v>
      </c>
      <c r="D492" t="s">
        <v>72</v>
      </c>
      <c r="E492">
        <v>2026</v>
      </c>
      <c r="F492" t="s">
        <v>22</v>
      </c>
      <c r="G492" t="s">
        <v>17</v>
      </c>
      <c r="H492" t="s">
        <v>18</v>
      </c>
      <c r="I492" s="8">
        <v>29942829.708999999</v>
      </c>
      <c r="J492" s="8">
        <v>10491481.59279</v>
      </c>
      <c r="K492" s="8">
        <f>I492/1000000</f>
        <v>29.942829708999998</v>
      </c>
      <c r="L492" s="8">
        <f>J492/1000000</f>
        <v>10.49148159279</v>
      </c>
      <c r="M492" t="s">
        <v>19</v>
      </c>
    </row>
    <row r="493" spans="2:13" x14ac:dyDescent="0.25">
      <c r="B493" t="s">
        <v>13</v>
      </c>
      <c r="C493" t="s">
        <v>46</v>
      </c>
      <c r="D493" t="s">
        <v>72</v>
      </c>
      <c r="E493">
        <v>2027</v>
      </c>
      <c r="F493" t="s">
        <v>22</v>
      </c>
      <c r="G493" t="s">
        <v>17</v>
      </c>
      <c r="H493" t="s">
        <v>18</v>
      </c>
      <c r="I493" s="8">
        <v>26913438.673</v>
      </c>
      <c r="J493" s="8">
        <v>10967111.257779</v>
      </c>
      <c r="K493" s="8">
        <f>I493/1000000</f>
        <v>26.913438673000002</v>
      </c>
      <c r="L493" s="8">
        <f>J493/1000000</f>
        <v>10.967111257779001</v>
      </c>
      <c r="M493" t="s">
        <v>19</v>
      </c>
    </row>
    <row r="494" spans="2:13" x14ac:dyDescent="0.25">
      <c r="B494" t="s">
        <v>13</v>
      </c>
      <c r="C494" t="s">
        <v>46</v>
      </c>
      <c r="D494" t="s">
        <v>72</v>
      </c>
      <c r="E494">
        <v>2028</v>
      </c>
      <c r="F494" t="s">
        <v>22</v>
      </c>
      <c r="G494" t="s">
        <v>17</v>
      </c>
      <c r="H494" t="s">
        <v>18</v>
      </c>
      <c r="I494" s="8">
        <v>27179403.159400001</v>
      </c>
      <c r="J494" s="8">
        <v>11135381.0192378</v>
      </c>
      <c r="K494" s="8">
        <f>I494/1000000</f>
        <v>27.1794031594</v>
      </c>
      <c r="L494" s="8">
        <f>J494/1000000</f>
        <v>11.1353810192378</v>
      </c>
      <c r="M494" t="s">
        <v>19</v>
      </c>
    </row>
    <row r="495" spans="2:13" x14ac:dyDescent="0.25">
      <c r="B495" t="s">
        <v>13</v>
      </c>
      <c r="C495" t="s">
        <v>46</v>
      </c>
      <c r="D495" t="s">
        <v>76</v>
      </c>
      <c r="E495">
        <v>2027</v>
      </c>
      <c r="F495" t="s">
        <v>22</v>
      </c>
      <c r="G495" t="s">
        <v>17</v>
      </c>
      <c r="H495" t="s">
        <v>18</v>
      </c>
      <c r="I495" s="8">
        <v>26239402.522100002</v>
      </c>
      <c r="J495" s="8">
        <v>8105530.11543559</v>
      </c>
      <c r="K495" s="8">
        <f>I495/1000000</f>
        <v>26.239402522100001</v>
      </c>
      <c r="L495" s="8">
        <f>J495/1000000</f>
        <v>8.1055301154355899</v>
      </c>
      <c r="M495" t="s">
        <v>39</v>
      </c>
    </row>
    <row r="496" spans="2:13" x14ac:dyDescent="0.25">
      <c r="B496" t="s">
        <v>13</v>
      </c>
      <c r="C496" t="s">
        <v>46</v>
      </c>
      <c r="D496" t="s">
        <v>76</v>
      </c>
      <c r="E496">
        <v>2028</v>
      </c>
      <c r="F496" t="s">
        <v>22</v>
      </c>
      <c r="G496" t="s">
        <v>17</v>
      </c>
      <c r="H496" t="s">
        <v>18</v>
      </c>
      <c r="I496" s="8">
        <v>24708759.209399998</v>
      </c>
      <c r="J496" s="8">
        <v>7739936.6971811801</v>
      </c>
      <c r="K496" s="8">
        <f>I496/1000000</f>
        <v>24.708759209399997</v>
      </c>
      <c r="L496" s="8">
        <f>J496/1000000</f>
        <v>7.7399366971811805</v>
      </c>
      <c r="M496" t="s">
        <v>39</v>
      </c>
    </row>
    <row r="497" spans="2:13" x14ac:dyDescent="0.25">
      <c r="B497" t="s">
        <v>13</v>
      </c>
      <c r="C497" t="s">
        <v>46</v>
      </c>
      <c r="D497" t="s">
        <v>76</v>
      </c>
      <c r="E497">
        <v>2030</v>
      </c>
      <c r="F497" t="s">
        <v>22</v>
      </c>
      <c r="G497" t="s">
        <v>17</v>
      </c>
      <c r="H497" t="s">
        <v>18</v>
      </c>
      <c r="I497" s="8">
        <v>25812864.3116</v>
      </c>
      <c r="J497" s="8">
        <v>8085793.9507046798</v>
      </c>
      <c r="K497" s="8">
        <f>I497/1000000</f>
        <v>25.812864311599999</v>
      </c>
      <c r="L497" s="8">
        <f>J497/1000000</f>
        <v>8.0857939507046801</v>
      </c>
      <c r="M497" t="s">
        <v>39</v>
      </c>
    </row>
    <row r="498" spans="2:13" x14ac:dyDescent="0.25">
      <c r="B498" t="s">
        <v>13</v>
      </c>
      <c r="C498" t="s">
        <v>46</v>
      </c>
      <c r="D498" t="s">
        <v>76</v>
      </c>
      <c r="E498">
        <v>2029</v>
      </c>
      <c r="F498" t="s">
        <v>22</v>
      </c>
      <c r="G498" t="s">
        <v>17</v>
      </c>
      <c r="H498" t="s">
        <v>18</v>
      </c>
      <c r="I498" s="8">
        <v>25255392.004000001</v>
      </c>
      <c r="J498" s="8">
        <v>7911167.6032306198</v>
      </c>
      <c r="K498" s="8">
        <f>I498/1000000</f>
        <v>25.255392004000001</v>
      </c>
      <c r="L498" s="8">
        <f>J498/1000000</f>
        <v>7.91116760323062</v>
      </c>
      <c r="M498" t="s">
        <v>39</v>
      </c>
    </row>
    <row r="499" spans="2:13" x14ac:dyDescent="0.25">
      <c r="B499" t="s">
        <v>13</v>
      </c>
      <c r="C499" t="s">
        <v>46</v>
      </c>
      <c r="D499" t="s">
        <v>76</v>
      </c>
      <c r="E499">
        <v>2026</v>
      </c>
      <c r="F499" t="s">
        <v>22</v>
      </c>
      <c r="G499" t="s">
        <v>17</v>
      </c>
      <c r="H499" t="s">
        <v>18</v>
      </c>
      <c r="I499" s="8">
        <v>23846451.602499999</v>
      </c>
      <c r="J499" s="8">
        <v>7904500</v>
      </c>
      <c r="K499" s="8">
        <f>I499/1000000</f>
        <v>23.8464516025</v>
      </c>
      <c r="L499" s="8">
        <f>J499/1000000</f>
        <v>7.9044999999999996</v>
      </c>
      <c r="M499" t="s">
        <v>39</v>
      </c>
    </row>
    <row r="500" spans="2:13" x14ac:dyDescent="0.25">
      <c r="B500" t="s">
        <v>13</v>
      </c>
      <c r="C500" t="s">
        <v>46</v>
      </c>
      <c r="D500" t="s">
        <v>102</v>
      </c>
      <c r="E500">
        <v>2030</v>
      </c>
      <c r="F500" t="s">
        <v>22</v>
      </c>
      <c r="G500" t="s">
        <v>17</v>
      </c>
      <c r="H500" t="s">
        <v>18</v>
      </c>
      <c r="I500" s="8">
        <v>745749.19189999998</v>
      </c>
      <c r="J500" s="8">
        <v>1671568.3040737701</v>
      </c>
      <c r="K500" s="8">
        <f>I500/1000000</f>
        <v>0.7457491919</v>
      </c>
      <c r="L500" s="8">
        <f>J500/1000000</f>
        <v>1.6715683040737701</v>
      </c>
      <c r="M500" t="s">
        <v>19</v>
      </c>
    </row>
    <row r="501" spans="2:13" x14ac:dyDescent="0.25">
      <c r="B501" t="s">
        <v>13</v>
      </c>
      <c r="C501" t="s">
        <v>46</v>
      </c>
      <c r="D501" t="s">
        <v>69</v>
      </c>
      <c r="E501">
        <v>2029</v>
      </c>
      <c r="F501" t="s">
        <v>22</v>
      </c>
      <c r="G501" t="s">
        <v>17</v>
      </c>
      <c r="H501" t="s">
        <v>18</v>
      </c>
      <c r="I501" s="8">
        <v>25073226.5143</v>
      </c>
      <c r="J501" s="8">
        <v>10954229.0642443</v>
      </c>
      <c r="K501" s="8">
        <f>I501/1000000</f>
        <v>25.0732265143</v>
      </c>
      <c r="L501" s="8">
        <f>J501/1000000</f>
        <v>10.9542290642443</v>
      </c>
      <c r="M501" t="s">
        <v>19</v>
      </c>
    </row>
    <row r="502" spans="2:13" x14ac:dyDescent="0.25">
      <c r="B502" t="s">
        <v>13</v>
      </c>
      <c r="C502" t="s">
        <v>46</v>
      </c>
      <c r="D502" t="s">
        <v>72</v>
      </c>
      <c r="E502">
        <v>2029</v>
      </c>
      <c r="F502" t="s">
        <v>22</v>
      </c>
      <c r="G502" t="s">
        <v>17</v>
      </c>
      <c r="H502" t="s">
        <v>18</v>
      </c>
      <c r="I502" s="8">
        <v>24238202.272599999</v>
      </c>
      <c r="J502" s="8">
        <v>11266853.585526699</v>
      </c>
      <c r="K502" s="8">
        <f>I502/1000000</f>
        <v>24.238202272599999</v>
      </c>
      <c r="L502" s="8">
        <f>J502/1000000</f>
        <v>11.266853585526698</v>
      </c>
      <c r="M502" t="s">
        <v>19</v>
      </c>
    </row>
    <row r="503" spans="2:13" x14ac:dyDescent="0.25">
      <c r="B503" t="s">
        <v>13</v>
      </c>
      <c r="C503" t="s">
        <v>46</v>
      </c>
      <c r="D503" t="s">
        <v>15</v>
      </c>
      <c r="E503">
        <v>2028</v>
      </c>
      <c r="F503" t="s">
        <v>22</v>
      </c>
      <c r="G503" t="s">
        <v>17</v>
      </c>
      <c r="H503" t="s">
        <v>18</v>
      </c>
      <c r="I503" s="8">
        <v>4973209.5724999998</v>
      </c>
      <c r="J503" s="8">
        <v>1653836.3674261</v>
      </c>
      <c r="K503" s="8">
        <f>I503/1000000</f>
        <v>4.9732095725000001</v>
      </c>
      <c r="L503" s="8">
        <f>J503/1000000</f>
        <v>1.6538363674260999</v>
      </c>
      <c r="M503" t="s">
        <v>19</v>
      </c>
    </row>
    <row r="504" spans="2:13" x14ac:dyDescent="0.25">
      <c r="B504" t="s">
        <v>13</v>
      </c>
      <c r="C504" t="s">
        <v>46</v>
      </c>
      <c r="D504" t="s">
        <v>52</v>
      </c>
      <c r="E504">
        <v>2026</v>
      </c>
      <c r="F504" t="s">
        <v>22</v>
      </c>
      <c r="G504" t="s">
        <v>17</v>
      </c>
      <c r="H504" t="s">
        <v>18</v>
      </c>
      <c r="I504" s="8">
        <v>5178852.5416999999</v>
      </c>
      <c r="J504" s="8">
        <v>4115874.9004067802</v>
      </c>
      <c r="K504" s="8">
        <f>I504/1000000</f>
        <v>5.1788525416999995</v>
      </c>
      <c r="L504" s="8">
        <f>J504/1000000</f>
        <v>4.1158749004067801</v>
      </c>
      <c r="M504" t="s">
        <v>19</v>
      </c>
    </row>
    <row r="505" spans="2:13" x14ac:dyDescent="0.25">
      <c r="B505" t="s">
        <v>13</v>
      </c>
      <c r="C505" t="s">
        <v>46</v>
      </c>
      <c r="D505" t="s">
        <v>102</v>
      </c>
      <c r="E505">
        <v>2029</v>
      </c>
      <c r="F505" t="s">
        <v>22</v>
      </c>
      <c r="G505" t="s">
        <v>17</v>
      </c>
      <c r="H505" t="s">
        <v>18</v>
      </c>
      <c r="I505" s="8">
        <v>61668.501100000001</v>
      </c>
      <c r="J505" s="8">
        <v>138227.58758887899</v>
      </c>
      <c r="K505" s="8">
        <f>I505/1000000</f>
        <v>6.1668501100000002E-2</v>
      </c>
      <c r="L505" s="8">
        <f>J505/1000000</f>
        <v>0.13822758758887899</v>
      </c>
      <c r="M505" t="s">
        <v>19</v>
      </c>
    </row>
    <row r="506" spans="2:13" x14ac:dyDescent="0.25">
      <c r="B506" t="s">
        <v>13</v>
      </c>
      <c r="C506" t="s">
        <v>14</v>
      </c>
      <c r="D506" t="s">
        <v>74</v>
      </c>
      <c r="E506">
        <v>2026</v>
      </c>
      <c r="F506" t="s">
        <v>22</v>
      </c>
      <c r="G506" t="s">
        <v>17</v>
      </c>
      <c r="H506" t="s">
        <v>18</v>
      </c>
      <c r="I506" s="8">
        <v>4234263.0119000003</v>
      </c>
      <c r="J506" s="8">
        <v>2500000</v>
      </c>
      <c r="K506" s="8">
        <f>I506/1000000</f>
        <v>4.2342630119000004</v>
      </c>
      <c r="L506" s="8">
        <f>J506/1000000</f>
        <v>2.5</v>
      </c>
      <c r="M506" t="s">
        <v>39</v>
      </c>
    </row>
    <row r="507" spans="2:13" x14ac:dyDescent="0.25">
      <c r="B507" t="s">
        <v>13</v>
      </c>
      <c r="C507" t="s">
        <v>14</v>
      </c>
      <c r="D507" t="s">
        <v>109</v>
      </c>
      <c r="E507">
        <v>2026</v>
      </c>
      <c r="F507" t="s">
        <v>22</v>
      </c>
      <c r="G507" t="s">
        <v>17</v>
      </c>
      <c r="H507" t="s">
        <v>18</v>
      </c>
      <c r="I507" s="8">
        <v>24540302.055199999</v>
      </c>
      <c r="J507" s="8">
        <v>17000000</v>
      </c>
      <c r="K507" s="8">
        <f>I507/1000000</f>
        <v>24.540302055199998</v>
      </c>
      <c r="L507" s="8">
        <f>J507/1000000</f>
        <v>17</v>
      </c>
      <c r="M507" t="s">
        <v>39</v>
      </c>
    </row>
    <row r="508" spans="2:13" x14ac:dyDescent="0.25">
      <c r="B508" t="s">
        <v>13</v>
      </c>
      <c r="C508" t="s">
        <v>14</v>
      </c>
      <c r="D508" t="s">
        <v>109</v>
      </c>
      <c r="E508">
        <v>2027</v>
      </c>
      <c r="F508" t="s">
        <v>22</v>
      </c>
      <c r="G508" t="s">
        <v>17</v>
      </c>
      <c r="H508" t="s">
        <v>18</v>
      </c>
      <c r="I508" s="8">
        <v>16010471.7972</v>
      </c>
      <c r="J508" s="8">
        <v>10000000</v>
      </c>
      <c r="K508" s="8">
        <f>I508/1000000</f>
        <v>16.010471797200001</v>
      </c>
      <c r="L508" s="8">
        <f>J508/1000000</f>
        <v>10</v>
      </c>
      <c r="M508" t="s">
        <v>39</v>
      </c>
    </row>
    <row r="509" spans="2:13" x14ac:dyDescent="0.25">
      <c r="B509" t="s">
        <v>13</v>
      </c>
      <c r="C509" t="s">
        <v>14</v>
      </c>
      <c r="D509" t="s">
        <v>109</v>
      </c>
      <c r="E509">
        <v>2028</v>
      </c>
      <c r="F509" t="s">
        <v>22</v>
      </c>
      <c r="G509" t="s">
        <v>17</v>
      </c>
      <c r="H509" t="s">
        <v>18</v>
      </c>
      <c r="I509" s="8">
        <v>11014183.267000001</v>
      </c>
      <c r="J509" s="8">
        <v>6500000</v>
      </c>
      <c r="K509" s="8">
        <f>I509/1000000</f>
        <v>11.014183267000002</v>
      </c>
      <c r="L509" s="8">
        <f>J509/1000000</f>
        <v>6.5</v>
      </c>
      <c r="M509" t="s">
        <v>39</v>
      </c>
    </row>
    <row r="510" spans="2:13" x14ac:dyDescent="0.25">
      <c r="B510" t="s">
        <v>13</v>
      </c>
      <c r="C510" t="s">
        <v>14</v>
      </c>
      <c r="D510" t="s">
        <v>52</v>
      </c>
      <c r="E510">
        <v>2028</v>
      </c>
      <c r="F510" t="s">
        <v>22</v>
      </c>
      <c r="G510" t="s">
        <v>17</v>
      </c>
      <c r="H510" t="s">
        <v>18</v>
      </c>
      <c r="I510" s="8">
        <v>9558960.1802999992</v>
      </c>
      <c r="J510" s="8">
        <v>8655979.3732500002</v>
      </c>
      <c r="K510" s="8">
        <f>I510/1000000</f>
        <v>9.5589601802999997</v>
      </c>
      <c r="L510" s="8">
        <f>J510/1000000</f>
        <v>8.6559793732500001</v>
      </c>
      <c r="M510" t="s">
        <v>19</v>
      </c>
    </row>
    <row r="511" spans="2:13" x14ac:dyDescent="0.25">
      <c r="B511" t="s">
        <v>13</v>
      </c>
      <c r="C511" t="s">
        <v>14</v>
      </c>
      <c r="D511" t="s">
        <v>52</v>
      </c>
      <c r="E511">
        <v>2029</v>
      </c>
      <c r="F511" t="s">
        <v>22</v>
      </c>
      <c r="G511" t="s">
        <v>17</v>
      </c>
      <c r="H511" t="s">
        <v>18</v>
      </c>
      <c r="I511" s="8">
        <v>10004310.319</v>
      </c>
      <c r="J511" s="8">
        <v>8655979.3732500002</v>
      </c>
      <c r="K511" s="8">
        <f>I511/1000000</f>
        <v>10.004310319</v>
      </c>
      <c r="L511" s="8">
        <f>J511/1000000</f>
        <v>8.6559793732500001</v>
      </c>
      <c r="M511" t="s">
        <v>19</v>
      </c>
    </row>
    <row r="512" spans="2:13" x14ac:dyDescent="0.25">
      <c r="B512" t="s">
        <v>13</v>
      </c>
      <c r="C512" t="s">
        <v>14</v>
      </c>
      <c r="D512" t="s">
        <v>52</v>
      </c>
      <c r="E512">
        <v>2026</v>
      </c>
      <c r="F512" t="s">
        <v>22</v>
      </c>
      <c r="G512" t="s">
        <v>17</v>
      </c>
      <c r="H512" t="s">
        <v>18</v>
      </c>
      <c r="I512" s="8">
        <v>0</v>
      </c>
      <c r="J512" s="8">
        <v>26285074.722141799</v>
      </c>
      <c r="K512" s="8">
        <f>I512/1000000</f>
        <v>0</v>
      </c>
      <c r="L512" s="8">
        <f>J512/1000000</f>
        <v>26.285074722141797</v>
      </c>
      <c r="M512" t="s">
        <v>19</v>
      </c>
    </row>
    <row r="513" spans="2:13" x14ac:dyDescent="0.25">
      <c r="B513" t="s">
        <v>13</v>
      </c>
      <c r="C513" t="s">
        <v>46</v>
      </c>
      <c r="D513" t="s">
        <v>52</v>
      </c>
      <c r="E513">
        <v>2026</v>
      </c>
      <c r="F513" t="s">
        <v>56</v>
      </c>
      <c r="G513" t="s">
        <v>17</v>
      </c>
      <c r="H513" t="s">
        <v>18</v>
      </c>
      <c r="I513" s="8">
        <v>42487.524299999997</v>
      </c>
      <c r="J513" s="8">
        <v>42903.989484459402</v>
      </c>
      <c r="K513" s="8">
        <f>I513/1000000</f>
        <v>4.2487524299999996E-2</v>
      </c>
      <c r="L513" s="8">
        <f>J513/1000000</f>
        <v>4.29039894844594E-2</v>
      </c>
      <c r="M513" t="s">
        <v>19</v>
      </c>
    </row>
    <row r="514" spans="2:13" x14ac:dyDescent="0.25">
      <c r="B514" t="s">
        <v>13</v>
      </c>
      <c r="C514" t="s">
        <v>46</v>
      </c>
      <c r="D514" t="s">
        <v>52</v>
      </c>
      <c r="E514">
        <v>2027</v>
      </c>
      <c r="F514" t="s">
        <v>56</v>
      </c>
      <c r="G514" t="s">
        <v>17</v>
      </c>
      <c r="H514" t="s">
        <v>18</v>
      </c>
      <c r="I514" s="8">
        <v>612937.7953</v>
      </c>
      <c r="J514" s="8">
        <v>590498.90366652096</v>
      </c>
      <c r="K514" s="8">
        <f>I514/1000000</f>
        <v>0.61293779530000003</v>
      </c>
      <c r="L514" s="8">
        <f>J514/1000000</f>
        <v>0.59049890366652091</v>
      </c>
      <c r="M514" t="s">
        <v>19</v>
      </c>
    </row>
    <row r="515" spans="2:13" x14ac:dyDescent="0.25">
      <c r="B515" t="s">
        <v>13</v>
      </c>
      <c r="C515" t="s">
        <v>46</v>
      </c>
      <c r="D515" t="s">
        <v>52</v>
      </c>
      <c r="E515">
        <v>2028</v>
      </c>
      <c r="F515" t="s">
        <v>56</v>
      </c>
      <c r="G515" t="s">
        <v>17</v>
      </c>
      <c r="H515" t="s">
        <v>18</v>
      </c>
      <c r="I515" s="8">
        <v>462562.46019999997</v>
      </c>
      <c r="J515" s="8">
        <v>427506.938329075</v>
      </c>
      <c r="K515" s="8">
        <f>I515/1000000</f>
        <v>0.46256246019999997</v>
      </c>
      <c r="L515" s="8">
        <f>J515/1000000</f>
        <v>0.42750693832907499</v>
      </c>
      <c r="M515" t="s">
        <v>19</v>
      </c>
    </row>
    <row r="516" spans="2:13" x14ac:dyDescent="0.25">
      <c r="B516" t="s">
        <v>13</v>
      </c>
      <c r="C516" t="s">
        <v>46</v>
      </c>
      <c r="D516" t="s">
        <v>52</v>
      </c>
      <c r="E516">
        <v>2029</v>
      </c>
      <c r="F516" t="s">
        <v>56</v>
      </c>
      <c r="G516" t="s">
        <v>17</v>
      </c>
      <c r="H516" t="s">
        <v>18</v>
      </c>
      <c r="I516" s="8">
        <v>230165.372</v>
      </c>
      <c r="J516" s="8">
        <v>203066.20876081099</v>
      </c>
      <c r="K516" s="8">
        <f>I516/1000000</f>
        <v>0.23016537200000001</v>
      </c>
      <c r="L516" s="8">
        <f>J516/1000000</f>
        <v>0.203066208760811</v>
      </c>
      <c r="M516" t="s">
        <v>19</v>
      </c>
    </row>
    <row r="517" spans="2:13" x14ac:dyDescent="0.25">
      <c r="B517" t="s">
        <v>13</v>
      </c>
      <c r="C517" t="s">
        <v>46</v>
      </c>
      <c r="D517" t="s">
        <v>69</v>
      </c>
      <c r="E517">
        <v>2029</v>
      </c>
      <c r="F517" t="s">
        <v>56</v>
      </c>
      <c r="G517" t="s">
        <v>17</v>
      </c>
      <c r="H517" t="s">
        <v>18</v>
      </c>
      <c r="I517" s="8">
        <v>4262162.0037000002</v>
      </c>
      <c r="J517" s="8">
        <v>1865973.78414086</v>
      </c>
      <c r="K517" s="8">
        <f>I517/1000000</f>
        <v>4.2621620037000003</v>
      </c>
      <c r="L517" s="8">
        <f>J517/1000000</f>
        <v>1.8659737841408599</v>
      </c>
      <c r="M517" t="s">
        <v>19</v>
      </c>
    </row>
    <row r="518" spans="2:13" x14ac:dyDescent="0.25">
      <c r="B518" t="s">
        <v>13</v>
      </c>
      <c r="C518" t="s">
        <v>46</v>
      </c>
      <c r="D518" t="s">
        <v>73</v>
      </c>
      <c r="E518">
        <v>2026</v>
      </c>
      <c r="F518" t="s">
        <v>56</v>
      </c>
      <c r="G518" t="s">
        <v>17</v>
      </c>
      <c r="H518" t="s">
        <v>18</v>
      </c>
      <c r="I518" s="8">
        <v>1183551.1576</v>
      </c>
      <c r="J518" s="8">
        <v>1257751.8504792</v>
      </c>
      <c r="K518" s="8">
        <f>I518/1000000</f>
        <v>1.1835511576</v>
      </c>
      <c r="L518" s="8">
        <f>J518/1000000</f>
        <v>1.2577518504792</v>
      </c>
      <c r="M518" t="s">
        <v>19</v>
      </c>
    </row>
    <row r="519" spans="2:13" x14ac:dyDescent="0.25">
      <c r="B519" t="s">
        <v>13</v>
      </c>
      <c r="C519" t="s">
        <v>46</v>
      </c>
      <c r="D519" t="s">
        <v>73</v>
      </c>
      <c r="E519">
        <v>2027</v>
      </c>
      <c r="F519" t="s">
        <v>56</v>
      </c>
      <c r="G519" t="s">
        <v>17</v>
      </c>
      <c r="H519" t="s">
        <v>18</v>
      </c>
      <c r="I519" s="8">
        <v>902697.54539999994</v>
      </c>
      <c r="J519" s="8">
        <v>962305.3169955</v>
      </c>
      <c r="K519" s="8">
        <f>I519/1000000</f>
        <v>0.90269754539999991</v>
      </c>
      <c r="L519" s="8">
        <f>J519/1000000</f>
        <v>0.96230531699550004</v>
      </c>
      <c r="M519" t="s">
        <v>19</v>
      </c>
    </row>
    <row r="520" spans="2:13" x14ac:dyDescent="0.25">
      <c r="B520" t="s">
        <v>13</v>
      </c>
      <c r="C520" t="s">
        <v>46</v>
      </c>
      <c r="D520" t="s">
        <v>73</v>
      </c>
      <c r="E520">
        <v>2028</v>
      </c>
      <c r="F520" t="s">
        <v>56</v>
      </c>
      <c r="G520" t="s">
        <v>17</v>
      </c>
      <c r="H520" t="s">
        <v>18</v>
      </c>
      <c r="I520" s="8">
        <v>435630.79119999998</v>
      </c>
      <c r="J520" s="8">
        <v>433347.44275799999</v>
      </c>
      <c r="K520" s="8">
        <f>I520/1000000</f>
        <v>0.43563079119999998</v>
      </c>
      <c r="L520" s="8">
        <f>J520/1000000</f>
        <v>0.43334744275799997</v>
      </c>
      <c r="M520" t="s">
        <v>19</v>
      </c>
    </row>
    <row r="521" spans="2:13" x14ac:dyDescent="0.25">
      <c r="B521" t="s">
        <v>13</v>
      </c>
      <c r="C521" t="s">
        <v>46</v>
      </c>
      <c r="D521" t="s">
        <v>70</v>
      </c>
      <c r="E521">
        <v>2026</v>
      </c>
      <c r="F521" t="s">
        <v>56</v>
      </c>
      <c r="G521" t="s">
        <v>17</v>
      </c>
      <c r="H521" t="s">
        <v>18</v>
      </c>
      <c r="I521" s="8">
        <v>3627141.5066999998</v>
      </c>
      <c r="J521" s="8">
        <v>2101596.0183999999</v>
      </c>
      <c r="K521" s="8">
        <f>I521/1000000</f>
        <v>3.6271415066999997</v>
      </c>
      <c r="L521" s="8">
        <f>J521/1000000</f>
        <v>2.1015960184</v>
      </c>
      <c r="M521" t="s">
        <v>19</v>
      </c>
    </row>
    <row r="522" spans="2:13" x14ac:dyDescent="0.25">
      <c r="B522" t="s">
        <v>13</v>
      </c>
      <c r="C522" t="s">
        <v>46</v>
      </c>
      <c r="D522" t="s">
        <v>70</v>
      </c>
      <c r="E522">
        <v>2027</v>
      </c>
      <c r="F522" t="s">
        <v>56</v>
      </c>
      <c r="G522" t="s">
        <v>17</v>
      </c>
      <c r="H522" t="s">
        <v>18</v>
      </c>
      <c r="I522" s="8">
        <v>2429898.4706999999</v>
      </c>
      <c r="J522" s="8">
        <v>1739424.6316</v>
      </c>
      <c r="K522" s="8">
        <f>I522/1000000</f>
        <v>2.4298984707</v>
      </c>
      <c r="L522" s="8">
        <f>J522/1000000</f>
        <v>1.7394246315999999</v>
      </c>
      <c r="M522" t="s">
        <v>19</v>
      </c>
    </row>
    <row r="523" spans="2:13" x14ac:dyDescent="0.25">
      <c r="B523" t="s">
        <v>13</v>
      </c>
      <c r="C523" t="s">
        <v>46</v>
      </c>
      <c r="D523" t="s">
        <v>70</v>
      </c>
      <c r="E523">
        <v>2028</v>
      </c>
      <c r="F523" t="s">
        <v>56</v>
      </c>
      <c r="G523" t="s">
        <v>17</v>
      </c>
      <c r="H523" t="s">
        <v>18</v>
      </c>
      <c r="I523" s="8">
        <v>1648840.2505000001</v>
      </c>
      <c r="J523" s="8">
        <v>1167097.0824</v>
      </c>
      <c r="K523" s="8">
        <f>I523/1000000</f>
        <v>1.6488402505000002</v>
      </c>
      <c r="L523" s="8">
        <f>J523/1000000</f>
        <v>1.1670970824</v>
      </c>
      <c r="M523" t="s">
        <v>19</v>
      </c>
    </row>
    <row r="524" spans="2:13" x14ac:dyDescent="0.25">
      <c r="B524" t="s">
        <v>13</v>
      </c>
      <c r="C524" t="s">
        <v>46</v>
      </c>
      <c r="D524" t="s">
        <v>38</v>
      </c>
      <c r="E524">
        <v>2026</v>
      </c>
      <c r="F524" t="s">
        <v>56</v>
      </c>
      <c r="G524" t="s">
        <v>17</v>
      </c>
      <c r="H524" t="s">
        <v>18</v>
      </c>
      <c r="I524" s="8">
        <v>348112.39449999999</v>
      </c>
      <c r="J524" s="8">
        <v>415351.71337499999</v>
      </c>
      <c r="K524" s="8">
        <f>I524/1000000</f>
        <v>0.34811239449999998</v>
      </c>
      <c r="L524" s="8">
        <f>J524/1000000</f>
        <v>0.41535171337499999</v>
      </c>
      <c r="M524" t="s">
        <v>39</v>
      </c>
    </row>
    <row r="525" spans="2:13" x14ac:dyDescent="0.25">
      <c r="B525" t="s">
        <v>13</v>
      </c>
      <c r="C525" t="s">
        <v>46</v>
      </c>
      <c r="D525" t="s">
        <v>38</v>
      </c>
      <c r="E525">
        <v>2027</v>
      </c>
      <c r="F525" t="s">
        <v>56</v>
      </c>
      <c r="G525" t="s">
        <v>17</v>
      </c>
      <c r="H525" t="s">
        <v>18</v>
      </c>
      <c r="I525" s="8">
        <v>282485.03769999999</v>
      </c>
      <c r="J525" s="8">
        <v>322430.36547312501</v>
      </c>
      <c r="K525" s="8">
        <f>I525/1000000</f>
        <v>0.2824850377</v>
      </c>
      <c r="L525" s="8">
        <f>J525/1000000</f>
        <v>0.32243036547312504</v>
      </c>
      <c r="M525" t="s">
        <v>39</v>
      </c>
    </row>
    <row r="526" spans="2:13" x14ac:dyDescent="0.25">
      <c r="B526" t="s">
        <v>13</v>
      </c>
      <c r="C526" t="s">
        <v>46</v>
      </c>
      <c r="D526" t="s">
        <v>38</v>
      </c>
      <c r="E526">
        <v>2028</v>
      </c>
      <c r="F526" t="s">
        <v>56</v>
      </c>
      <c r="G526" t="s">
        <v>17</v>
      </c>
      <c r="H526" t="s">
        <v>18</v>
      </c>
      <c r="I526" s="8">
        <v>205901.5613</v>
      </c>
      <c r="J526" s="8">
        <v>217000.62</v>
      </c>
      <c r="K526" s="8">
        <f>I526/1000000</f>
        <v>0.20590156130000001</v>
      </c>
      <c r="L526" s="8">
        <f>J526/1000000</f>
        <v>0.21700062000000001</v>
      </c>
      <c r="M526" t="s">
        <v>39</v>
      </c>
    </row>
    <row r="527" spans="2:13" x14ac:dyDescent="0.25">
      <c r="B527" t="s">
        <v>13</v>
      </c>
      <c r="C527" t="s">
        <v>46</v>
      </c>
      <c r="D527" t="s">
        <v>38</v>
      </c>
      <c r="E527">
        <v>2029</v>
      </c>
      <c r="F527" t="s">
        <v>56</v>
      </c>
      <c r="G527" t="s">
        <v>17</v>
      </c>
      <c r="H527" t="s">
        <v>18</v>
      </c>
      <c r="I527" s="8">
        <v>118957.89260000001</v>
      </c>
      <c r="J527" s="8">
        <v>110161.2512</v>
      </c>
      <c r="K527" s="8">
        <f>I527/1000000</f>
        <v>0.1189578926</v>
      </c>
      <c r="L527" s="8">
        <f>J527/1000000</f>
        <v>0.1101612512</v>
      </c>
      <c r="M527" t="s">
        <v>39</v>
      </c>
    </row>
    <row r="528" spans="2:13" x14ac:dyDescent="0.25">
      <c r="B528" t="s">
        <v>13</v>
      </c>
      <c r="C528" t="s">
        <v>46</v>
      </c>
      <c r="D528" t="s">
        <v>15</v>
      </c>
      <c r="E528">
        <v>2026</v>
      </c>
      <c r="F528" t="s">
        <v>56</v>
      </c>
      <c r="G528" t="s">
        <v>17</v>
      </c>
      <c r="H528" t="s">
        <v>18</v>
      </c>
      <c r="I528" s="8">
        <v>829823.00989999995</v>
      </c>
      <c r="J528" s="8">
        <v>179546.4271957</v>
      </c>
      <c r="K528" s="8">
        <f>I528/1000000</f>
        <v>0.82982300989999991</v>
      </c>
      <c r="L528" s="8">
        <f>J528/1000000</f>
        <v>0.17954642719569999</v>
      </c>
      <c r="M528" t="s">
        <v>19</v>
      </c>
    </row>
    <row r="529" spans="2:13" x14ac:dyDescent="0.25">
      <c r="B529" t="s">
        <v>13</v>
      </c>
      <c r="C529" t="s">
        <v>46</v>
      </c>
      <c r="D529" t="s">
        <v>15</v>
      </c>
      <c r="E529">
        <v>2027</v>
      </c>
      <c r="F529" t="s">
        <v>56</v>
      </c>
      <c r="G529" t="s">
        <v>17</v>
      </c>
      <c r="H529" t="s">
        <v>18</v>
      </c>
      <c r="I529" s="8">
        <v>561863.70330000005</v>
      </c>
      <c r="J529" s="8">
        <v>121568.839734497</v>
      </c>
      <c r="K529" s="8">
        <f>I529/1000000</f>
        <v>0.56186370330000002</v>
      </c>
      <c r="L529" s="8">
        <f>J529/1000000</f>
        <v>0.121568839734497</v>
      </c>
      <c r="M529" t="s">
        <v>19</v>
      </c>
    </row>
    <row r="530" spans="2:13" x14ac:dyDescent="0.25">
      <c r="B530" t="s">
        <v>13</v>
      </c>
      <c r="C530" t="s">
        <v>46</v>
      </c>
      <c r="D530" t="s">
        <v>15</v>
      </c>
      <c r="E530">
        <v>2029</v>
      </c>
      <c r="F530" t="s">
        <v>56</v>
      </c>
      <c r="G530" t="s">
        <v>17</v>
      </c>
      <c r="H530" t="s">
        <v>18</v>
      </c>
      <c r="I530" s="8">
        <v>80661.192599999995</v>
      </c>
      <c r="J530" s="8">
        <v>26837.700871875</v>
      </c>
      <c r="K530" s="8">
        <f>I530/1000000</f>
        <v>8.0661192600000001E-2</v>
      </c>
      <c r="L530" s="8">
        <f>J530/1000000</f>
        <v>2.6837700871875002E-2</v>
      </c>
      <c r="M530" t="s">
        <v>19</v>
      </c>
    </row>
    <row r="531" spans="2:13" x14ac:dyDescent="0.25">
      <c r="B531" t="s">
        <v>13</v>
      </c>
      <c r="C531" t="s">
        <v>46</v>
      </c>
      <c r="D531" t="s">
        <v>100</v>
      </c>
      <c r="E531">
        <v>2029</v>
      </c>
      <c r="F531" t="s">
        <v>56</v>
      </c>
      <c r="G531" t="s">
        <v>17</v>
      </c>
      <c r="H531" t="s">
        <v>18</v>
      </c>
      <c r="I531" s="8">
        <v>428448.02179999999</v>
      </c>
      <c r="J531" s="8">
        <v>188860.985281031</v>
      </c>
      <c r="K531" s="8">
        <f>I531/1000000</f>
        <v>0.42844802179999997</v>
      </c>
      <c r="L531" s="8">
        <f>J531/1000000</f>
        <v>0.18886098528103099</v>
      </c>
      <c r="M531" t="s">
        <v>19</v>
      </c>
    </row>
    <row r="532" spans="2:13" x14ac:dyDescent="0.25">
      <c r="B532" t="s">
        <v>13</v>
      </c>
      <c r="C532" t="s">
        <v>46</v>
      </c>
      <c r="D532" t="s">
        <v>100</v>
      </c>
      <c r="E532">
        <v>2026</v>
      </c>
      <c r="F532" t="s">
        <v>56</v>
      </c>
      <c r="G532" t="s">
        <v>17</v>
      </c>
      <c r="H532" t="s">
        <v>18</v>
      </c>
      <c r="I532" s="8">
        <v>1521505.8774999999</v>
      </c>
      <c r="J532" s="8">
        <v>714601.75349471997</v>
      </c>
      <c r="K532" s="8">
        <f>I532/1000000</f>
        <v>1.5215058774999999</v>
      </c>
      <c r="L532" s="8">
        <f>J532/1000000</f>
        <v>0.71460175349471999</v>
      </c>
      <c r="M532" t="s">
        <v>19</v>
      </c>
    </row>
    <row r="533" spans="2:13" x14ac:dyDescent="0.25">
      <c r="B533" t="s">
        <v>13</v>
      </c>
      <c r="C533" t="s">
        <v>46</v>
      </c>
      <c r="D533" t="s">
        <v>100</v>
      </c>
      <c r="E533">
        <v>2027</v>
      </c>
      <c r="F533" t="s">
        <v>56</v>
      </c>
      <c r="G533" t="s">
        <v>17</v>
      </c>
      <c r="H533" t="s">
        <v>18</v>
      </c>
      <c r="I533" s="8">
        <v>1175465.1307000001</v>
      </c>
      <c r="J533" s="8">
        <v>546940.08679648</v>
      </c>
      <c r="K533" s="8">
        <f>I533/1000000</f>
        <v>1.1754651307000001</v>
      </c>
      <c r="L533" s="8">
        <f>J533/1000000</f>
        <v>0.54694008679647999</v>
      </c>
      <c r="M533" t="s">
        <v>19</v>
      </c>
    </row>
    <row r="534" spans="2:13" x14ac:dyDescent="0.25">
      <c r="B534" t="s">
        <v>13</v>
      </c>
      <c r="C534" t="s">
        <v>46</v>
      </c>
      <c r="D534" t="s">
        <v>100</v>
      </c>
      <c r="E534">
        <v>2028</v>
      </c>
      <c r="F534" t="s">
        <v>56</v>
      </c>
      <c r="G534" t="s">
        <v>17</v>
      </c>
      <c r="H534" t="s">
        <v>18</v>
      </c>
      <c r="I534" s="8">
        <v>788828.25490000006</v>
      </c>
      <c r="J534" s="8">
        <v>370587.33339263999</v>
      </c>
      <c r="K534" s="8">
        <f>I534/1000000</f>
        <v>0.78882825490000008</v>
      </c>
      <c r="L534" s="8">
        <f>J534/1000000</f>
        <v>0.37058733339263999</v>
      </c>
      <c r="M534" t="s">
        <v>19</v>
      </c>
    </row>
    <row r="535" spans="2:13" x14ac:dyDescent="0.25">
      <c r="B535" t="s">
        <v>13</v>
      </c>
      <c r="C535" t="s">
        <v>46</v>
      </c>
      <c r="D535" t="s">
        <v>72</v>
      </c>
      <c r="E535">
        <v>2026</v>
      </c>
      <c r="F535" t="s">
        <v>56</v>
      </c>
      <c r="G535" t="s">
        <v>17</v>
      </c>
      <c r="H535" t="s">
        <v>18</v>
      </c>
      <c r="I535" s="8">
        <v>3663242.7132000001</v>
      </c>
      <c r="J535" s="8">
        <v>1284745.0524325101</v>
      </c>
      <c r="K535" s="8">
        <f>I535/1000000</f>
        <v>3.6632427132000003</v>
      </c>
      <c r="L535" s="8">
        <f>J535/1000000</f>
        <v>1.2847450524325101</v>
      </c>
      <c r="M535" t="s">
        <v>19</v>
      </c>
    </row>
    <row r="536" spans="2:13" x14ac:dyDescent="0.25">
      <c r="B536" t="s">
        <v>13</v>
      </c>
      <c r="C536" t="s">
        <v>46</v>
      </c>
      <c r="D536" t="s">
        <v>72</v>
      </c>
      <c r="E536">
        <v>2029</v>
      </c>
      <c r="F536" t="s">
        <v>56</v>
      </c>
      <c r="G536" t="s">
        <v>17</v>
      </c>
      <c r="H536" t="s">
        <v>18</v>
      </c>
      <c r="I536" s="8">
        <v>652826.14509999997</v>
      </c>
      <c r="J536" s="8">
        <v>312638.89067223499</v>
      </c>
      <c r="K536" s="8">
        <f>I536/1000000</f>
        <v>0.65282614509999992</v>
      </c>
      <c r="L536" s="8">
        <f>J536/1000000</f>
        <v>0.31263889067223499</v>
      </c>
      <c r="M536" t="s">
        <v>19</v>
      </c>
    </row>
    <row r="537" spans="2:13" x14ac:dyDescent="0.25">
      <c r="B537" t="s">
        <v>13</v>
      </c>
      <c r="C537" t="s">
        <v>46</v>
      </c>
      <c r="D537" t="s">
        <v>72</v>
      </c>
      <c r="E537">
        <v>2027</v>
      </c>
      <c r="F537" t="s">
        <v>56</v>
      </c>
      <c r="G537" t="s">
        <v>17</v>
      </c>
      <c r="H537" t="s">
        <v>18</v>
      </c>
      <c r="I537" s="8">
        <v>2231647.7223</v>
      </c>
      <c r="J537" s="8">
        <v>910379.34878087998</v>
      </c>
      <c r="K537" s="8">
        <f>I537/1000000</f>
        <v>2.2316477223</v>
      </c>
      <c r="L537" s="8">
        <f>J537/1000000</f>
        <v>0.91037934878088</v>
      </c>
      <c r="M537" t="s">
        <v>19</v>
      </c>
    </row>
    <row r="538" spans="2:13" x14ac:dyDescent="0.25">
      <c r="B538" t="s">
        <v>13</v>
      </c>
      <c r="C538" t="s">
        <v>46</v>
      </c>
      <c r="D538" t="s">
        <v>72</v>
      </c>
      <c r="E538">
        <v>2028</v>
      </c>
      <c r="F538" t="s">
        <v>56</v>
      </c>
      <c r="G538" t="s">
        <v>17</v>
      </c>
      <c r="H538" t="s">
        <v>18</v>
      </c>
      <c r="I538" s="8">
        <v>1496816.8714999999</v>
      </c>
      <c r="J538" s="8">
        <v>613923.66744192003</v>
      </c>
      <c r="K538" s="8">
        <f>I538/1000000</f>
        <v>1.4968168714999999</v>
      </c>
      <c r="L538" s="8">
        <f>J538/1000000</f>
        <v>0.61392366744192006</v>
      </c>
      <c r="M538" t="s">
        <v>19</v>
      </c>
    </row>
    <row r="539" spans="2:13" x14ac:dyDescent="0.25">
      <c r="B539" t="s">
        <v>13</v>
      </c>
      <c r="C539" t="s">
        <v>46</v>
      </c>
      <c r="D539" t="s">
        <v>76</v>
      </c>
      <c r="E539">
        <v>2027</v>
      </c>
      <c r="F539" t="s">
        <v>56</v>
      </c>
      <c r="G539" t="s">
        <v>17</v>
      </c>
      <c r="H539" t="s">
        <v>18</v>
      </c>
      <c r="I539" s="8">
        <v>3613395.9024999999</v>
      </c>
      <c r="J539" s="8">
        <v>1117365.1719605799</v>
      </c>
      <c r="K539" s="8">
        <f>I539/1000000</f>
        <v>3.6133959024999998</v>
      </c>
      <c r="L539" s="8">
        <f>J539/1000000</f>
        <v>1.1173651719605799</v>
      </c>
      <c r="M539" t="s">
        <v>39</v>
      </c>
    </row>
    <row r="540" spans="2:13" x14ac:dyDescent="0.25">
      <c r="B540" t="s">
        <v>13</v>
      </c>
      <c r="C540" t="s">
        <v>46</v>
      </c>
      <c r="D540" t="s">
        <v>76</v>
      </c>
      <c r="E540">
        <v>2028</v>
      </c>
      <c r="F540" t="s">
        <v>56</v>
      </c>
      <c r="G540" t="s">
        <v>17</v>
      </c>
      <c r="H540" t="s">
        <v>18</v>
      </c>
      <c r="I540" s="8">
        <v>2283464.1543000001</v>
      </c>
      <c r="J540" s="8">
        <v>716043.03675669897</v>
      </c>
      <c r="K540" s="8">
        <f>I540/1000000</f>
        <v>2.2834641543000003</v>
      </c>
      <c r="L540" s="8">
        <f>J540/1000000</f>
        <v>0.716043036756699</v>
      </c>
      <c r="M540" t="s">
        <v>39</v>
      </c>
    </row>
    <row r="541" spans="2:13" x14ac:dyDescent="0.25">
      <c r="B541" t="s">
        <v>13</v>
      </c>
      <c r="C541" t="s">
        <v>46</v>
      </c>
      <c r="D541" t="s">
        <v>76</v>
      </c>
      <c r="E541">
        <v>2029</v>
      </c>
      <c r="F541" t="s">
        <v>56</v>
      </c>
      <c r="G541" t="s">
        <v>17</v>
      </c>
      <c r="H541" t="s">
        <v>18</v>
      </c>
      <c r="I541" s="8">
        <v>1090759.5209999999</v>
      </c>
      <c r="J541" s="8">
        <v>342037.67040554702</v>
      </c>
      <c r="K541" s="8">
        <f>I541/1000000</f>
        <v>1.0907595209999998</v>
      </c>
      <c r="L541" s="8">
        <f>J541/1000000</f>
        <v>0.342037670405547</v>
      </c>
      <c r="M541" t="s">
        <v>39</v>
      </c>
    </row>
    <row r="542" spans="2:13" x14ac:dyDescent="0.25">
      <c r="B542" t="s">
        <v>13</v>
      </c>
      <c r="C542" t="s">
        <v>46</v>
      </c>
      <c r="D542" t="s">
        <v>76</v>
      </c>
      <c r="E542">
        <v>2026</v>
      </c>
      <c r="F542" t="s">
        <v>56</v>
      </c>
      <c r="G542" t="s">
        <v>17</v>
      </c>
      <c r="H542" t="s">
        <v>18</v>
      </c>
      <c r="I542" s="8">
        <v>6947986.0185000002</v>
      </c>
      <c r="J542" s="8">
        <v>1653100</v>
      </c>
      <c r="K542" s="8">
        <f>I542/1000000</f>
        <v>6.9479860185</v>
      </c>
      <c r="L542" s="8">
        <f>J542/1000000</f>
        <v>1.6531</v>
      </c>
      <c r="M542" t="s">
        <v>39</v>
      </c>
    </row>
    <row r="543" spans="2:13" x14ac:dyDescent="0.25">
      <c r="B543" t="s">
        <v>13</v>
      </c>
      <c r="C543" t="s">
        <v>46</v>
      </c>
      <c r="D543" t="s">
        <v>103</v>
      </c>
      <c r="E543">
        <v>2029</v>
      </c>
      <c r="F543" t="s">
        <v>56</v>
      </c>
      <c r="G543" t="s">
        <v>17</v>
      </c>
      <c r="H543" t="s">
        <v>18</v>
      </c>
      <c r="I543" s="8">
        <v>24843.765299999999</v>
      </c>
      <c r="J543" s="8">
        <v>2421.2766375000001</v>
      </c>
      <c r="K543" s="8">
        <f>I543/1000000</f>
        <v>2.4843765300000001E-2</v>
      </c>
      <c r="L543" s="8">
        <f>J543/1000000</f>
        <v>2.4212766375000003E-3</v>
      </c>
      <c r="M543" t="s">
        <v>39</v>
      </c>
    </row>
    <row r="544" spans="2:13" x14ac:dyDescent="0.25">
      <c r="B544" t="s">
        <v>13</v>
      </c>
      <c r="C544" t="s">
        <v>46</v>
      </c>
      <c r="D544" t="s">
        <v>69</v>
      </c>
      <c r="E544">
        <v>2028</v>
      </c>
      <c r="F544" t="s">
        <v>56</v>
      </c>
      <c r="G544" t="s">
        <v>17</v>
      </c>
      <c r="H544" t="s">
        <v>18</v>
      </c>
      <c r="I544" s="8">
        <v>1311419.6495999999</v>
      </c>
      <c r="J544" s="8">
        <v>500694.41366876301</v>
      </c>
      <c r="K544" s="8">
        <f>I544/1000000</f>
        <v>1.3114196495999999</v>
      </c>
      <c r="L544" s="8">
        <f>J544/1000000</f>
        <v>0.50069441366876299</v>
      </c>
      <c r="M544" t="s">
        <v>19</v>
      </c>
    </row>
    <row r="545" spans="2:13" x14ac:dyDescent="0.25">
      <c r="B545" t="s">
        <v>13</v>
      </c>
      <c r="C545" t="s">
        <v>46</v>
      </c>
      <c r="D545" t="s">
        <v>15</v>
      </c>
      <c r="E545">
        <v>2028</v>
      </c>
      <c r="F545" t="s">
        <v>56</v>
      </c>
      <c r="G545" t="s">
        <v>17</v>
      </c>
      <c r="H545" t="s">
        <v>18</v>
      </c>
      <c r="I545" s="8">
        <v>246779.6342</v>
      </c>
      <c r="J545" s="8">
        <v>82152.004344325207</v>
      </c>
      <c r="K545" s="8">
        <f>I545/1000000</f>
        <v>0.24677963420000001</v>
      </c>
      <c r="L545" s="8">
        <f>J545/1000000</f>
        <v>8.2152004344325208E-2</v>
      </c>
      <c r="M545" t="s">
        <v>19</v>
      </c>
    </row>
    <row r="546" spans="2:13" x14ac:dyDescent="0.25">
      <c r="B546" t="s">
        <v>13</v>
      </c>
      <c r="C546" t="s">
        <v>46</v>
      </c>
      <c r="D546" t="s">
        <v>103</v>
      </c>
      <c r="E546">
        <v>2028</v>
      </c>
      <c r="F546" t="s">
        <v>56</v>
      </c>
      <c r="G546" t="s">
        <v>17</v>
      </c>
      <c r="H546" t="s">
        <v>18</v>
      </c>
      <c r="I546" s="8">
        <v>32282.0965</v>
      </c>
      <c r="J546" s="8">
        <v>3146.2173750000002</v>
      </c>
      <c r="K546" s="8">
        <f>I546/1000000</f>
        <v>3.2282096500000003E-2</v>
      </c>
      <c r="L546" s="8">
        <f>J546/1000000</f>
        <v>3.146217375E-3</v>
      </c>
      <c r="M546" t="s">
        <v>39</v>
      </c>
    </row>
    <row r="547" spans="2:13" x14ac:dyDescent="0.25">
      <c r="B547" t="s">
        <v>13</v>
      </c>
      <c r="C547" t="s">
        <v>14</v>
      </c>
      <c r="D547" t="s">
        <v>74</v>
      </c>
      <c r="E547">
        <v>2028</v>
      </c>
      <c r="F547" t="s">
        <v>56</v>
      </c>
      <c r="G547" t="s">
        <v>17</v>
      </c>
      <c r="H547" t="s">
        <v>18</v>
      </c>
      <c r="I547" s="8">
        <v>4436403.3119000001</v>
      </c>
      <c r="J547" s="8">
        <v>2602490.2990126102</v>
      </c>
      <c r="K547" s="8">
        <f>I547/1000000</f>
        <v>4.4364033119000004</v>
      </c>
      <c r="L547" s="8">
        <f>J547/1000000</f>
        <v>2.6024902990126102</v>
      </c>
      <c r="M547" t="s">
        <v>39</v>
      </c>
    </row>
    <row r="548" spans="2:13" x14ac:dyDescent="0.25">
      <c r="B548" t="s">
        <v>13</v>
      </c>
      <c r="C548" t="s">
        <v>14</v>
      </c>
      <c r="D548" t="s">
        <v>52</v>
      </c>
      <c r="E548">
        <v>2027</v>
      </c>
      <c r="F548" t="s">
        <v>56</v>
      </c>
      <c r="G548" t="s">
        <v>17</v>
      </c>
      <c r="H548" t="s">
        <v>18</v>
      </c>
      <c r="I548" s="8">
        <v>5591081.3683000002</v>
      </c>
      <c r="J548" s="8">
        <v>5284155.9914240604</v>
      </c>
      <c r="K548" s="8">
        <f>I548/1000000</f>
        <v>5.5910813683000002</v>
      </c>
      <c r="L548" s="8">
        <f>J548/1000000</f>
        <v>5.2841559914240603</v>
      </c>
      <c r="M548" t="s">
        <v>19</v>
      </c>
    </row>
    <row r="549" spans="2:13" x14ac:dyDescent="0.25">
      <c r="B549" t="s">
        <v>13</v>
      </c>
      <c r="C549" t="s">
        <v>46</v>
      </c>
      <c r="D549" t="s">
        <v>52</v>
      </c>
      <c r="E549">
        <v>2029</v>
      </c>
      <c r="F549" t="s">
        <v>67</v>
      </c>
      <c r="G549" t="s">
        <v>17</v>
      </c>
      <c r="H549" t="s">
        <v>18</v>
      </c>
      <c r="I549" s="8">
        <v>31938.302800000001</v>
      </c>
      <c r="J549" s="8">
        <v>25524.475970015199</v>
      </c>
      <c r="K549" s="8">
        <f>I549/1000000</f>
        <v>3.1938302799999999E-2</v>
      </c>
      <c r="L549" s="8">
        <f>J549/1000000</f>
        <v>2.5524475970015198E-2</v>
      </c>
      <c r="M549" t="s">
        <v>19</v>
      </c>
    </row>
    <row r="550" spans="2:13" x14ac:dyDescent="0.25">
      <c r="B550" t="s">
        <v>13</v>
      </c>
      <c r="C550" t="s">
        <v>46</v>
      </c>
      <c r="D550" t="s">
        <v>52</v>
      </c>
      <c r="E550">
        <v>2028</v>
      </c>
      <c r="F550" t="s">
        <v>67</v>
      </c>
      <c r="G550" t="s">
        <v>17</v>
      </c>
      <c r="H550" t="s">
        <v>18</v>
      </c>
      <c r="I550" s="8">
        <v>36050.024400000002</v>
      </c>
      <c r="J550" s="8">
        <v>29206.894808670098</v>
      </c>
      <c r="K550" s="8">
        <f>I550/1000000</f>
        <v>3.6050024400000005E-2</v>
      </c>
      <c r="L550" s="8">
        <f>J550/1000000</f>
        <v>2.9206894808670097E-2</v>
      </c>
      <c r="M550" t="s">
        <v>19</v>
      </c>
    </row>
    <row r="551" spans="2:13" x14ac:dyDescent="0.25">
      <c r="B551" t="s">
        <v>13</v>
      </c>
      <c r="C551" t="s">
        <v>46</v>
      </c>
      <c r="D551" t="s">
        <v>73</v>
      </c>
      <c r="E551">
        <v>2026</v>
      </c>
      <c r="F551" t="s">
        <v>67</v>
      </c>
      <c r="G551" t="s">
        <v>17</v>
      </c>
      <c r="H551" t="s">
        <v>18</v>
      </c>
      <c r="I551" s="8">
        <v>23991.933499999999</v>
      </c>
      <c r="J551" s="8">
        <v>25500</v>
      </c>
      <c r="K551" s="8">
        <f>I551/1000000</f>
        <v>2.39919335E-2</v>
      </c>
      <c r="L551" s="8">
        <f>J551/1000000</f>
        <v>2.5499999999999998E-2</v>
      </c>
      <c r="M551" t="s">
        <v>19</v>
      </c>
    </row>
    <row r="552" spans="2:13" x14ac:dyDescent="0.25">
      <c r="B552" t="s">
        <v>13</v>
      </c>
      <c r="C552" t="s">
        <v>46</v>
      </c>
      <c r="D552" t="s">
        <v>73</v>
      </c>
      <c r="E552">
        <v>2027</v>
      </c>
      <c r="F552" t="s">
        <v>67</v>
      </c>
      <c r="G552" t="s">
        <v>17</v>
      </c>
      <c r="H552" t="s">
        <v>18</v>
      </c>
      <c r="I552" s="8">
        <v>16144.911400000001</v>
      </c>
      <c r="J552" s="8">
        <v>17211.088343135201</v>
      </c>
      <c r="K552" s="8">
        <f>I552/1000000</f>
        <v>1.61449114E-2</v>
      </c>
      <c r="L552" s="8">
        <f>J552/1000000</f>
        <v>1.72110883431352E-2</v>
      </c>
      <c r="M552" t="s">
        <v>19</v>
      </c>
    </row>
    <row r="553" spans="2:13" x14ac:dyDescent="0.25">
      <c r="B553" t="s">
        <v>13</v>
      </c>
      <c r="C553" t="s">
        <v>46</v>
      </c>
      <c r="D553" t="s">
        <v>73</v>
      </c>
      <c r="E553">
        <v>2028</v>
      </c>
      <c r="F553" t="s">
        <v>67</v>
      </c>
      <c r="G553" t="s">
        <v>17</v>
      </c>
      <c r="H553" t="s">
        <v>18</v>
      </c>
      <c r="I553" s="8">
        <v>11654.3631</v>
      </c>
      <c r="J553" s="8">
        <v>11593.277074342601</v>
      </c>
      <c r="K553" s="8">
        <f>I553/1000000</f>
        <v>1.1654363100000001E-2</v>
      </c>
      <c r="L553" s="8">
        <f>J553/1000000</f>
        <v>1.1593277074342601E-2</v>
      </c>
      <c r="M553" t="s">
        <v>19</v>
      </c>
    </row>
    <row r="554" spans="2:13" x14ac:dyDescent="0.25">
      <c r="B554" t="s">
        <v>13</v>
      </c>
      <c r="C554" t="s">
        <v>46</v>
      </c>
      <c r="D554" t="s">
        <v>73</v>
      </c>
      <c r="E554">
        <v>2029</v>
      </c>
      <c r="F554" t="s">
        <v>67</v>
      </c>
      <c r="G554" t="s">
        <v>17</v>
      </c>
      <c r="H554" t="s">
        <v>18</v>
      </c>
      <c r="I554" s="8">
        <v>5894.9519</v>
      </c>
      <c r="J554" s="8">
        <v>5864.0536974460001</v>
      </c>
      <c r="K554" s="8">
        <f>I554/1000000</f>
        <v>5.8949518999999997E-3</v>
      </c>
      <c r="L554" s="8">
        <f>J554/1000000</f>
        <v>5.8640536974460004E-3</v>
      </c>
      <c r="M554" t="s">
        <v>19</v>
      </c>
    </row>
    <row r="555" spans="2:13" x14ac:dyDescent="0.25">
      <c r="B555" t="s">
        <v>13</v>
      </c>
      <c r="C555" t="s">
        <v>46</v>
      </c>
      <c r="D555" t="s">
        <v>70</v>
      </c>
      <c r="E555">
        <v>2026</v>
      </c>
      <c r="F555" t="s">
        <v>67</v>
      </c>
      <c r="G555" t="s">
        <v>17</v>
      </c>
      <c r="H555" t="s">
        <v>18</v>
      </c>
      <c r="I555" s="8">
        <v>65238.964999999997</v>
      </c>
      <c r="J555" s="8">
        <v>37800</v>
      </c>
      <c r="K555" s="8">
        <f>I555/1000000</f>
        <v>6.5238964999999996E-2</v>
      </c>
      <c r="L555" s="8">
        <f>J555/1000000</f>
        <v>3.78E-2</v>
      </c>
      <c r="M555" t="s">
        <v>19</v>
      </c>
    </row>
    <row r="556" spans="2:13" x14ac:dyDescent="0.25">
      <c r="B556" t="s">
        <v>13</v>
      </c>
      <c r="C556" t="s">
        <v>46</v>
      </c>
      <c r="D556" t="s">
        <v>70</v>
      </c>
      <c r="E556">
        <v>2027</v>
      </c>
      <c r="F556" t="s">
        <v>67</v>
      </c>
      <c r="G556" t="s">
        <v>17</v>
      </c>
      <c r="H556" t="s">
        <v>18</v>
      </c>
      <c r="I556" s="8">
        <v>51888.662300000004</v>
      </c>
      <c r="J556" s="8">
        <v>37144.110540090798</v>
      </c>
      <c r="K556" s="8">
        <f>I556/1000000</f>
        <v>5.1888662300000006E-2</v>
      </c>
      <c r="L556" s="8">
        <f>J556/1000000</f>
        <v>3.7144110540090799E-2</v>
      </c>
      <c r="M556" t="s">
        <v>19</v>
      </c>
    </row>
    <row r="557" spans="2:13" x14ac:dyDescent="0.25">
      <c r="B557" t="s">
        <v>13</v>
      </c>
      <c r="C557" t="s">
        <v>46</v>
      </c>
      <c r="D557" t="s">
        <v>70</v>
      </c>
      <c r="E557">
        <v>2028</v>
      </c>
      <c r="F557" t="s">
        <v>67</v>
      </c>
      <c r="G557" t="s">
        <v>17</v>
      </c>
      <c r="H557" t="s">
        <v>18</v>
      </c>
      <c r="I557" s="8">
        <v>53021.964</v>
      </c>
      <c r="J557" s="8">
        <v>37530.488183950001</v>
      </c>
      <c r="K557" s="8">
        <f>I557/1000000</f>
        <v>5.3021963999999998E-2</v>
      </c>
      <c r="L557" s="8">
        <f>J557/1000000</f>
        <v>3.7530488183950002E-2</v>
      </c>
      <c r="M557" t="s">
        <v>19</v>
      </c>
    </row>
    <row r="558" spans="2:13" x14ac:dyDescent="0.25">
      <c r="B558" t="s">
        <v>13</v>
      </c>
      <c r="C558" t="s">
        <v>46</v>
      </c>
      <c r="D558" t="s">
        <v>70</v>
      </c>
      <c r="E558">
        <v>2029</v>
      </c>
      <c r="F558" t="s">
        <v>67</v>
      </c>
      <c r="G558" t="s">
        <v>17</v>
      </c>
      <c r="H558" t="s">
        <v>18</v>
      </c>
      <c r="I558" s="8">
        <v>60371.466699999997</v>
      </c>
      <c r="J558" s="8">
        <v>37967.409624213498</v>
      </c>
      <c r="K558" s="8">
        <f>I558/1000000</f>
        <v>6.0371466699999994E-2</v>
      </c>
      <c r="L558" s="8">
        <f>J558/1000000</f>
        <v>3.7967409624213501E-2</v>
      </c>
      <c r="M558" t="s">
        <v>19</v>
      </c>
    </row>
    <row r="559" spans="2:13" x14ac:dyDescent="0.25">
      <c r="B559" t="s">
        <v>13</v>
      </c>
      <c r="C559" t="s">
        <v>46</v>
      </c>
      <c r="D559" t="s">
        <v>70</v>
      </c>
      <c r="E559">
        <v>2030</v>
      </c>
      <c r="F559" t="s">
        <v>67</v>
      </c>
      <c r="G559" t="s">
        <v>17</v>
      </c>
      <c r="H559" t="s">
        <v>18</v>
      </c>
      <c r="I559" s="8">
        <v>49247.803999999996</v>
      </c>
      <c r="J559" s="8">
        <v>30944.502020271499</v>
      </c>
      <c r="K559" s="8">
        <f>I559/1000000</f>
        <v>4.9247803999999999E-2</v>
      </c>
      <c r="L559" s="8">
        <f>J559/1000000</f>
        <v>3.0944502020271498E-2</v>
      </c>
      <c r="M559" t="s">
        <v>19</v>
      </c>
    </row>
    <row r="560" spans="2:13" x14ac:dyDescent="0.25">
      <c r="B560" t="s">
        <v>13</v>
      </c>
      <c r="C560" t="s">
        <v>46</v>
      </c>
      <c r="D560" t="s">
        <v>15</v>
      </c>
      <c r="E560">
        <v>2026</v>
      </c>
      <c r="F560" t="s">
        <v>67</v>
      </c>
      <c r="G560" t="s">
        <v>17</v>
      </c>
      <c r="H560" t="s">
        <v>18</v>
      </c>
      <c r="I560" s="8">
        <v>32128.8505</v>
      </c>
      <c r="J560" s="8">
        <v>6950</v>
      </c>
      <c r="K560" s="8">
        <f>I560/1000000</f>
        <v>3.21288505E-2</v>
      </c>
      <c r="L560" s="8">
        <f>J560/1000000</f>
        <v>6.9499999999999996E-3</v>
      </c>
      <c r="M560" t="s">
        <v>19</v>
      </c>
    </row>
    <row r="561" spans="2:13" x14ac:dyDescent="0.25">
      <c r="B561" t="s">
        <v>13</v>
      </c>
      <c r="C561" t="s">
        <v>46</v>
      </c>
      <c r="D561" t="s">
        <v>15</v>
      </c>
      <c r="E561">
        <v>2027</v>
      </c>
      <c r="F561" t="s">
        <v>67</v>
      </c>
      <c r="G561" t="s">
        <v>17</v>
      </c>
      <c r="H561" t="s">
        <v>18</v>
      </c>
      <c r="I561" s="8">
        <v>-2070.4297000000001</v>
      </c>
      <c r="J561" s="8">
        <v>5060.8486378947</v>
      </c>
      <c r="K561" s="8">
        <f>I561/1000000</f>
        <v>-2.0704297000000002E-3</v>
      </c>
      <c r="L561" s="8">
        <f>J561/1000000</f>
        <v>5.0608486378947003E-3</v>
      </c>
      <c r="M561" t="s">
        <v>19</v>
      </c>
    </row>
    <row r="562" spans="2:13" x14ac:dyDescent="0.25">
      <c r="B562" t="s">
        <v>13</v>
      </c>
      <c r="C562" t="s">
        <v>46</v>
      </c>
      <c r="D562" t="s">
        <v>15</v>
      </c>
      <c r="E562">
        <v>2029</v>
      </c>
      <c r="F562" t="s">
        <v>67</v>
      </c>
      <c r="G562" t="s">
        <v>17</v>
      </c>
      <c r="H562" t="s">
        <v>18</v>
      </c>
      <c r="I562" s="8">
        <v>10039.6019</v>
      </c>
      <c r="J562" s="8">
        <v>3340.9748547367999</v>
      </c>
      <c r="K562" s="8">
        <f>I562/1000000</f>
        <v>1.00396019E-2</v>
      </c>
      <c r="L562" s="8">
        <f>J562/1000000</f>
        <v>3.3409748547368E-3</v>
      </c>
      <c r="M562" t="s">
        <v>19</v>
      </c>
    </row>
    <row r="563" spans="2:13" x14ac:dyDescent="0.25">
      <c r="B563" t="s">
        <v>13</v>
      </c>
      <c r="C563" t="s">
        <v>46</v>
      </c>
      <c r="D563" t="s">
        <v>100</v>
      </c>
      <c r="E563">
        <v>2029</v>
      </c>
      <c r="F563" t="s">
        <v>67</v>
      </c>
      <c r="G563" t="s">
        <v>17</v>
      </c>
      <c r="H563" t="s">
        <v>18</v>
      </c>
      <c r="I563" s="8">
        <v>6728.3913000000002</v>
      </c>
      <c r="J563" s="8">
        <v>2965.8921128196998</v>
      </c>
      <c r="K563" s="8">
        <f>I563/1000000</f>
        <v>6.7283912999999999E-3</v>
      </c>
      <c r="L563" s="8">
        <f>J563/1000000</f>
        <v>2.9658921128196997E-3</v>
      </c>
      <c r="M563" t="s">
        <v>19</v>
      </c>
    </row>
    <row r="564" spans="2:13" x14ac:dyDescent="0.25">
      <c r="B564" t="s">
        <v>13</v>
      </c>
      <c r="C564" t="s">
        <v>46</v>
      </c>
      <c r="D564" t="s">
        <v>100</v>
      </c>
      <c r="E564">
        <v>2026</v>
      </c>
      <c r="F564" t="s">
        <v>67</v>
      </c>
      <c r="G564" t="s">
        <v>17</v>
      </c>
      <c r="H564" t="s">
        <v>18</v>
      </c>
      <c r="I564" s="8">
        <v>27040.410400000001</v>
      </c>
      <c r="J564" s="8">
        <v>12700</v>
      </c>
      <c r="K564" s="8">
        <f>I564/1000000</f>
        <v>2.7040410399999999E-2</v>
      </c>
      <c r="L564" s="8">
        <f>J564/1000000</f>
        <v>1.2699999999999999E-2</v>
      </c>
      <c r="M564" t="s">
        <v>19</v>
      </c>
    </row>
    <row r="565" spans="2:13" x14ac:dyDescent="0.25">
      <c r="B565" t="s">
        <v>13</v>
      </c>
      <c r="C565" t="s">
        <v>46</v>
      </c>
      <c r="D565" t="s">
        <v>100</v>
      </c>
      <c r="E565">
        <v>2027</v>
      </c>
      <c r="F565" t="s">
        <v>67</v>
      </c>
      <c r="G565" t="s">
        <v>17</v>
      </c>
      <c r="H565" t="s">
        <v>18</v>
      </c>
      <c r="I565" s="8">
        <v>18647.2045</v>
      </c>
      <c r="J565" s="8">
        <v>8676.4833698090006</v>
      </c>
      <c r="K565" s="8">
        <f>I565/1000000</f>
        <v>1.86472045E-2</v>
      </c>
      <c r="L565" s="8">
        <f>J565/1000000</f>
        <v>8.6764833698089999E-3</v>
      </c>
      <c r="M565" t="s">
        <v>19</v>
      </c>
    </row>
    <row r="566" spans="2:13" x14ac:dyDescent="0.25">
      <c r="B566" t="s">
        <v>13</v>
      </c>
      <c r="C566" t="s">
        <v>46</v>
      </c>
      <c r="D566" t="s">
        <v>100</v>
      </c>
      <c r="E566">
        <v>2028</v>
      </c>
      <c r="F566" t="s">
        <v>67</v>
      </c>
      <c r="G566" t="s">
        <v>17</v>
      </c>
      <c r="H566" t="s">
        <v>18</v>
      </c>
      <c r="I566" s="8">
        <v>12482.4254</v>
      </c>
      <c r="J566" s="8">
        <v>5864.1772838921997</v>
      </c>
      <c r="K566" s="8">
        <f>I566/1000000</f>
        <v>1.24824254E-2</v>
      </c>
      <c r="L566" s="8">
        <f>J566/1000000</f>
        <v>5.8641772838921996E-3</v>
      </c>
      <c r="M566" t="s">
        <v>19</v>
      </c>
    </row>
    <row r="567" spans="2:13" x14ac:dyDescent="0.25">
      <c r="B567" t="s">
        <v>13</v>
      </c>
      <c r="C567" t="s">
        <v>46</v>
      </c>
      <c r="D567" t="s">
        <v>72</v>
      </c>
      <c r="E567">
        <v>2026</v>
      </c>
      <c r="F567" t="s">
        <v>67</v>
      </c>
      <c r="G567" t="s">
        <v>17</v>
      </c>
      <c r="H567" t="s">
        <v>18</v>
      </c>
      <c r="I567" s="8">
        <v>65716.784100000004</v>
      </c>
      <c r="J567" s="8">
        <v>18500</v>
      </c>
      <c r="K567" s="8">
        <f>I567/1000000</f>
        <v>6.5716784100000009E-2</v>
      </c>
      <c r="L567" s="8">
        <f>J567/1000000</f>
        <v>1.8499999999999999E-2</v>
      </c>
      <c r="M567" t="s">
        <v>19</v>
      </c>
    </row>
    <row r="568" spans="2:13" x14ac:dyDescent="0.25">
      <c r="B568" t="s">
        <v>13</v>
      </c>
      <c r="C568" t="s">
        <v>46</v>
      </c>
      <c r="D568" t="s">
        <v>72</v>
      </c>
      <c r="E568">
        <v>2027</v>
      </c>
      <c r="F568" t="s">
        <v>67</v>
      </c>
      <c r="G568" t="s">
        <v>17</v>
      </c>
      <c r="H568" t="s">
        <v>18</v>
      </c>
      <c r="I568" s="8">
        <v>49756.334600000002</v>
      </c>
      <c r="J568" s="8">
        <v>14006.9483269543</v>
      </c>
      <c r="K568" s="8">
        <f>I568/1000000</f>
        <v>4.97563346E-2</v>
      </c>
      <c r="L568" s="8">
        <f>J568/1000000</f>
        <v>1.40069483269543E-2</v>
      </c>
      <c r="M568" t="s">
        <v>19</v>
      </c>
    </row>
    <row r="569" spans="2:13" x14ac:dyDescent="0.25">
      <c r="B569" t="s">
        <v>13</v>
      </c>
      <c r="C569" t="s">
        <v>46</v>
      </c>
      <c r="D569" t="s">
        <v>72</v>
      </c>
      <c r="E569">
        <v>2028</v>
      </c>
      <c r="F569" t="s">
        <v>67</v>
      </c>
      <c r="G569" t="s">
        <v>17</v>
      </c>
      <c r="H569" t="s">
        <v>18</v>
      </c>
      <c r="I569" s="8">
        <v>33187.966800000002</v>
      </c>
      <c r="J569" s="8">
        <v>9469.8279367218001</v>
      </c>
      <c r="K569" s="8">
        <f>I569/1000000</f>
        <v>3.3187966800000003E-2</v>
      </c>
      <c r="L569" s="8">
        <f>J569/1000000</f>
        <v>9.4698279367218009E-3</v>
      </c>
      <c r="M569" t="s">
        <v>19</v>
      </c>
    </row>
    <row r="570" spans="2:13" x14ac:dyDescent="0.25">
      <c r="B570" t="s">
        <v>13</v>
      </c>
      <c r="C570" t="s">
        <v>46</v>
      </c>
      <c r="D570" t="s">
        <v>72</v>
      </c>
      <c r="E570">
        <v>2029</v>
      </c>
      <c r="F570" t="s">
        <v>67</v>
      </c>
      <c r="G570" t="s">
        <v>17</v>
      </c>
      <c r="H570" t="s">
        <v>18</v>
      </c>
      <c r="I570" s="8">
        <v>10575.939200000001</v>
      </c>
      <c r="J570" s="8">
        <v>4797.2127718604997</v>
      </c>
      <c r="K570" s="8">
        <f>I570/1000000</f>
        <v>1.05759392E-2</v>
      </c>
      <c r="L570" s="8">
        <f>J570/1000000</f>
        <v>4.7972127718604995E-3</v>
      </c>
      <c r="M570" t="s">
        <v>19</v>
      </c>
    </row>
    <row r="571" spans="2:13" x14ac:dyDescent="0.25">
      <c r="B571" t="s">
        <v>13</v>
      </c>
      <c r="C571" t="s">
        <v>46</v>
      </c>
      <c r="D571" t="s">
        <v>15</v>
      </c>
      <c r="E571">
        <v>2028</v>
      </c>
      <c r="F571" t="s">
        <v>67</v>
      </c>
      <c r="G571" t="s">
        <v>17</v>
      </c>
      <c r="H571" t="s">
        <v>18</v>
      </c>
      <c r="I571" s="8">
        <v>12556.806699999999</v>
      </c>
      <c r="J571" s="8">
        <v>4178.6493073683996</v>
      </c>
      <c r="K571" s="8">
        <f>I571/1000000</f>
        <v>1.2556806699999999E-2</v>
      </c>
      <c r="L571" s="8">
        <f>J571/1000000</f>
        <v>4.1786493073683994E-3</v>
      </c>
      <c r="M571" t="s">
        <v>19</v>
      </c>
    </row>
    <row r="572" spans="2:13" x14ac:dyDescent="0.25">
      <c r="B572" t="s">
        <v>13</v>
      </c>
      <c r="C572" t="s">
        <v>46</v>
      </c>
      <c r="D572" t="s">
        <v>52</v>
      </c>
      <c r="E572">
        <v>2027</v>
      </c>
      <c r="F572" t="s">
        <v>67</v>
      </c>
      <c r="G572" t="s">
        <v>17</v>
      </c>
      <c r="H572" t="s">
        <v>18</v>
      </c>
      <c r="I572" s="8">
        <v>40152.733200000002</v>
      </c>
      <c r="J572" s="8">
        <v>32611.447796483499</v>
      </c>
      <c r="K572" s="8">
        <f>I572/1000000</f>
        <v>4.0152733200000006E-2</v>
      </c>
      <c r="L572" s="8">
        <f>J572/1000000</f>
        <v>3.2611447796483499E-2</v>
      </c>
      <c r="M572" t="s">
        <v>19</v>
      </c>
    </row>
    <row r="573" spans="2:13" x14ac:dyDescent="0.25">
      <c r="B573" t="s">
        <v>13</v>
      </c>
      <c r="C573" t="s">
        <v>14</v>
      </c>
      <c r="D573" t="s">
        <v>52</v>
      </c>
      <c r="E573">
        <v>2027</v>
      </c>
      <c r="F573" t="s">
        <v>67</v>
      </c>
      <c r="G573" t="s">
        <v>17</v>
      </c>
      <c r="H573" t="s">
        <v>18</v>
      </c>
      <c r="I573" s="8">
        <v>190335.13630000001</v>
      </c>
      <c r="J573" s="8">
        <v>179886.58799999999</v>
      </c>
      <c r="K573" s="8">
        <f>I573/1000000</f>
        <v>0.19033513630000001</v>
      </c>
      <c r="L573" s="8">
        <f>J573/1000000</f>
        <v>0.17988658799999999</v>
      </c>
      <c r="M573" t="s">
        <v>19</v>
      </c>
    </row>
    <row r="574" spans="2:13" x14ac:dyDescent="0.25">
      <c r="B574" t="s">
        <v>13</v>
      </c>
      <c r="C574" t="s">
        <v>46</v>
      </c>
      <c r="D574" t="s">
        <v>52</v>
      </c>
      <c r="E574">
        <v>2026</v>
      </c>
      <c r="F574" t="s">
        <v>68</v>
      </c>
      <c r="G574" t="s">
        <v>17</v>
      </c>
      <c r="H574" t="s">
        <v>18</v>
      </c>
      <c r="I574" s="8">
        <v>245274.29209999999</v>
      </c>
      <c r="J574" s="8">
        <v>195000</v>
      </c>
      <c r="K574" s="8">
        <f>I574/1000000</f>
        <v>0.24527429209999999</v>
      </c>
      <c r="L574" s="8">
        <f>J574/1000000</f>
        <v>0.19500000000000001</v>
      </c>
      <c r="M574" t="s">
        <v>19</v>
      </c>
    </row>
    <row r="575" spans="2:13" x14ac:dyDescent="0.25">
      <c r="B575" t="s">
        <v>13</v>
      </c>
      <c r="C575" t="s">
        <v>46</v>
      </c>
      <c r="D575" t="s">
        <v>52</v>
      </c>
      <c r="E575">
        <v>2027</v>
      </c>
      <c r="F575" t="s">
        <v>68</v>
      </c>
      <c r="G575" t="s">
        <v>17</v>
      </c>
      <c r="H575" t="s">
        <v>18</v>
      </c>
      <c r="I575" s="8">
        <v>249852.10509999999</v>
      </c>
      <c r="J575" s="8">
        <v>200139.96501957701</v>
      </c>
      <c r="K575" s="8">
        <f>I575/1000000</f>
        <v>0.2498521051</v>
      </c>
      <c r="L575" s="8">
        <f>J575/1000000</f>
        <v>0.20013996501957701</v>
      </c>
      <c r="M575" t="s">
        <v>19</v>
      </c>
    </row>
    <row r="576" spans="2:13" x14ac:dyDescent="0.25">
      <c r="B576" t="s">
        <v>13</v>
      </c>
      <c r="C576" t="s">
        <v>46</v>
      </c>
      <c r="D576" t="s">
        <v>52</v>
      </c>
      <c r="E576">
        <v>2028</v>
      </c>
      <c r="F576" t="s">
        <v>68</v>
      </c>
      <c r="G576" t="s">
        <v>17</v>
      </c>
      <c r="H576" t="s">
        <v>18</v>
      </c>
      <c r="I576" s="8">
        <v>257690.4278</v>
      </c>
      <c r="J576" s="8">
        <v>205986.07514601201</v>
      </c>
      <c r="K576" s="8">
        <f>I576/1000000</f>
        <v>0.25769042780000001</v>
      </c>
      <c r="L576" s="8">
        <f>J576/1000000</f>
        <v>0.205986075146012</v>
      </c>
      <c r="M576" t="s">
        <v>19</v>
      </c>
    </row>
    <row r="577" spans="2:13" x14ac:dyDescent="0.25">
      <c r="B577" t="s">
        <v>13</v>
      </c>
      <c r="C577" t="s">
        <v>46</v>
      </c>
      <c r="D577" t="s">
        <v>52</v>
      </c>
      <c r="E577">
        <v>2029</v>
      </c>
      <c r="F577" t="s">
        <v>68</v>
      </c>
      <c r="G577" t="s">
        <v>17</v>
      </c>
      <c r="H577" t="s">
        <v>18</v>
      </c>
      <c r="I577" s="8">
        <v>267422.72470000002</v>
      </c>
      <c r="J577" s="8">
        <v>210948.52541317401</v>
      </c>
      <c r="K577" s="8">
        <f>I577/1000000</f>
        <v>0.2674227247</v>
      </c>
      <c r="L577" s="8">
        <f>J577/1000000</f>
        <v>0.21094852541317402</v>
      </c>
      <c r="M577" t="s">
        <v>19</v>
      </c>
    </row>
    <row r="578" spans="2:13" x14ac:dyDescent="0.25">
      <c r="B578" t="s">
        <v>13</v>
      </c>
      <c r="C578" t="s">
        <v>46</v>
      </c>
      <c r="D578" t="s">
        <v>52</v>
      </c>
      <c r="E578">
        <v>2030</v>
      </c>
      <c r="F578" t="s">
        <v>68</v>
      </c>
      <c r="G578" t="s">
        <v>17</v>
      </c>
      <c r="H578" t="s">
        <v>18</v>
      </c>
      <c r="I578" s="8">
        <v>275027.63020000001</v>
      </c>
      <c r="J578" s="8">
        <v>215028.941001712</v>
      </c>
      <c r="K578" s="8">
        <f>I578/1000000</f>
        <v>0.27502763020000004</v>
      </c>
      <c r="L578" s="8">
        <f>J578/1000000</f>
        <v>0.21502894100171199</v>
      </c>
      <c r="M578" t="s">
        <v>19</v>
      </c>
    </row>
    <row r="579" spans="2:13" x14ac:dyDescent="0.25">
      <c r="B579" t="s">
        <v>13</v>
      </c>
      <c r="C579" t="s">
        <v>46</v>
      </c>
      <c r="D579" t="s">
        <v>69</v>
      </c>
      <c r="E579">
        <v>2028</v>
      </c>
      <c r="F579" t="s">
        <v>68</v>
      </c>
      <c r="G579" t="s">
        <v>17</v>
      </c>
      <c r="H579" t="s">
        <v>18</v>
      </c>
      <c r="I579" s="8">
        <v>691262.43149999995</v>
      </c>
      <c r="J579" s="8">
        <v>263509.87919284398</v>
      </c>
      <c r="K579" s="8">
        <f>I579/1000000</f>
        <v>0.6912624315</v>
      </c>
      <c r="L579" s="8">
        <f>J579/1000000</f>
        <v>0.26350987919284397</v>
      </c>
      <c r="M579" t="s">
        <v>19</v>
      </c>
    </row>
    <row r="580" spans="2:13" x14ac:dyDescent="0.25">
      <c r="B580" t="s">
        <v>13</v>
      </c>
      <c r="C580" t="s">
        <v>46</v>
      </c>
      <c r="D580" t="s">
        <v>69</v>
      </c>
      <c r="E580">
        <v>2029</v>
      </c>
      <c r="F580" t="s">
        <v>68</v>
      </c>
      <c r="G580" t="s">
        <v>17</v>
      </c>
      <c r="H580" t="s">
        <v>18</v>
      </c>
      <c r="I580" s="8">
        <v>544450.75320000004</v>
      </c>
      <c r="J580" s="8">
        <v>237864.81015938401</v>
      </c>
      <c r="K580" s="8">
        <f>I580/1000000</f>
        <v>0.54445075320000003</v>
      </c>
      <c r="L580" s="8">
        <f>J580/1000000</f>
        <v>0.23786481015938402</v>
      </c>
      <c r="M580" t="s">
        <v>19</v>
      </c>
    </row>
    <row r="581" spans="2:13" x14ac:dyDescent="0.25">
      <c r="B581" t="s">
        <v>13</v>
      </c>
      <c r="C581" t="s">
        <v>46</v>
      </c>
      <c r="D581" t="s">
        <v>69</v>
      </c>
      <c r="E581">
        <v>2030</v>
      </c>
      <c r="F581" t="s">
        <v>68</v>
      </c>
      <c r="G581" t="s">
        <v>17</v>
      </c>
      <c r="H581" t="s">
        <v>18</v>
      </c>
      <c r="I581" s="8">
        <v>557688.18119999999</v>
      </c>
      <c r="J581" s="8">
        <v>243080.816911687</v>
      </c>
      <c r="K581" s="8">
        <f>I581/1000000</f>
        <v>0.55768818119999997</v>
      </c>
      <c r="L581" s="8">
        <f>J581/1000000</f>
        <v>0.24308081691168701</v>
      </c>
      <c r="M581" t="s">
        <v>19</v>
      </c>
    </row>
    <row r="582" spans="2:13" x14ac:dyDescent="0.25">
      <c r="B582" t="s">
        <v>13</v>
      </c>
      <c r="C582" t="s">
        <v>46</v>
      </c>
      <c r="D582" t="s">
        <v>73</v>
      </c>
      <c r="E582">
        <v>2026</v>
      </c>
      <c r="F582" t="s">
        <v>68</v>
      </c>
      <c r="G582" t="s">
        <v>17</v>
      </c>
      <c r="H582" t="s">
        <v>18</v>
      </c>
      <c r="I582" s="8">
        <v>280057.31849999999</v>
      </c>
      <c r="J582" s="8">
        <v>198050</v>
      </c>
      <c r="K582" s="8">
        <f>I582/1000000</f>
        <v>0.28005731849999999</v>
      </c>
      <c r="L582" s="8">
        <f>J582/1000000</f>
        <v>0.19805</v>
      </c>
      <c r="M582" t="s">
        <v>19</v>
      </c>
    </row>
    <row r="583" spans="2:13" x14ac:dyDescent="0.25">
      <c r="B583" t="s">
        <v>13</v>
      </c>
      <c r="C583" t="s">
        <v>46</v>
      </c>
      <c r="D583" t="s">
        <v>73</v>
      </c>
      <c r="E583">
        <v>2027</v>
      </c>
      <c r="F583" t="s">
        <v>68</v>
      </c>
      <c r="G583" t="s">
        <v>17</v>
      </c>
      <c r="H583" t="s">
        <v>18</v>
      </c>
      <c r="I583" s="8">
        <v>141350.8124</v>
      </c>
      <c r="J583" s="8">
        <v>100729.866808021</v>
      </c>
      <c r="K583" s="8">
        <f>I583/1000000</f>
        <v>0.1413508124</v>
      </c>
      <c r="L583" s="8">
        <f>J583/1000000</f>
        <v>0.100729866808021</v>
      </c>
      <c r="M583" t="s">
        <v>19</v>
      </c>
    </row>
    <row r="584" spans="2:13" x14ac:dyDescent="0.25">
      <c r="B584" t="s">
        <v>13</v>
      </c>
      <c r="C584" t="s">
        <v>46</v>
      </c>
      <c r="D584" t="s">
        <v>70</v>
      </c>
      <c r="E584">
        <v>2026</v>
      </c>
      <c r="F584" t="s">
        <v>68</v>
      </c>
      <c r="G584" t="s">
        <v>17</v>
      </c>
      <c r="H584" t="s">
        <v>18</v>
      </c>
      <c r="I584" s="8">
        <v>386601.27370000002</v>
      </c>
      <c r="J584" s="8">
        <v>224000</v>
      </c>
      <c r="K584" s="8">
        <f>I584/1000000</f>
        <v>0.38660127370000003</v>
      </c>
      <c r="L584" s="8">
        <f>J584/1000000</f>
        <v>0.224</v>
      </c>
      <c r="M584" t="s">
        <v>19</v>
      </c>
    </row>
    <row r="585" spans="2:13" x14ac:dyDescent="0.25">
      <c r="B585" t="s">
        <v>13</v>
      </c>
      <c r="C585" t="s">
        <v>46</v>
      </c>
      <c r="D585" t="s">
        <v>70</v>
      </c>
      <c r="E585">
        <v>2027</v>
      </c>
      <c r="F585" t="s">
        <v>68</v>
      </c>
      <c r="G585" t="s">
        <v>17</v>
      </c>
      <c r="H585" t="s">
        <v>18</v>
      </c>
      <c r="I585" s="8">
        <v>158998.9509</v>
      </c>
      <c r="J585" s="8">
        <v>113818.20885387099</v>
      </c>
      <c r="K585" s="8">
        <f>I585/1000000</f>
        <v>0.15899895089999999</v>
      </c>
      <c r="L585" s="8">
        <f>J585/1000000</f>
        <v>0.11381820885387099</v>
      </c>
      <c r="M585" t="s">
        <v>19</v>
      </c>
    </row>
    <row r="586" spans="2:13" x14ac:dyDescent="0.25">
      <c r="B586" t="s">
        <v>13</v>
      </c>
      <c r="C586" t="s">
        <v>46</v>
      </c>
      <c r="D586" t="s">
        <v>38</v>
      </c>
      <c r="E586">
        <v>2026</v>
      </c>
      <c r="F586" t="s">
        <v>68</v>
      </c>
      <c r="G586" t="s">
        <v>17</v>
      </c>
      <c r="H586" t="s">
        <v>18</v>
      </c>
      <c r="I586" s="8">
        <v>61995.879200000003</v>
      </c>
      <c r="J586" s="8">
        <v>72500</v>
      </c>
      <c r="K586" s="8">
        <f>I586/1000000</f>
        <v>6.1995879200000006E-2</v>
      </c>
      <c r="L586" s="8">
        <f>J586/1000000</f>
        <v>7.2499999999999995E-2</v>
      </c>
      <c r="M586" t="s">
        <v>39</v>
      </c>
    </row>
    <row r="587" spans="2:13" x14ac:dyDescent="0.25">
      <c r="B587" t="s">
        <v>13</v>
      </c>
      <c r="C587" t="s">
        <v>46</v>
      </c>
      <c r="D587" t="s">
        <v>38</v>
      </c>
      <c r="E587">
        <v>2027</v>
      </c>
      <c r="F587" t="s">
        <v>68</v>
      </c>
      <c r="G587" t="s">
        <v>17</v>
      </c>
      <c r="H587" t="s">
        <v>18</v>
      </c>
      <c r="I587" s="8">
        <v>88782.288199999995</v>
      </c>
      <c r="J587" s="8">
        <v>99613.425274725305</v>
      </c>
      <c r="K587" s="8">
        <f>I587/1000000</f>
        <v>8.878228819999999E-2</v>
      </c>
      <c r="L587" s="8">
        <f>J587/1000000</f>
        <v>9.9613425274725304E-2</v>
      </c>
      <c r="M587" t="s">
        <v>39</v>
      </c>
    </row>
    <row r="588" spans="2:13" x14ac:dyDescent="0.25">
      <c r="B588" t="s">
        <v>13</v>
      </c>
      <c r="C588" t="s">
        <v>46</v>
      </c>
      <c r="D588" t="s">
        <v>38</v>
      </c>
      <c r="E588">
        <v>2028</v>
      </c>
      <c r="F588" t="s">
        <v>68</v>
      </c>
      <c r="G588" t="s">
        <v>17</v>
      </c>
      <c r="H588" t="s">
        <v>18</v>
      </c>
      <c r="I588" s="8">
        <v>100468.4754</v>
      </c>
      <c r="J588" s="8">
        <v>104415.303429878</v>
      </c>
      <c r="K588" s="8">
        <f>I588/1000000</f>
        <v>0.10046847539999999</v>
      </c>
      <c r="L588" s="8">
        <f>J588/1000000</f>
        <v>0.104415303429878</v>
      </c>
      <c r="M588" t="s">
        <v>39</v>
      </c>
    </row>
    <row r="589" spans="2:13" x14ac:dyDescent="0.25">
      <c r="B589" t="s">
        <v>13</v>
      </c>
      <c r="C589" t="s">
        <v>46</v>
      </c>
      <c r="D589" t="s">
        <v>38</v>
      </c>
      <c r="E589">
        <v>2029</v>
      </c>
      <c r="F589" t="s">
        <v>68</v>
      </c>
      <c r="G589" t="s">
        <v>17</v>
      </c>
      <c r="H589" t="s">
        <v>18</v>
      </c>
      <c r="I589" s="8">
        <v>119883.4185</v>
      </c>
      <c r="J589" s="8">
        <v>109873.755865803</v>
      </c>
      <c r="K589" s="8">
        <f>I589/1000000</f>
        <v>0.11988341850000001</v>
      </c>
      <c r="L589" s="8">
        <f>J589/1000000</f>
        <v>0.109873755865803</v>
      </c>
      <c r="M589" t="s">
        <v>39</v>
      </c>
    </row>
    <row r="590" spans="2:13" x14ac:dyDescent="0.25">
      <c r="B590" t="s">
        <v>13</v>
      </c>
      <c r="C590" t="s">
        <v>46</v>
      </c>
      <c r="D590" t="s">
        <v>38</v>
      </c>
      <c r="E590">
        <v>2030</v>
      </c>
      <c r="F590" t="s">
        <v>68</v>
      </c>
      <c r="G590" t="s">
        <v>17</v>
      </c>
      <c r="H590" t="s">
        <v>18</v>
      </c>
      <c r="I590" s="8">
        <v>121383.8088</v>
      </c>
      <c r="J590" s="8">
        <v>111248.871136859</v>
      </c>
      <c r="K590" s="8">
        <f>I590/1000000</f>
        <v>0.12138380879999999</v>
      </c>
      <c r="L590" s="8">
        <f>J590/1000000</f>
        <v>0.111248871136859</v>
      </c>
      <c r="M590" t="s">
        <v>39</v>
      </c>
    </row>
    <row r="591" spans="2:13" x14ac:dyDescent="0.25">
      <c r="B591" t="s">
        <v>13</v>
      </c>
      <c r="C591" t="s">
        <v>46</v>
      </c>
      <c r="D591" t="s">
        <v>15</v>
      </c>
      <c r="E591">
        <v>2026</v>
      </c>
      <c r="F591" t="s">
        <v>68</v>
      </c>
      <c r="G591" t="s">
        <v>17</v>
      </c>
      <c r="H591" t="s">
        <v>18</v>
      </c>
      <c r="I591" s="8">
        <v>192814.65710000001</v>
      </c>
      <c r="J591" s="8">
        <v>41690.213052631603</v>
      </c>
      <c r="K591" s="8">
        <f>I591/1000000</f>
        <v>0.19281465710000001</v>
      </c>
      <c r="L591" s="8">
        <f>J591/1000000</f>
        <v>4.1690213052631604E-2</v>
      </c>
      <c r="M591" t="s">
        <v>19</v>
      </c>
    </row>
    <row r="592" spans="2:13" x14ac:dyDescent="0.25">
      <c r="B592" t="s">
        <v>13</v>
      </c>
      <c r="C592" t="s">
        <v>46</v>
      </c>
      <c r="D592" t="s">
        <v>15</v>
      </c>
      <c r="E592">
        <v>2027</v>
      </c>
      <c r="F592" t="s">
        <v>68</v>
      </c>
      <c r="G592" t="s">
        <v>17</v>
      </c>
      <c r="H592" t="s">
        <v>18</v>
      </c>
      <c r="I592" s="8">
        <v>198283.30859999999</v>
      </c>
      <c r="J592" s="8">
        <v>42872.639999999999</v>
      </c>
      <c r="K592" s="8">
        <f>I592/1000000</f>
        <v>0.19828330859999999</v>
      </c>
      <c r="L592" s="8">
        <f>J592/1000000</f>
        <v>4.2872639999999997E-2</v>
      </c>
      <c r="M592" t="s">
        <v>19</v>
      </c>
    </row>
    <row r="593" spans="2:13" x14ac:dyDescent="0.25">
      <c r="B593" t="s">
        <v>13</v>
      </c>
      <c r="C593" t="s">
        <v>46</v>
      </c>
      <c r="D593" t="s">
        <v>15</v>
      </c>
      <c r="E593">
        <v>2029</v>
      </c>
      <c r="F593" t="s">
        <v>68</v>
      </c>
      <c r="G593" t="s">
        <v>17</v>
      </c>
      <c r="H593" t="s">
        <v>18</v>
      </c>
      <c r="I593" s="8">
        <v>131473.6735</v>
      </c>
      <c r="J593" s="8">
        <v>43721.4517894737</v>
      </c>
      <c r="K593" s="8">
        <f>I593/1000000</f>
        <v>0.1314736735</v>
      </c>
      <c r="L593" s="8">
        <f>J593/1000000</f>
        <v>4.3721451789473703E-2</v>
      </c>
      <c r="M593" t="s">
        <v>19</v>
      </c>
    </row>
    <row r="594" spans="2:13" x14ac:dyDescent="0.25">
      <c r="B594" t="s">
        <v>13</v>
      </c>
      <c r="C594" t="s">
        <v>46</v>
      </c>
      <c r="D594" t="s">
        <v>15</v>
      </c>
      <c r="E594">
        <v>2030</v>
      </c>
      <c r="F594" t="s">
        <v>68</v>
      </c>
      <c r="G594" t="s">
        <v>17</v>
      </c>
      <c r="H594" t="s">
        <v>18</v>
      </c>
      <c r="I594" s="8">
        <v>133482.15119999999</v>
      </c>
      <c r="J594" s="8">
        <v>44389.369263157903</v>
      </c>
      <c r="K594" s="8">
        <f>I594/1000000</f>
        <v>0.13348215119999998</v>
      </c>
      <c r="L594" s="8">
        <f>J594/1000000</f>
        <v>4.4389369263157903E-2</v>
      </c>
      <c r="M594" t="s">
        <v>19</v>
      </c>
    </row>
    <row r="595" spans="2:13" x14ac:dyDescent="0.25">
      <c r="B595" t="s">
        <v>13</v>
      </c>
      <c r="C595" t="s">
        <v>46</v>
      </c>
      <c r="D595" t="s">
        <v>100</v>
      </c>
      <c r="E595">
        <v>2030</v>
      </c>
      <c r="F595" t="s">
        <v>68</v>
      </c>
      <c r="G595" t="s">
        <v>17</v>
      </c>
      <c r="H595" t="s">
        <v>18</v>
      </c>
      <c r="I595" s="8">
        <v>354978.3052</v>
      </c>
      <c r="J595" s="8">
        <v>157867.110595134</v>
      </c>
      <c r="K595" s="8">
        <f>I595/1000000</f>
        <v>0.35497830520000001</v>
      </c>
      <c r="L595" s="8">
        <f>J595/1000000</f>
        <v>0.157867110595134</v>
      </c>
      <c r="M595" t="s">
        <v>19</v>
      </c>
    </row>
    <row r="596" spans="2:13" x14ac:dyDescent="0.25">
      <c r="B596" t="s">
        <v>13</v>
      </c>
      <c r="C596" t="s">
        <v>46</v>
      </c>
      <c r="D596" t="s">
        <v>100</v>
      </c>
      <c r="E596">
        <v>2026</v>
      </c>
      <c r="F596" t="s">
        <v>68</v>
      </c>
      <c r="G596" t="s">
        <v>17</v>
      </c>
      <c r="H596" t="s">
        <v>18</v>
      </c>
      <c r="I596" s="8">
        <v>300638.26299999998</v>
      </c>
      <c r="J596" s="8">
        <v>141200</v>
      </c>
      <c r="K596" s="8">
        <f>I596/1000000</f>
        <v>0.30063826299999996</v>
      </c>
      <c r="L596" s="8">
        <f>J596/1000000</f>
        <v>0.14119999999999999</v>
      </c>
      <c r="M596" t="s">
        <v>19</v>
      </c>
    </row>
    <row r="597" spans="2:13" x14ac:dyDescent="0.25">
      <c r="B597" t="s">
        <v>13</v>
      </c>
      <c r="C597" t="s">
        <v>46</v>
      </c>
      <c r="D597" t="s">
        <v>100</v>
      </c>
      <c r="E597">
        <v>2029</v>
      </c>
      <c r="F597" t="s">
        <v>68</v>
      </c>
      <c r="G597" t="s">
        <v>17</v>
      </c>
      <c r="H597" t="s">
        <v>18</v>
      </c>
      <c r="I597" s="8">
        <v>350870.28600000002</v>
      </c>
      <c r="J597" s="8">
        <v>154664.52064721801</v>
      </c>
      <c r="K597" s="8">
        <f>I597/1000000</f>
        <v>0.35087028600000003</v>
      </c>
      <c r="L597" s="8">
        <f>J597/1000000</f>
        <v>0.154664520647218</v>
      </c>
      <c r="M597" t="s">
        <v>19</v>
      </c>
    </row>
    <row r="598" spans="2:13" x14ac:dyDescent="0.25">
      <c r="B598" t="s">
        <v>13</v>
      </c>
      <c r="C598" t="s">
        <v>46</v>
      </c>
      <c r="D598" t="s">
        <v>100</v>
      </c>
      <c r="E598">
        <v>2027</v>
      </c>
      <c r="F598" t="s">
        <v>68</v>
      </c>
      <c r="G598" t="s">
        <v>17</v>
      </c>
      <c r="H598" t="s">
        <v>18</v>
      </c>
      <c r="I598" s="8">
        <v>312043.5233</v>
      </c>
      <c r="J598" s="8">
        <v>145192.83237564101</v>
      </c>
      <c r="K598" s="8">
        <f>I598/1000000</f>
        <v>0.31204352330000001</v>
      </c>
      <c r="L598" s="8">
        <f>J598/1000000</f>
        <v>0.14519283237564101</v>
      </c>
      <c r="M598" t="s">
        <v>19</v>
      </c>
    </row>
    <row r="599" spans="2:13" x14ac:dyDescent="0.25">
      <c r="B599" t="s">
        <v>13</v>
      </c>
      <c r="C599" t="s">
        <v>46</v>
      </c>
      <c r="D599" t="s">
        <v>100</v>
      </c>
      <c r="E599">
        <v>2028</v>
      </c>
      <c r="F599" t="s">
        <v>68</v>
      </c>
      <c r="G599" t="s">
        <v>17</v>
      </c>
      <c r="H599" t="s">
        <v>18</v>
      </c>
      <c r="I599" s="8">
        <v>319220.44500000001</v>
      </c>
      <c r="J599" s="8">
        <v>149968.073203698</v>
      </c>
      <c r="K599" s="8">
        <f>I599/1000000</f>
        <v>0.31922044500000002</v>
      </c>
      <c r="L599" s="8">
        <f>J599/1000000</f>
        <v>0.14996807320369801</v>
      </c>
      <c r="M599" t="s">
        <v>19</v>
      </c>
    </row>
    <row r="600" spans="2:13" x14ac:dyDescent="0.25">
      <c r="B600" t="s">
        <v>13</v>
      </c>
      <c r="C600" t="s">
        <v>46</v>
      </c>
      <c r="D600" t="s">
        <v>72</v>
      </c>
      <c r="E600">
        <v>2030</v>
      </c>
      <c r="F600" t="s">
        <v>68</v>
      </c>
      <c r="G600" t="s">
        <v>17</v>
      </c>
      <c r="H600" t="s">
        <v>18</v>
      </c>
      <c r="I600" s="8">
        <v>527845.16540000006</v>
      </c>
      <c r="J600" s="8">
        <v>245362.84198455</v>
      </c>
      <c r="K600" s="8">
        <f>I600/1000000</f>
        <v>0.52784516540000004</v>
      </c>
      <c r="L600" s="8">
        <f>J600/1000000</f>
        <v>0.24536284198455</v>
      </c>
      <c r="M600" t="s">
        <v>19</v>
      </c>
    </row>
    <row r="601" spans="2:13" x14ac:dyDescent="0.25">
      <c r="B601" t="s">
        <v>13</v>
      </c>
      <c r="C601" t="s">
        <v>46</v>
      </c>
      <c r="D601" t="s">
        <v>72</v>
      </c>
      <c r="E601">
        <v>2026</v>
      </c>
      <c r="F601" t="s">
        <v>68</v>
      </c>
      <c r="G601" t="s">
        <v>17</v>
      </c>
      <c r="H601" t="s">
        <v>18</v>
      </c>
      <c r="I601" s="8">
        <v>624659.70790000004</v>
      </c>
      <c r="J601" s="8">
        <v>218800</v>
      </c>
      <c r="K601" s="8">
        <f>I601/1000000</f>
        <v>0.62465970790000003</v>
      </c>
      <c r="L601" s="8">
        <f>J601/1000000</f>
        <v>0.21879999999999999</v>
      </c>
      <c r="M601" t="s">
        <v>19</v>
      </c>
    </row>
    <row r="602" spans="2:13" x14ac:dyDescent="0.25">
      <c r="B602" t="s">
        <v>13</v>
      </c>
      <c r="C602" t="s">
        <v>46</v>
      </c>
      <c r="D602" t="s">
        <v>72</v>
      </c>
      <c r="E602">
        <v>2027</v>
      </c>
      <c r="F602" t="s">
        <v>68</v>
      </c>
      <c r="G602" t="s">
        <v>17</v>
      </c>
      <c r="H602" t="s">
        <v>18</v>
      </c>
      <c r="I602" s="8">
        <v>551424.45519999997</v>
      </c>
      <c r="J602" s="8">
        <v>224614.223215598</v>
      </c>
      <c r="K602" s="8">
        <f>I602/1000000</f>
        <v>0.55142445519999994</v>
      </c>
      <c r="L602" s="8">
        <f>J602/1000000</f>
        <v>0.22461422321559801</v>
      </c>
      <c r="M602" t="s">
        <v>19</v>
      </c>
    </row>
    <row r="603" spans="2:13" x14ac:dyDescent="0.25">
      <c r="B603" t="s">
        <v>13</v>
      </c>
      <c r="C603" t="s">
        <v>46</v>
      </c>
      <c r="D603" t="s">
        <v>72</v>
      </c>
      <c r="E603">
        <v>2028</v>
      </c>
      <c r="F603" t="s">
        <v>68</v>
      </c>
      <c r="G603" t="s">
        <v>17</v>
      </c>
      <c r="H603" t="s">
        <v>18</v>
      </c>
      <c r="I603" s="8">
        <v>566706.14020000002</v>
      </c>
      <c r="J603" s="8">
        <v>232089.02264241799</v>
      </c>
      <c r="K603" s="8">
        <f>I603/1000000</f>
        <v>0.56670614019999999</v>
      </c>
      <c r="L603" s="8">
        <f>J603/1000000</f>
        <v>0.23208902264241799</v>
      </c>
      <c r="M603" t="s">
        <v>19</v>
      </c>
    </row>
    <row r="604" spans="2:13" x14ac:dyDescent="0.25">
      <c r="B604" t="s">
        <v>13</v>
      </c>
      <c r="C604" t="s">
        <v>46</v>
      </c>
      <c r="D604" t="s">
        <v>102</v>
      </c>
      <c r="E604">
        <v>2028</v>
      </c>
      <c r="F604" t="s">
        <v>68</v>
      </c>
      <c r="G604" t="s">
        <v>17</v>
      </c>
      <c r="H604" t="s">
        <v>18</v>
      </c>
      <c r="I604" s="8">
        <v>19405.215400000001</v>
      </c>
      <c r="J604" s="8">
        <v>43496.048527032901</v>
      </c>
      <c r="K604" s="8">
        <f>I604/1000000</f>
        <v>1.9405215400000002E-2</v>
      </c>
      <c r="L604" s="8">
        <f>J604/1000000</f>
        <v>4.3496048527032899E-2</v>
      </c>
      <c r="M604" t="s">
        <v>19</v>
      </c>
    </row>
    <row r="605" spans="2:13" x14ac:dyDescent="0.25">
      <c r="B605" t="s">
        <v>13</v>
      </c>
      <c r="C605" t="s">
        <v>46</v>
      </c>
      <c r="D605" t="s">
        <v>102</v>
      </c>
      <c r="E605">
        <v>2029</v>
      </c>
      <c r="F605" t="s">
        <v>68</v>
      </c>
      <c r="G605" t="s">
        <v>17</v>
      </c>
      <c r="H605" t="s">
        <v>18</v>
      </c>
      <c r="I605" s="8">
        <v>19707.585599999999</v>
      </c>
      <c r="J605" s="8">
        <v>44173.799706939797</v>
      </c>
      <c r="K605" s="8">
        <f>I605/1000000</f>
        <v>1.9707585599999997E-2</v>
      </c>
      <c r="L605" s="8">
        <f>J605/1000000</f>
        <v>4.4173799706939798E-2</v>
      </c>
      <c r="M605" t="s">
        <v>19</v>
      </c>
    </row>
    <row r="606" spans="2:13" x14ac:dyDescent="0.25">
      <c r="B606" t="s">
        <v>13</v>
      </c>
      <c r="C606" t="s">
        <v>46</v>
      </c>
      <c r="D606" t="s">
        <v>102</v>
      </c>
      <c r="E606">
        <v>2030</v>
      </c>
      <c r="F606" t="s">
        <v>68</v>
      </c>
      <c r="G606" t="s">
        <v>17</v>
      </c>
      <c r="H606" t="s">
        <v>18</v>
      </c>
      <c r="I606" s="8">
        <v>19954.2143</v>
      </c>
      <c r="J606" s="8">
        <v>44726.608577457897</v>
      </c>
      <c r="K606" s="8">
        <f>I606/1000000</f>
        <v>1.9954214299999998E-2</v>
      </c>
      <c r="L606" s="8">
        <f>J606/1000000</f>
        <v>4.4726608577457895E-2</v>
      </c>
      <c r="M606" t="s">
        <v>19</v>
      </c>
    </row>
    <row r="607" spans="2:13" x14ac:dyDescent="0.25">
      <c r="B607" t="s">
        <v>13</v>
      </c>
      <c r="C607" t="s">
        <v>46</v>
      </c>
      <c r="D607" t="s">
        <v>102</v>
      </c>
      <c r="E607">
        <v>2026</v>
      </c>
      <c r="F607" t="s">
        <v>68</v>
      </c>
      <c r="G607" t="s">
        <v>17</v>
      </c>
      <c r="H607" t="s">
        <v>18</v>
      </c>
      <c r="I607" s="8">
        <v>17021.160199999998</v>
      </c>
      <c r="J607" s="8">
        <v>34400</v>
      </c>
      <c r="K607" s="8">
        <f>I607/1000000</f>
        <v>1.70211602E-2</v>
      </c>
      <c r="L607" s="8">
        <f>J607/1000000</f>
        <v>3.44E-2</v>
      </c>
      <c r="M607" t="s">
        <v>19</v>
      </c>
    </row>
    <row r="608" spans="2:13" x14ac:dyDescent="0.25">
      <c r="B608" t="s">
        <v>13</v>
      </c>
      <c r="C608" t="s">
        <v>46</v>
      </c>
      <c r="D608" t="s">
        <v>102</v>
      </c>
      <c r="E608">
        <v>2027</v>
      </c>
      <c r="F608" t="s">
        <v>68</v>
      </c>
      <c r="G608" t="s">
        <v>17</v>
      </c>
      <c r="H608" t="s">
        <v>18</v>
      </c>
      <c r="I608" s="8">
        <v>17640.000599999999</v>
      </c>
      <c r="J608" s="8">
        <v>38013.163230590202</v>
      </c>
      <c r="K608" s="8">
        <f>I608/1000000</f>
        <v>1.7640000600000001E-2</v>
      </c>
      <c r="L608" s="8">
        <f>J608/1000000</f>
        <v>3.8013163230590202E-2</v>
      </c>
      <c r="M608" t="s">
        <v>19</v>
      </c>
    </row>
    <row r="609" spans="2:13" x14ac:dyDescent="0.25">
      <c r="B609" t="s">
        <v>13</v>
      </c>
      <c r="C609" t="s">
        <v>46</v>
      </c>
      <c r="D609" t="s">
        <v>69</v>
      </c>
      <c r="E609">
        <v>2027</v>
      </c>
      <c r="F609" t="s">
        <v>68</v>
      </c>
      <c r="G609" t="s">
        <v>17</v>
      </c>
      <c r="H609" t="s">
        <v>18</v>
      </c>
      <c r="I609" s="8">
        <v>341750.42359999998</v>
      </c>
      <c r="J609" s="8">
        <v>114879.99520982899</v>
      </c>
      <c r="K609" s="8">
        <f>I609/1000000</f>
        <v>0.34175042359999996</v>
      </c>
      <c r="L609" s="8">
        <f>J609/1000000</f>
        <v>0.114879995209829</v>
      </c>
      <c r="M609" t="s">
        <v>19</v>
      </c>
    </row>
    <row r="610" spans="2:13" x14ac:dyDescent="0.25">
      <c r="B610" t="s">
        <v>13</v>
      </c>
      <c r="C610" t="s">
        <v>46</v>
      </c>
      <c r="D610" t="s">
        <v>72</v>
      </c>
      <c r="E610">
        <v>2029</v>
      </c>
      <c r="F610" t="s">
        <v>68</v>
      </c>
      <c r="G610" t="s">
        <v>17</v>
      </c>
      <c r="H610" t="s">
        <v>18</v>
      </c>
      <c r="I610" s="8">
        <v>517689.96679999999</v>
      </c>
      <c r="J610" s="8">
        <v>240642.31301477901</v>
      </c>
      <c r="K610" s="8">
        <f>I610/1000000</f>
        <v>0.51768996680000001</v>
      </c>
      <c r="L610" s="8">
        <f>J610/1000000</f>
        <v>0.24064231301477901</v>
      </c>
      <c r="M610" t="s">
        <v>19</v>
      </c>
    </row>
    <row r="611" spans="2:13" x14ac:dyDescent="0.25">
      <c r="B611" t="s">
        <v>13</v>
      </c>
      <c r="C611" t="s">
        <v>46</v>
      </c>
      <c r="D611" t="s">
        <v>15</v>
      </c>
      <c r="E611">
        <v>2028</v>
      </c>
      <c r="F611" t="s">
        <v>68</v>
      </c>
      <c r="G611" t="s">
        <v>17</v>
      </c>
      <c r="H611" t="s">
        <v>18</v>
      </c>
      <c r="I611" s="8">
        <v>129737.952</v>
      </c>
      <c r="J611" s="8">
        <v>43144.239157894699</v>
      </c>
      <c r="K611" s="8">
        <f>I611/1000000</f>
        <v>0.12973795200000002</v>
      </c>
      <c r="L611" s="8">
        <f>J611/1000000</f>
        <v>4.3144239157894698E-2</v>
      </c>
      <c r="M611" t="s">
        <v>19</v>
      </c>
    </row>
    <row r="612" spans="2:13" x14ac:dyDescent="0.25">
      <c r="B612" t="s">
        <v>13</v>
      </c>
      <c r="C612" t="s">
        <v>46</v>
      </c>
      <c r="D612" t="s">
        <v>103</v>
      </c>
      <c r="E612">
        <v>2030</v>
      </c>
      <c r="F612" t="s">
        <v>68</v>
      </c>
      <c r="G612" t="s">
        <v>17</v>
      </c>
      <c r="H612" t="s">
        <v>18</v>
      </c>
      <c r="I612" s="8">
        <v>6092.2825000000003</v>
      </c>
      <c r="J612" s="8">
        <v>600.92033494719999</v>
      </c>
      <c r="K612" s="8">
        <f>I612/1000000</f>
        <v>6.0922825000000007E-3</v>
      </c>
      <c r="L612" s="8">
        <f>J612/1000000</f>
        <v>6.0092033494719998E-4</v>
      </c>
      <c r="M612" t="s">
        <v>39</v>
      </c>
    </row>
    <row r="613" spans="2:13" x14ac:dyDescent="0.25">
      <c r="B613" t="s">
        <v>13</v>
      </c>
      <c r="C613" t="s">
        <v>14</v>
      </c>
      <c r="D613" t="s">
        <v>52</v>
      </c>
      <c r="E613">
        <v>2028</v>
      </c>
      <c r="F613" t="s">
        <v>68</v>
      </c>
      <c r="G613" t="s">
        <v>17</v>
      </c>
      <c r="H613" t="s">
        <v>18</v>
      </c>
      <c r="I613" s="8">
        <v>440665.67420000001</v>
      </c>
      <c r="J613" s="8">
        <v>399038.48479687498</v>
      </c>
      <c r="K613" s="8">
        <f>I613/1000000</f>
        <v>0.44066567420000002</v>
      </c>
      <c r="L613" s="8">
        <f>J613/1000000</f>
        <v>0.39903848479687498</v>
      </c>
      <c r="M613" t="s">
        <v>19</v>
      </c>
    </row>
    <row r="614" spans="2:13" x14ac:dyDescent="0.25">
      <c r="B614" t="s">
        <v>13</v>
      </c>
      <c r="C614" t="s">
        <v>46</v>
      </c>
      <c r="D614" t="s">
        <v>121</v>
      </c>
      <c r="E614">
        <v>2026</v>
      </c>
      <c r="F614" t="s">
        <v>51</v>
      </c>
      <c r="G614" t="s">
        <v>17</v>
      </c>
      <c r="H614" t="s">
        <v>18</v>
      </c>
      <c r="I614" s="8">
        <v>3569763.1244000001</v>
      </c>
      <c r="J614" s="8">
        <v>4866743.7026212104</v>
      </c>
      <c r="K614" s="8">
        <f>I614/1000000</f>
        <v>3.5697631244000001</v>
      </c>
      <c r="L614" s="8">
        <f>J614/1000000</f>
        <v>4.8667437026212106</v>
      </c>
      <c r="M614" t="s">
        <v>19</v>
      </c>
    </row>
    <row r="615" spans="2:13" x14ac:dyDescent="0.25">
      <c r="B615" t="s">
        <v>13</v>
      </c>
      <c r="C615" t="s">
        <v>46</v>
      </c>
      <c r="D615" t="s">
        <v>121</v>
      </c>
      <c r="E615">
        <v>2027</v>
      </c>
      <c r="F615" t="s">
        <v>51</v>
      </c>
      <c r="G615" t="s">
        <v>17</v>
      </c>
      <c r="H615" t="s">
        <v>18</v>
      </c>
      <c r="I615" s="8">
        <v>4164730.6077999999</v>
      </c>
      <c r="J615" s="8">
        <v>5677498.8454485899</v>
      </c>
      <c r="K615" s="8">
        <f>I615/1000000</f>
        <v>4.1647306078000002</v>
      </c>
      <c r="L615" s="8">
        <f>J615/1000000</f>
        <v>5.6774988454485902</v>
      </c>
      <c r="M615" t="s">
        <v>19</v>
      </c>
    </row>
    <row r="616" spans="2:13" x14ac:dyDescent="0.25">
      <c r="B616" t="s">
        <v>13</v>
      </c>
      <c r="C616" t="s">
        <v>46</v>
      </c>
      <c r="D616" t="s">
        <v>52</v>
      </c>
      <c r="E616">
        <v>2029</v>
      </c>
      <c r="F616" t="s">
        <v>51</v>
      </c>
      <c r="G616" t="s">
        <v>17</v>
      </c>
      <c r="H616" t="s">
        <v>18</v>
      </c>
      <c r="I616" s="8">
        <v>5936715.2130000005</v>
      </c>
      <c r="J616" s="8">
        <v>4692415.61190766</v>
      </c>
      <c r="K616" s="8">
        <f>I616/1000000</f>
        <v>5.9367152130000003</v>
      </c>
      <c r="L616" s="8">
        <f>J616/1000000</f>
        <v>4.6924156119076601</v>
      </c>
      <c r="M616" t="s">
        <v>19</v>
      </c>
    </row>
    <row r="617" spans="2:13" x14ac:dyDescent="0.25">
      <c r="B617" t="s">
        <v>13</v>
      </c>
      <c r="C617" t="s">
        <v>46</v>
      </c>
      <c r="D617" t="s">
        <v>52</v>
      </c>
      <c r="E617">
        <v>2030</v>
      </c>
      <c r="F617" t="s">
        <v>51</v>
      </c>
      <c r="G617" t="s">
        <v>17</v>
      </c>
      <c r="H617" t="s">
        <v>18</v>
      </c>
      <c r="I617" s="8">
        <v>5978848.8344000001</v>
      </c>
      <c r="J617" s="8">
        <v>4734697.0543574803</v>
      </c>
      <c r="K617" s="8">
        <f>I617/1000000</f>
        <v>5.9788488343999999</v>
      </c>
      <c r="L617" s="8">
        <f>J617/1000000</f>
        <v>4.73469705435748</v>
      </c>
      <c r="M617" t="s">
        <v>19</v>
      </c>
    </row>
    <row r="618" spans="2:13" x14ac:dyDescent="0.25">
      <c r="B618" t="s">
        <v>13</v>
      </c>
      <c r="C618" t="s">
        <v>46</v>
      </c>
      <c r="D618" t="s">
        <v>69</v>
      </c>
      <c r="E618">
        <v>2029</v>
      </c>
      <c r="F618" t="s">
        <v>51</v>
      </c>
      <c r="G618" t="s">
        <v>17</v>
      </c>
      <c r="H618" t="s">
        <v>18</v>
      </c>
      <c r="I618" s="8">
        <v>19282629.737399999</v>
      </c>
      <c r="J618" s="8">
        <v>8426283.7476377897</v>
      </c>
      <c r="K618" s="8">
        <f>I618/1000000</f>
        <v>19.282629737400001</v>
      </c>
      <c r="L618" s="8">
        <f>J618/1000000</f>
        <v>8.4262837476377896</v>
      </c>
      <c r="M618" t="s">
        <v>19</v>
      </c>
    </row>
    <row r="619" spans="2:13" x14ac:dyDescent="0.25">
      <c r="B619" t="s">
        <v>13</v>
      </c>
      <c r="C619" t="s">
        <v>46</v>
      </c>
      <c r="D619" t="s">
        <v>69</v>
      </c>
      <c r="E619">
        <v>2030</v>
      </c>
      <c r="F619" t="s">
        <v>51</v>
      </c>
      <c r="G619" t="s">
        <v>17</v>
      </c>
      <c r="H619" t="s">
        <v>18</v>
      </c>
      <c r="I619" s="8">
        <v>18990662.316100001</v>
      </c>
      <c r="J619" s="8">
        <v>8294665.4293430001</v>
      </c>
      <c r="K619" s="8">
        <f>I619/1000000</f>
        <v>18.9906623161</v>
      </c>
      <c r="L619" s="8">
        <f>J619/1000000</f>
        <v>8.2946654293430004</v>
      </c>
      <c r="M619" t="s">
        <v>19</v>
      </c>
    </row>
    <row r="620" spans="2:13" x14ac:dyDescent="0.25">
      <c r="B620" t="s">
        <v>13</v>
      </c>
      <c r="C620" t="s">
        <v>46</v>
      </c>
      <c r="D620" t="s">
        <v>74</v>
      </c>
      <c r="E620">
        <v>2027</v>
      </c>
      <c r="F620" t="s">
        <v>51</v>
      </c>
      <c r="G620" t="s">
        <v>17</v>
      </c>
      <c r="H620" t="s">
        <v>18</v>
      </c>
      <c r="I620" s="8">
        <v>8121763.3975</v>
      </c>
      <c r="J620" s="8">
        <v>4068487.4982979302</v>
      </c>
      <c r="K620" s="8">
        <f>I620/1000000</f>
        <v>8.1217633975000005</v>
      </c>
      <c r="L620" s="8">
        <f>J620/1000000</f>
        <v>4.0684874982979302</v>
      </c>
      <c r="M620" t="s">
        <v>19</v>
      </c>
    </row>
    <row r="621" spans="2:13" x14ac:dyDescent="0.25">
      <c r="B621" t="s">
        <v>13</v>
      </c>
      <c r="C621" t="s">
        <v>46</v>
      </c>
      <c r="D621" t="s">
        <v>74</v>
      </c>
      <c r="E621">
        <v>2028</v>
      </c>
      <c r="F621" t="s">
        <v>51</v>
      </c>
      <c r="G621" t="s">
        <v>17</v>
      </c>
      <c r="H621" t="s">
        <v>18</v>
      </c>
      <c r="I621" s="8">
        <v>4823987.8545000004</v>
      </c>
      <c r="J621" s="8">
        <v>3306693.9832136398</v>
      </c>
      <c r="K621" s="8">
        <f>I621/1000000</f>
        <v>4.8239878545000003</v>
      </c>
      <c r="L621" s="8">
        <f>J621/1000000</f>
        <v>3.3066939832136399</v>
      </c>
      <c r="M621" t="s">
        <v>19</v>
      </c>
    </row>
    <row r="622" spans="2:13" x14ac:dyDescent="0.25">
      <c r="B622" t="s">
        <v>13</v>
      </c>
      <c r="C622" t="s">
        <v>46</v>
      </c>
      <c r="D622" t="s">
        <v>74</v>
      </c>
      <c r="E622">
        <v>2029</v>
      </c>
      <c r="F622" t="s">
        <v>51</v>
      </c>
      <c r="G622" t="s">
        <v>17</v>
      </c>
      <c r="H622" t="s">
        <v>18</v>
      </c>
      <c r="I622" s="8">
        <v>4858478.0285</v>
      </c>
      <c r="J622" s="8">
        <v>3330335.9272890501</v>
      </c>
      <c r="K622" s="8">
        <f>I622/1000000</f>
        <v>4.8584780285000004</v>
      </c>
      <c r="L622" s="8">
        <f>J622/1000000</f>
        <v>3.3303359272890503</v>
      </c>
      <c r="M622" t="s">
        <v>19</v>
      </c>
    </row>
    <row r="623" spans="2:13" x14ac:dyDescent="0.25">
      <c r="B623" t="s">
        <v>13</v>
      </c>
      <c r="C623" t="s">
        <v>46</v>
      </c>
      <c r="D623" t="s">
        <v>74</v>
      </c>
      <c r="E623">
        <v>2030</v>
      </c>
      <c r="F623" t="s">
        <v>51</v>
      </c>
      <c r="G623" t="s">
        <v>17</v>
      </c>
      <c r="H623" t="s">
        <v>18</v>
      </c>
      <c r="I623" s="8">
        <v>5130501.6162</v>
      </c>
      <c r="J623" s="8">
        <v>3376829.88518519</v>
      </c>
      <c r="K623" s="8">
        <f>I623/1000000</f>
        <v>5.1305016162000001</v>
      </c>
      <c r="L623" s="8">
        <f>J623/1000000</f>
        <v>3.3768298851851899</v>
      </c>
      <c r="M623" t="s">
        <v>19</v>
      </c>
    </row>
    <row r="624" spans="2:13" x14ac:dyDescent="0.25">
      <c r="B624" t="s">
        <v>13</v>
      </c>
      <c r="C624" t="s">
        <v>46</v>
      </c>
      <c r="D624" t="s">
        <v>73</v>
      </c>
      <c r="E624">
        <v>2026</v>
      </c>
      <c r="F624" t="s">
        <v>51</v>
      </c>
      <c r="G624" t="s">
        <v>17</v>
      </c>
      <c r="H624" t="s">
        <v>18</v>
      </c>
      <c r="I624" s="8">
        <v>7877792.9209000003</v>
      </c>
      <c r="J624" s="8">
        <v>5569018.3029714404</v>
      </c>
      <c r="K624" s="8">
        <f>I624/1000000</f>
        <v>7.8777929209000002</v>
      </c>
      <c r="L624" s="8">
        <f>J624/1000000</f>
        <v>5.5690183029714406</v>
      </c>
      <c r="M624" t="s">
        <v>19</v>
      </c>
    </row>
    <row r="625" spans="2:13" x14ac:dyDescent="0.25">
      <c r="B625" t="s">
        <v>13</v>
      </c>
      <c r="C625" t="s">
        <v>46</v>
      </c>
      <c r="D625" t="s">
        <v>73</v>
      </c>
      <c r="E625">
        <v>2027</v>
      </c>
      <c r="F625" t="s">
        <v>51</v>
      </c>
      <c r="G625" t="s">
        <v>17</v>
      </c>
      <c r="H625" t="s">
        <v>18</v>
      </c>
      <c r="I625" s="8">
        <v>12329440.3771</v>
      </c>
      <c r="J625" s="8">
        <v>8785940.7369987294</v>
      </c>
      <c r="K625" s="8">
        <f>I625/1000000</f>
        <v>12.329440377100001</v>
      </c>
      <c r="L625" s="8">
        <f>J625/1000000</f>
        <v>8.7859407369987288</v>
      </c>
      <c r="M625" t="s">
        <v>19</v>
      </c>
    </row>
    <row r="626" spans="2:13" x14ac:dyDescent="0.25">
      <c r="B626" t="s">
        <v>13</v>
      </c>
      <c r="C626" t="s">
        <v>46</v>
      </c>
      <c r="D626" t="s">
        <v>73</v>
      </c>
      <c r="E626">
        <v>2028</v>
      </c>
      <c r="F626" t="s">
        <v>51</v>
      </c>
      <c r="G626" t="s">
        <v>17</v>
      </c>
      <c r="H626" t="s">
        <v>18</v>
      </c>
      <c r="I626" s="8">
        <v>6289427.2074999996</v>
      </c>
      <c r="J626" s="8">
        <v>4485053.3715215595</v>
      </c>
      <c r="K626" s="8">
        <f>I626/1000000</f>
        <v>6.2894272074999993</v>
      </c>
      <c r="L626" s="8">
        <f>J626/1000000</f>
        <v>4.4850533715215599</v>
      </c>
      <c r="M626" t="s">
        <v>19</v>
      </c>
    </row>
    <row r="627" spans="2:13" x14ac:dyDescent="0.25">
      <c r="B627" t="s">
        <v>13</v>
      </c>
      <c r="C627" t="s">
        <v>46</v>
      </c>
      <c r="D627" t="s">
        <v>70</v>
      </c>
      <c r="E627">
        <v>2026</v>
      </c>
      <c r="F627" t="s">
        <v>51</v>
      </c>
      <c r="G627" t="s">
        <v>17</v>
      </c>
      <c r="H627" t="s">
        <v>18</v>
      </c>
      <c r="I627" s="8">
        <v>6220880.7604999999</v>
      </c>
      <c r="J627" s="8">
        <v>3604430.1587999999</v>
      </c>
      <c r="K627" s="8">
        <f>I627/1000000</f>
        <v>6.2208807605000001</v>
      </c>
      <c r="L627" s="8">
        <f>J627/1000000</f>
        <v>3.6044301588000001</v>
      </c>
      <c r="M627" t="s">
        <v>19</v>
      </c>
    </row>
    <row r="628" spans="2:13" x14ac:dyDescent="0.25">
      <c r="B628" t="s">
        <v>13</v>
      </c>
      <c r="C628" t="s">
        <v>46</v>
      </c>
      <c r="D628" t="s">
        <v>70</v>
      </c>
      <c r="E628">
        <v>2027</v>
      </c>
      <c r="F628" t="s">
        <v>51</v>
      </c>
      <c r="G628" t="s">
        <v>17</v>
      </c>
      <c r="H628" t="s">
        <v>18</v>
      </c>
      <c r="I628" s="8">
        <v>7783622.5164999999</v>
      </c>
      <c r="J628" s="8">
        <v>5571847.9151999997</v>
      </c>
      <c r="K628" s="8">
        <f>I628/1000000</f>
        <v>7.7836225164999995</v>
      </c>
      <c r="L628" s="8">
        <f>J628/1000000</f>
        <v>5.5718479151999993</v>
      </c>
      <c r="M628" t="s">
        <v>19</v>
      </c>
    </row>
    <row r="629" spans="2:13" x14ac:dyDescent="0.25">
      <c r="B629" t="s">
        <v>13</v>
      </c>
      <c r="C629" t="s">
        <v>46</v>
      </c>
      <c r="D629" t="s">
        <v>70</v>
      </c>
      <c r="E629">
        <v>2028</v>
      </c>
      <c r="F629" t="s">
        <v>51</v>
      </c>
      <c r="G629" t="s">
        <v>17</v>
      </c>
      <c r="H629" t="s">
        <v>18</v>
      </c>
      <c r="I629" s="8">
        <v>4469901.0674000001</v>
      </c>
      <c r="J629" s="8">
        <v>3163925.9733496602</v>
      </c>
      <c r="K629" s="8">
        <f>I629/1000000</f>
        <v>4.4699010674000004</v>
      </c>
      <c r="L629" s="8">
        <f>J629/1000000</f>
        <v>3.1639259733496603</v>
      </c>
      <c r="M629" t="s">
        <v>19</v>
      </c>
    </row>
    <row r="630" spans="2:13" x14ac:dyDescent="0.25">
      <c r="B630" t="s">
        <v>13</v>
      </c>
      <c r="C630" t="s">
        <v>46</v>
      </c>
      <c r="D630" t="s">
        <v>15</v>
      </c>
      <c r="E630">
        <v>2026</v>
      </c>
      <c r="F630" t="s">
        <v>51</v>
      </c>
      <c r="G630" t="s">
        <v>17</v>
      </c>
      <c r="H630" t="s">
        <v>18</v>
      </c>
      <c r="I630" s="8">
        <v>4487858.0121999998</v>
      </c>
      <c r="J630" s="8">
        <v>970360.65359999996</v>
      </c>
      <c r="K630" s="8">
        <f>I630/1000000</f>
        <v>4.4878580121999994</v>
      </c>
      <c r="L630" s="8">
        <f>J630/1000000</f>
        <v>0.97036065360000001</v>
      </c>
      <c r="M630" t="s">
        <v>19</v>
      </c>
    </row>
    <row r="631" spans="2:13" x14ac:dyDescent="0.25">
      <c r="B631" t="s">
        <v>13</v>
      </c>
      <c r="C631" t="s">
        <v>46</v>
      </c>
      <c r="D631" t="s">
        <v>15</v>
      </c>
      <c r="E631">
        <v>2027</v>
      </c>
      <c r="F631" t="s">
        <v>51</v>
      </c>
      <c r="G631" t="s">
        <v>17</v>
      </c>
      <c r="H631" t="s">
        <v>18</v>
      </c>
      <c r="I631" s="8">
        <v>7097382.7352999998</v>
      </c>
      <c r="J631" s="8">
        <v>1534589.76</v>
      </c>
      <c r="K631" s="8">
        <f>I631/1000000</f>
        <v>7.0973827353000001</v>
      </c>
      <c r="L631" s="8">
        <f>J631/1000000</f>
        <v>1.53458976</v>
      </c>
      <c r="M631" t="s">
        <v>19</v>
      </c>
    </row>
    <row r="632" spans="2:13" x14ac:dyDescent="0.25">
      <c r="B632" t="s">
        <v>13</v>
      </c>
      <c r="C632" t="s">
        <v>46</v>
      </c>
      <c r="D632" t="s">
        <v>15</v>
      </c>
      <c r="E632">
        <v>2029</v>
      </c>
      <c r="F632" t="s">
        <v>51</v>
      </c>
      <c r="G632" t="s">
        <v>17</v>
      </c>
      <c r="H632" t="s">
        <v>18</v>
      </c>
      <c r="I632" s="8">
        <v>3193120.3851000001</v>
      </c>
      <c r="J632" s="8">
        <v>1061869.3102484201</v>
      </c>
      <c r="K632" s="8">
        <f>I632/1000000</f>
        <v>3.1931203851000003</v>
      </c>
      <c r="L632" s="8">
        <f>J632/1000000</f>
        <v>1.06186931024842</v>
      </c>
      <c r="M632" t="s">
        <v>19</v>
      </c>
    </row>
    <row r="633" spans="2:13" x14ac:dyDescent="0.25">
      <c r="B633" t="s">
        <v>13</v>
      </c>
      <c r="C633" t="s">
        <v>46</v>
      </c>
      <c r="D633" t="s">
        <v>15</v>
      </c>
      <c r="E633">
        <v>2030</v>
      </c>
      <c r="F633" t="s">
        <v>51</v>
      </c>
      <c r="G633" t="s">
        <v>17</v>
      </c>
      <c r="H633" t="s">
        <v>18</v>
      </c>
      <c r="I633" s="8">
        <v>3279094.6634</v>
      </c>
      <c r="J633" s="8">
        <v>1091215.8603789499</v>
      </c>
      <c r="K633" s="8">
        <f>I633/1000000</f>
        <v>3.2790946634</v>
      </c>
      <c r="L633" s="8">
        <f>J633/1000000</f>
        <v>1.0912158603789499</v>
      </c>
      <c r="M633" t="s">
        <v>19</v>
      </c>
    </row>
    <row r="634" spans="2:13" x14ac:dyDescent="0.25">
      <c r="B634" t="s">
        <v>13</v>
      </c>
      <c r="C634" t="s">
        <v>46</v>
      </c>
      <c r="D634" t="s">
        <v>100</v>
      </c>
      <c r="E634">
        <v>2029</v>
      </c>
      <c r="F634" t="s">
        <v>51</v>
      </c>
      <c r="G634" t="s">
        <v>17</v>
      </c>
      <c r="H634" t="s">
        <v>18</v>
      </c>
      <c r="I634" s="8">
        <v>10071880.925000001</v>
      </c>
      <c r="J634" s="8">
        <v>8682655.9698599894</v>
      </c>
      <c r="K634" s="8">
        <f>I634/1000000</f>
        <v>10.071880925</v>
      </c>
      <c r="L634" s="8">
        <f>J634/1000000</f>
        <v>8.6826559698599901</v>
      </c>
      <c r="M634" t="s">
        <v>19</v>
      </c>
    </row>
    <row r="635" spans="2:13" x14ac:dyDescent="0.25">
      <c r="B635" t="s">
        <v>13</v>
      </c>
      <c r="C635" t="s">
        <v>46</v>
      </c>
      <c r="D635" t="s">
        <v>100</v>
      </c>
      <c r="E635">
        <v>2030</v>
      </c>
      <c r="F635" t="s">
        <v>51</v>
      </c>
      <c r="G635" t="s">
        <v>17</v>
      </c>
      <c r="H635" t="s">
        <v>18</v>
      </c>
      <c r="I635" s="8">
        <v>10211723.518100001</v>
      </c>
      <c r="J635" s="8">
        <v>8803209.9293901101</v>
      </c>
      <c r="K635" s="8">
        <f>I635/1000000</f>
        <v>10.211723518100001</v>
      </c>
      <c r="L635" s="8">
        <f>J635/1000000</f>
        <v>8.8032099293901105</v>
      </c>
      <c r="M635" t="s">
        <v>19</v>
      </c>
    </row>
    <row r="636" spans="2:13" x14ac:dyDescent="0.25">
      <c r="B636" t="s">
        <v>13</v>
      </c>
      <c r="C636" t="s">
        <v>46</v>
      </c>
      <c r="D636" t="s">
        <v>100</v>
      </c>
      <c r="E636">
        <v>2027</v>
      </c>
      <c r="F636" t="s">
        <v>51</v>
      </c>
      <c r="G636" t="s">
        <v>17</v>
      </c>
      <c r="H636" t="s">
        <v>18</v>
      </c>
      <c r="I636" s="8">
        <v>9045608.9496999998</v>
      </c>
      <c r="J636" s="8">
        <v>8973818.4025420696</v>
      </c>
      <c r="K636" s="8">
        <f>I636/1000000</f>
        <v>9.0456089497000001</v>
      </c>
      <c r="L636" s="8">
        <f>J636/1000000</f>
        <v>8.9738184025420704</v>
      </c>
      <c r="M636" t="s">
        <v>19</v>
      </c>
    </row>
    <row r="637" spans="2:13" x14ac:dyDescent="0.25">
      <c r="B637" t="s">
        <v>13</v>
      </c>
      <c r="C637" t="s">
        <v>46</v>
      </c>
      <c r="D637" t="s">
        <v>100</v>
      </c>
      <c r="E637">
        <v>2028</v>
      </c>
      <c r="F637" t="s">
        <v>51</v>
      </c>
      <c r="G637" t="s">
        <v>17</v>
      </c>
      <c r="H637" t="s">
        <v>18</v>
      </c>
      <c r="I637" s="8">
        <v>8956406.8496000003</v>
      </c>
      <c r="J637" s="8">
        <v>9329590.4683813006</v>
      </c>
      <c r="K637" s="8">
        <f>I637/1000000</f>
        <v>8.9564068496000004</v>
      </c>
      <c r="L637" s="8">
        <f>J637/1000000</f>
        <v>9.3295904683813013</v>
      </c>
      <c r="M637" t="s">
        <v>19</v>
      </c>
    </row>
    <row r="638" spans="2:13" x14ac:dyDescent="0.25">
      <c r="B638" t="s">
        <v>13</v>
      </c>
      <c r="C638" t="s">
        <v>46</v>
      </c>
      <c r="D638" t="s">
        <v>100</v>
      </c>
      <c r="E638">
        <v>2026</v>
      </c>
      <c r="F638" t="s">
        <v>51</v>
      </c>
      <c r="G638" t="s">
        <v>17</v>
      </c>
      <c r="H638" t="s">
        <v>18</v>
      </c>
      <c r="I638" s="8">
        <v>16106189.529999999</v>
      </c>
      <c r="J638" s="8">
        <v>9378283.2638787702</v>
      </c>
      <c r="K638" s="8">
        <f>I638/1000000</f>
        <v>16.106189529999998</v>
      </c>
      <c r="L638" s="8">
        <f>J638/1000000</f>
        <v>9.378283263878771</v>
      </c>
      <c r="M638" t="s">
        <v>19</v>
      </c>
    </row>
    <row r="639" spans="2:13" x14ac:dyDescent="0.25">
      <c r="B639" t="s">
        <v>13</v>
      </c>
      <c r="C639" t="s">
        <v>46</v>
      </c>
      <c r="D639" t="s">
        <v>72</v>
      </c>
      <c r="E639">
        <v>2026</v>
      </c>
      <c r="F639" t="s">
        <v>51</v>
      </c>
      <c r="G639" t="s">
        <v>17</v>
      </c>
      <c r="H639" t="s">
        <v>18</v>
      </c>
      <c r="I639" s="8">
        <v>27970351.6547</v>
      </c>
      <c r="J639" s="8">
        <v>9797023.7100388799</v>
      </c>
      <c r="K639" s="8">
        <f>I639/1000000</f>
        <v>27.9703516547</v>
      </c>
      <c r="L639" s="8">
        <f>J639/1000000</f>
        <v>9.7970237100388804</v>
      </c>
      <c r="M639" t="s">
        <v>19</v>
      </c>
    </row>
    <row r="640" spans="2:13" x14ac:dyDescent="0.25">
      <c r="B640" t="s">
        <v>13</v>
      </c>
      <c r="C640" t="s">
        <v>46</v>
      </c>
      <c r="D640" t="s">
        <v>72</v>
      </c>
      <c r="E640">
        <v>2029</v>
      </c>
      <c r="F640" t="s">
        <v>51</v>
      </c>
      <c r="G640" t="s">
        <v>17</v>
      </c>
      <c r="H640" t="s">
        <v>18</v>
      </c>
      <c r="I640" s="8">
        <v>13301681.994999999</v>
      </c>
      <c r="J640" s="8">
        <v>6359080.2541292002</v>
      </c>
      <c r="K640" s="8">
        <f>I640/1000000</f>
        <v>13.301681994999999</v>
      </c>
      <c r="L640" s="8">
        <f>J640/1000000</f>
        <v>6.3590802541292</v>
      </c>
      <c r="M640" t="s">
        <v>19</v>
      </c>
    </row>
    <row r="641" spans="2:13" x14ac:dyDescent="0.25">
      <c r="B641" t="s">
        <v>13</v>
      </c>
      <c r="C641" t="s">
        <v>46</v>
      </c>
      <c r="D641" t="s">
        <v>72</v>
      </c>
      <c r="E641">
        <v>2030</v>
      </c>
      <c r="F641" t="s">
        <v>51</v>
      </c>
      <c r="G641" t="s">
        <v>17</v>
      </c>
      <c r="H641" t="s">
        <v>18</v>
      </c>
      <c r="I641" s="8">
        <v>13514840.8806</v>
      </c>
      <c r="J641" s="8">
        <v>6472266.6090500401</v>
      </c>
      <c r="K641" s="8">
        <f>I641/1000000</f>
        <v>13.5148408806</v>
      </c>
      <c r="L641" s="8">
        <f>J641/1000000</f>
        <v>6.47226660905004</v>
      </c>
      <c r="M641" t="s">
        <v>19</v>
      </c>
    </row>
    <row r="642" spans="2:13" x14ac:dyDescent="0.25">
      <c r="B642" t="s">
        <v>13</v>
      </c>
      <c r="C642" t="s">
        <v>46</v>
      </c>
      <c r="D642" t="s">
        <v>72</v>
      </c>
      <c r="E642">
        <v>2027</v>
      </c>
      <c r="F642" t="s">
        <v>51</v>
      </c>
      <c r="G642" t="s">
        <v>17</v>
      </c>
      <c r="H642" t="s">
        <v>18</v>
      </c>
      <c r="I642" s="8">
        <v>24568859.890299998</v>
      </c>
      <c r="J642" s="8">
        <v>10007745.0819811</v>
      </c>
      <c r="K642" s="8">
        <f>I642/1000000</f>
        <v>24.568859890299997</v>
      </c>
      <c r="L642" s="8">
        <f>J642/1000000</f>
        <v>10.007745081981101</v>
      </c>
      <c r="M642" t="s">
        <v>19</v>
      </c>
    </row>
    <row r="643" spans="2:13" x14ac:dyDescent="0.25">
      <c r="B643" t="s">
        <v>13</v>
      </c>
      <c r="C643" t="s">
        <v>46</v>
      </c>
      <c r="D643" t="s">
        <v>72</v>
      </c>
      <c r="E643">
        <v>2028</v>
      </c>
      <c r="F643" t="s">
        <v>51</v>
      </c>
      <c r="G643" t="s">
        <v>17</v>
      </c>
      <c r="H643" t="s">
        <v>18</v>
      </c>
      <c r="I643" s="8">
        <v>25055305.878199998</v>
      </c>
      <c r="J643" s="8">
        <v>10261158.368854299</v>
      </c>
      <c r="K643" s="8">
        <f>I643/1000000</f>
        <v>25.055305878199999</v>
      </c>
      <c r="L643" s="8">
        <f>J643/1000000</f>
        <v>10.2611583688543</v>
      </c>
      <c r="M643" t="s">
        <v>19</v>
      </c>
    </row>
    <row r="644" spans="2:13" x14ac:dyDescent="0.25">
      <c r="B644" t="s">
        <v>13</v>
      </c>
      <c r="C644" t="s">
        <v>46</v>
      </c>
      <c r="D644" t="s">
        <v>76</v>
      </c>
      <c r="E644">
        <v>2027</v>
      </c>
      <c r="F644" t="s">
        <v>51</v>
      </c>
      <c r="G644" t="s">
        <v>17</v>
      </c>
      <c r="H644" t="s">
        <v>18</v>
      </c>
      <c r="I644" s="8">
        <v>2099004.5994000002</v>
      </c>
      <c r="J644" s="8">
        <v>648396.81385455502</v>
      </c>
      <c r="K644" s="8">
        <f>I644/1000000</f>
        <v>2.0990045994000002</v>
      </c>
      <c r="L644" s="8">
        <f>J644/1000000</f>
        <v>0.64839681385455505</v>
      </c>
      <c r="M644" t="s">
        <v>39</v>
      </c>
    </row>
    <row r="645" spans="2:13" x14ac:dyDescent="0.25">
      <c r="B645" t="s">
        <v>13</v>
      </c>
      <c r="C645" t="s">
        <v>46</v>
      </c>
      <c r="D645" t="s">
        <v>76</v>
      </c>
      <c r="E645">
        <v>2028</v>
      </c>
      <c r="F645" t="s">
        <v>51</v>
      </c>
      <c r="G645" t="s">
        <v>17</v>
      </c>
      <c r="H645" t="s">
        <v>18</v>
      </c>
      <c r="I645" s="8">
        <v>1842663.4765000001</v>
      </c>
      <c r="J645" s="8">
        <v>577208.20951722295</v>
      </c>
      <c r="K645" s="8">
        <f>I645/1000000</f>
        <v>1.8426634765000001</v>
      </c>
      <c r="L645" s="8">
        <f>J645/1000000</f>
        <v>0.57720820951722296</v>
      </c>
      <c r="M645" t="s">
        <v>39</v>
      </c>
    </row>
    <row r="646" spans="2:13" x14ac:dyDescent="0.25">
      <c r="B646" t="s">
        <v>13</v>
      </c>
      <c r="C646" t="s">
        <v>46</v>
      </c>
      <c r="D646" t="s">
        <v>76</v>
      </c>
      <c r="E646">
        <v>2029</v>
      </c>
      <c r="F646" t="s">
        <v>51</v>
      </c>
      <c r="G646" t="s">
        <v>17</v>
      </c>
      <c r="H646" t="s">
        <v>18</v>
      </c>
      <c r="I646" s="8">
        <v>1866731.6876999999</v>
      </c>
      <c r="J646" s="8">
        <v>584747.49667810299</v>
      </c>
      <c r="K646" s="8">
        <f>I646/1000000</f>
        <v>1.8667316877</v>
      </c>
      <c r="L646" s="8">
        <f>J646/1000000</f>
        <v>0.584747496678103</v>
      </c>
      <c r="M646" t="s">
        <v>39</v>
      </c>
    </row>
    <row r="647" spans="2:13" x14ac:dyDescent="0.25">
      <c r="B647" t="s">
        <v>13</v>
      </c>
      <c r="C647" t="s">
        <v>46</v>
      </c>
      <c r="D647" t="s">
        <v>76</v>
      </c>
      <c r="E647">
        <v>2030</v>
      </c>
      <c r="F647" t="s">
        <v>51</v>
      </c>
      <c r="G647" t="s">
        <v>17</v>
      </c>
      <c r="H647" t="s">
        <v>18</v>
      </c>
      <c r="I647" s="8">
        <v>1886232.9283</v>
      </c>
      <c r="J647" s="8">
        <v>591480.25223738805</v>
      </c>
      <c r="K647" s="8">
        <f>I647/1000000</f>
        <v>1.8862329283000001</v>
      </c>
      <c r="L647" s="8">
        <f>J647/1000000</f>
        <v>0.59148025223738809</v>
      </c>
      <c r="M647" t="s">
        <v>39</v>
      </c>
    </row>
    <row r="648" spans="2:13" x14ac:dyDescent="0.25">
      <c r="B648" t="s">
        <v>13</v>
      </c>
      <c r="C648" t="s">
        <v>46</v>
      </c>
      <c r="D648" t="s">
        <v>102</v>
      </c>
      <c r="E648">
        <v>2028</v>
      </c>
      <c r="F648" t="s">
        <v>51</v>
      </c>
      <c r="G648" t="s">
        <v>17</v>
      </c>
      <c r="H648" t="s">
        <v>18</v>
      </c>
      <c r="I648" s="8">
        <v>458098.78759999998</v>
      </c>
      <c r="J648" s="8">
        <v>1026810.9194657099</v>
      </c>
      <c r="K648" s="8">
        <f>I648/1000000</f>
        <v>0.4580987876</v>
      </c>
      <c r="L648" s="8">
        <f>J648/1000000</f>
        <v>1.02681091946571</v>
      </c>
      <c r="M648" t="s">
        <v>19</v>
      </c>
    </row>
    <row r="649" spans="2:13" x14ac:dyDescent="0.25">
      <c r="B649" t="s">
        <v>13</v>
      </c>
      <c r="C649" t="s">
        <v>46</v>
      </c>
      <c r="D649" t="s">
        <v>102</v>
      </c>
      <c r="E649">
        <v>2029</v>
      </c>
      <c r="F649" t="s">
        <v>51</v>
      </c>
      <c r="G649" t="s">
        <v>17</v>
      </c>
      <c r="H649" t="s">
        <v>18</v>
      </c>
      <c r="I649" s="8">
        <v>461374.12199999997</v>
      </c>
      <c r="J649" s="8">
        <v>1034152.4564404601</v>
      </c>
      <c r="K649" s="8">
        <f>I649/1000000</f>
        <v>0.461374122</v>
      </c>
      <c r="L649" s="8">
        <f>J649/1000000</f>
        <v>1.0341524564404601</v>
      </c>
      <c r="M649" t="s">
        <v>19</v>
      </c>
    </row>
    <row r="650" spans="2:13" x14ac:dyDescent="0.25">
      <c r="B650" t="s">
        <v>13</v>
      </c>
      <c r="C650" t="s">
        <v>46</v>
      </c>
      <c r="D650" t="s">
        <v>102</v>
      </c>
      <c r="E650">
        <v>2030</v>
      </c>
      <c r="F650" t="s">
        <v>51</v>
      </c>
      <c r="G650" t="s">
        <v>17</v>
      </c>
      <c r="H650" t="s">
        <v>18</v>
      </c>
      <c r="I650" s="8">
        <v>351854.83179999999</v>
      </c>
      <c r="J650" s="8">
        <v>1040239.36321131</v>
      </c>
      <c r="K650" s="8">
        <f>I650/1000000</f>
        <v>0.35185483179999999</v>
      </c>
      <c r="L650" s="8">
        <f>J650/1000000</f>
        <v>1.0402393632113101</v>
      </c>
      <c r="M650" t="s">
        <v>19</v>
      </c>
    </row>
    <row r="651" spans="2:13" x14ac:dyDescent="0.25">
      <c r="B651" t="s">
        <v>13</v>
      </c>
      <c r="C651" t="s">
        <v>46</v>
      </c>
      <c r="D651" t="s">
        <v>102</v>
      </c>
      <c r="E651">
        <v>2026</v>
      </c>
      <c r="F651" t="s">
        <v>51</v>
      </c>
      <c r="G651" t="s">
        <v>17</v>
      </c>
      <c r="H651" t="s">
        <v>18</v>
      </c>
      <c r="I651" s="8">
        <v>389307.78009999997</v>
      </c>
      <c r="J651" s="8">
        <v>786700</v>
      </c>
      <c r="K651" s="8">
        <f>I651/1000000</f>
        <v>0.3893077801</v>
      </c>
      <c r="L651" s="8">
        <f>J651/1000000</f>
        <v>0.78669999999999995</v>
      </c>
      <c r="M651" t="s">
        <v>19</v>
      </c>
    </row>
    <row r="652" spans="2:13" x14ac:dyDescent="0.25">
      <c r="B652" t="s">
        <v>13</v>
      </c>
      <c r="C652" t="s">
        <v>46</v>
      </c>
      <c r="D652" t="s">
        <v>102</v>
      </c>
      <c r="E652">
        <v>2027</v>
      </c>
      <c r="F652" t="s">
        <v>51</v>
      </c>
      <c r="G652" t="s">
        <v>17</v>
      </c>
      <c r="H652" t="s">
        <v>18</v>
      </c>
      <c r="I652" s="8">
        <v>420306.30290000001</v>
      </c>
      <c r="J652" s="8">
        <v>905735.35348194605</v>
      </c>
      <c r="K652" s="8">
        <f>I652/1000000</f>
        <v>0.42030630289999998</v>
      </c>
      <c r="L652" s="8">
        <f>J652/1000000</f>
        <v>0.905735353481946</v>
      </c>
      <c r="M652" t="s">
        <v>19</v>
      </c>
    </row>
    <row r="653" spans="2:13" x14ac:dyDescent="0.25">
      <c r="B653" t="s">
        <v>13</v>
      </c>
      <c r="C653" t="s">
        <v>46</v>
      </c>
      <c r="D653" t="s">
        <v>69</v>
      </c>
      <c r="E653">
        <v>2028</v>
      </c>
      <c r="F653" t="s">
        <v>51</v>
      </c>
      <c r="G653" t="s">
        <v>17</v>
      </c>
      <c r="H653" t="s">
        <v>18</v>
      </c>
      <c r="I653" s="8">
        <v>13800643.4068</v>
      </c>
      <c r="J653" s="8">
        <v>5260818.0499319602</v>
      </c>
      <c r="K653" s="8">
        <f>I653/1000000</f>
        <v>13.800643406800001</v>
      </c>
      <c r="L653" s="8">
        <f>J653/1000000</f>
        <v>5.2608180499319603</v>
      </c>
      <c r="M653" t="s">
        <v>19</v>
      </c>
    </row>
    <row r="654" spans="2:13" x14ac:dyDescent="0.25">
      <c r="B654" t="s">
        <v>13</v>
      </c>
      <c r="C654" t="s">
        <v>46</v>
      </c>
      <c r="D654" t="s">
        <v>15</v>
      </c>
      <c r="E654">
        <v>2028</v>
      </c>
      <c r="F654" t="s">
        <v>51</v>
      </c>
      <c r="G654" t="s">
        <v>17</v>
      </c>
      <c r="H654" t="s">
        <v>18</v>
      </c>
      <c r="I654" s="8">
        <v>4807430.602</v>
      </c>
      <c r="J654" s="8">
        <v>1598706.72</v>
      </c>
      <c r="K654" s="8">
        <f>I654/1000000</f>
        <v>4.8074306020000002</v>
      </c>
      <c r="L654" s="8">
        <f>J654/1000000</f>
        <v>1.59870672</v>
      </c>
      <c r="M654" t="s">
        <v>19</v>
      </c>
    </row>
    <row r="655" spans="2:13" x14ac:dyDescent="0.25">
      <c r="B655" t="s">
        <v>13</v>
      </c>
      <c r="C655" t="s">
        <v>46</v>
      </c>
      <c r="D655" t="s">
        <v>52</v>
      </c>
      <c r="E655">
        <v>2028</v>
      </c>
      <c r="F655" t="s">
        <v>51</v>
      </c>
      <c r="G655" t="s">
        <v>17</v>
      </c>
      <c r="H655" t="s">
        <v>18</v>
      </c>
      <c r="I655" s="8">
        <v>7791150.8737000003</v>
      </c>
      <c r="J655" s="8">
        <v>6240639.5166826202</v>
      </c>
      <c r="K655" s="8">
        <f>I655/1000000</f>
        <v>7.7911508737000004</v>
      </c>
      <c r="L655" s="8">
        <f>J655/1000000</f>
        <v>6.2406395166826201</v>
      </c>
      <c r="M655" t="s">
        <v>19</v>
      </c>
    </row>
    <row r="656" spans="2:13" x14ac:dyDescent="0.25">
      <c r="B656" t="s">
        <v>13</v>
      </c>
      <c r="C656" t="s">
        <v>46</v>
      </c>
      <c r="D656" t="s">
        <v>74</v>
      </c>
      <c r="E656">
        <v>2026</v>
      </c>
      <c r="F656" t="s">
        <v>51</v>
      </c>
      <c r="G656" t="s">
        <v>17</v>
      </c>
      <c r="H656" t="s">
        <v>18</v>
      </c>
      <c r="I656" s="8">
        <v>2117737.9909999999</v>
      </c>
      <c r="J656" s="8">
        <v>1060852.1966911801</v>
      </c>
      <c r="K656" s="8">
        <f>I656/1000000</f>
        <v>2.1177379909999998</v>
      </c>
      <c r="L656" s="8">
        <f>J656/1000000</f>
        <v>1.0608521966911801</v>
      </c>
      <c r="M656" t="s">
        <v>19</v>
      </c>
    </row>
    <row r="657" spans="2:13" x14ac:dyDescent="0.25">
      <c r="B657" t="s">
        <v>13</v>
      </c>
      <c r="C657" t="s">
        <v>46</v>
      </c>
      <c r="D657" t="s">
        <v>76</v>
      </c>
      <c r="E657">
        <v>2026</v>
      </c>
      <c r="F657" t="s">
        <v>51</v>
      </c>
      <c r="G657" t="s">
        <v>17</v>
      </c>
      <c r="H657" t="s">
        <v>18</v>
      </c>
      <c r="I657" s="8">
        <v>1045078.1323000001</v>
      </c>
      <c r="J657" s="8">
        <v>248500</v>
      </c>
      <c r="K657" s="8">
        <f>I657/1000000</f>
        <v>1.0450781323</v>
      </c>
      <c r="L657" s="8">
        <f>J657/1000000</f>
        <v>0.2485</v>
      </c>
      <c r="M657" t="s">
        <v>39</v>
      </c>
    </row>
    <row r="658" spans="2:13" x14ac:dyDescent="0.25">
      <c r="B658" t="s">
        <v>13</v>
      </c>
      <c r="C658" t="s">
        <v>14</v>
      </c>
      <c r="D658" t="s">
        <v>74</v>
      </c>
      <c r="E658">
        <v>2027</v>
      </c>
      <c r="F658" t="s">
        <v>51</v>
      </c>
      <c r="G658" t="s">
        <v>17</v>
      </c>
      <c r="H658" t="s">
        <v>18</v>
      </c>
      <c r="I658" s="8">
        <v>16628997.192500001</v>
      </c>
      <c r="J658" s="8">
        <v>9305312.0761356894</v>
      </c>
      <c r="K658" s="8">
        <f>I658/1000000</f>
        <v>16.628997192500002</v>
      </c>
      <c r="L658" s="8">
        <f>J658/1000000</f>
        <v>9.3053120761356887</v>
      </c>
      <c r="M658" t="s">
        <v>39</v>
      </c>
    </row>
    <row r="659" spans="2:13" x14ac:dyDescent="0.25">
      <c r="B659" t="s">
        <v>13</v>
      </c>
      <c r="C659" t="s">
        <v>14</v>
      </c>
      <c r="D659" t="s">
        <v>74</v>
      </c>
      <c r="E659">
        <v>2028</v>
      </c>
      <c r="F659" t="s">
        <v>51</v>
      </c>
      <c r="G659" t="s">
        <v>17</v>
      </c>
      <c r="H659" t="s">
        <v>18</v>
      </c>
      <c r="I659" s="8">
        <v>14528129.8693</v>
      </c>
      <c r="J659" s="8">
        <v>8429328.6493338495</v>
      </c>
      <c r="K659" s="8">
        <f>I659/1000000</f>
        <v>14.528129869300001</v>
      </c>
      <c r="L659" s="8">
        <f>J659/1000000</f>
        <v>8.4293286493338488</v>
      </c>
      <c r="M659" t="s">
        <v>39</v>
      </c>
    </row>
    <row r="660" spans="2:13" x14ac:dyDescent="0.25">
      <c r="B660" t="s">
        <v>13</v>
      </c>
      <c r="C660" t="s">
        <v>14</v>
      </c>
      <c r="D660" t="s">
        <v>74</v>
      </c>
      <c r="E660">
        <v>2029</v>
      </c>
      <c r="F660" t="s">
        <v>51</v>
      </c>
      <c r="G660" t="s">
        <v>17</v>
      </c>
      <c r="H660" t="s">
        <v>18</v>
      </c>
      <c r="I660" s="8">
        <v>9680377.0798000004</v>
      </c>
      <c r="J660" s="8">
        <v>5741454.36995978</v>
      </c>
      <c r="K660" s="8">
        <f>I660/1000000</f>
        <v>9.6803770798000013</v>
      </c>
      <c r="L660" s="8">
        <f>J660/1000000</f>
        <v>5.7414543699597802</v>
      </c>
      <c r="M660" t="s">
        <v>39</v>
      </c>
    </row>
    <row r="661" spans="2:13" x14ac:dyDescent="0.25">
      <c r="B661" t="s">
        <v>13</v>
      </c>
      <c r="C661" t="s">
        <v>14</v>
      </c>
      <c r="D661" t="s">
        <v>74</v>
      </c>
      <c r="E661">
        <v>2030</v>
      </c>
      <c r="F661" t="s">
        <v>51</v>
      </c>
      <c r="G661" t="s">
        <v>17</v>
      </c>
      <c r="H661" t="s">
        <v>18</v>
      </c>
      <c r="I661" s="8">
        <v>8137751.8326000003</v>
      </c>
      <c r="J661" s="8">
        <v>4872064.5181160597</v>
      </c>
      <c r="K661" s="8">
        <f>I661/1000000</f>
        <v>8.1377518326000011</v>
      </c>
      <c r="L661" s="8">
        <f>J661/1000000</f>
        <v>4.8720645181160593</v>
      </c>
      <c r="M661" t="s">
        <v>39</v>
      </c>
    </row>
    <row r="662" spans="2:13" x14ac:dyDescent="0.25">
      <c r="B662" t="s">
        <v>13</v>
      </c>
      <c r="C662" t="s">
        <v>14</v>
      </c>
      <c r="D662" t="s">
        <v>52</v>
      </c>
      <c r="E662">
        <v>2028</v>
      </c>
      <c r="F662" t="s">
        <v>51</v>
      </c>
      <c r="G662" t="s">
        <v>17</v>
      </c>
      <c r="H662" t="s">
        <v>18</v>
      </c>
      <c r="I662" s="8">
        <v>39886556.1567</v>
      </c>
      <c r="J662" s="8">
        <v>36118699.194375001</v>
      </c>
      <c r="K662" s="8">
        <f>I662/1000000</f>
        <v>39.886556156700003</v>
      </c>
      <c r="L662" s="8">
        <f>J662/1000000</f>
        <v>36.118699194375004</v>
      </c>
      <c r="M662" t="s">
        <v>19</v>
      </c>
    </row>
    <row r="663" spans="2:13" x14ac:dyDescent="0.25">
      <c r="B663" t="s">
        <v>13</v>
      </c>
      <c r="C663" t="s">
        <v>46</v>
      </c>
      <c r="D663" t="s">
        <v>69</v>
      </c>
      <c r="E663">
        <v>2028</v>
      </c>
      <c r="F663" t="s">
        <v>87</v>
      </c>
      <c r="G663" t="s">
        <v>17</v>
      </c>
      <c r="H663" t="s">
        <v>18</v>
      </c>
      <c r="I663" s="8">
        <v>493909.99349999998</v>
      </c>
      <c r="J663" s="8">
        <v>188278.94703970299</v>
      </c>
      <c r="K663" s="8">
        <f>I663/1000000</f>
        <v>0.49390999349999998</v>
      </c>
      <c r="L663" s="8">
        <f>J663/1000000</f>
        <v>0.18827894703970299</v>
      </c>
      <c r="M663" t="s">
        <v>19</v>
      </c>
    </row>
    <row r="664" spans="2:13" x14ac:dyDescent="0.25">
      <c r="B664" t="s">
        <v>13</v>
      </c>
      <c r="C664" t="s">
        <v>46</v>
      </c>
      <c r="D664" t="s">
        <v>69</v>
      </c>
      <c r="E664">
        <v>2029</v>
      </c>
      <c r="F664" t="s">
        <v>87</v>
      </c>
      <c r="G664" t="s">
        <v>17</v>
      </c>
      <c r="H664" t="s">
        <v>18</v>
      </c>
      <c r="I664" s="8">
        <v>383597.37310000003</v>
      </c>
      <c r="J664" s="8">
        <v>167589.659466952</v>
      </c>
      <c r="K664" s="8">
        <f>I664/1000000</f>
        <v>0.38359737310000003</v>
      </c>
      <c r="L664" s="8">
        <f>J664/1000000</f>
        <v>0.16758965946695201</v>
      </c>
      <c r="M664" t="s">
        <v>19</v>
      </c>
    </row>
    <row r="665" spans="2:13" x14ac:dyDescent="0.25">
      <c r="B665" t="s">
        <v>13</v>
      </c>
      <c r="C665" t="s">
        <v>46</v>
      </c>
      <c r="D665" t="s">
        <v>69</v>
      </c>
      <c r="E665">
        <v>2030</v>
      </c>
      <c r="F665" t="s">
        <v>87</v>
      </c>
      <c r="G665" t="s">
        <v>17</v>
      </c>
      <c r="H665" t="s">
        <v>18</v>
      </c>
      <c r="I665" s="8">
        <v>389555.73719999997</v>
      </c>
      <c r="J665" s="8">
        <v>169796.54583447901</v>
      </c>
      <c r="K665" s="8">
        <f>I665/1000000</f>
        <v>0.38955573719999997</v>
      </c>
      <c r="L665" s="8">
        <f>J665/1000000</f>
        <v>0.16979654583447901</v>
      </c>
      <c r="M665" t="s">
        <v>19</v>
      </c>
    </row>
    <row r="666" spans="2:13" x14ac:dyDescent="0.25">
      <c r="B666" t="s">
        <v>13</v>
      </c>
      <c r="C666" t="s">
        <v>46</v>
      </c>
      <c r="D666" t="s">
        <v>73</v>
      </c>
      <c r="E666">
        <v>2026</v>
      </c>
      <c r="F666" t="s">
        <v>87</v>
      </c>
      <c r="G666" t="s">
        <v>17</v>
      </c>
      <c r="H666" t="s">
        <v>18</v>
      </c>
      <c r="I666" s="8">
        <v>130676.98119999999</v>
      </c>
      <c r="J666" s="8">
        <v>136800</v>
      </c>
      <c r="K666" s="8">
        <f>I666/1000000</f>
        <v>0.13067698119999999</v>
      </c>
      <c r="L666" s="8">
        <f>J666/1000000</f>
        <v>0.1368</v>
      </c>
      <c r="M666" t="s">
        <v>19</v>
      </c>
    </row>
    <row r="667" spans="2:13" x14ac:dyDescent="0.25">
      <c r="B667" t="s">
        <v>13</v>
      </c>
      <c r="C667" t="s">
        <v>46</v>
      </c>
      <c r="D667" t="s">
        <v>73</v>
      </c>
      <c r="E667">
        <v>2027</v>
      </c>
      <c r="F667" t="s">
        <v>87</v>
      </c>
      <c r="G667" t="s">
        <v>17</v>
      </c>
      <c r="H667" t="s">
        <v>18</v>
      </c>
      <c r="I667" s="8">
        <v>65789.6973</v>
      </c>
      <c r="J667" s="8">
        <v>69081.458049466804</v>
      </c>
      <c r="K667" s="8">
        <f>I667/1000000</f>
        <v>6.5789697300000005E-2</v>
      </c>
      <c r="L667" s="8">
        <f>J667/1000000</f>
        <v>6.9081458049466804E-2</v>
      </c>
      <c r="M667" t="s">
        <v>19</v>
      </c>
    </row>
    <row r="668" spans="2:13" x14ac:dyDescent="0.25">
      <c r="B668" t="s">
        <v>13</v>
      </c>
      <c r="C668" t="s">
        <v>46</v>
      </c>
      <c r="D668" t="s">
        <v>70</v>
      </c>
      <c r="E668">
        <v>2026</v>
      </c>
      <c r="F668" t="s">
        <v>87</v>
      </c>
      <c r="G668" t="s">
        <v>17</v>
      </c>
      <c r="H668" t="s">
        <v>18</v>
      </c>
      <c r="I668" s="8">
        <v>321362.3088</v>
      </c>
      <c r="J668" s="8">
        <v>186200</v>
      </c>
      <c r="K668" s="8">
        <f>I668/1000000</f>
        <v>0.3213623088</v>
      </c>
      <c r="L668" s="8">
        <f>J668/1000000</f>
        <v>0.1862</v>
      </c>
      <c r="M668" t="s">
        <v>19</v>
      </c>
    </row>
    <row r="669" spans="2:13" x14ac:dyDescent="0.25">
      <c r="B669" t="s">
        <v>13</v>
      </c>
      <c r="C669" t="s">
        <v>46</v>
      </c>
      <c r="D669" t="s">
        <v>70</v>
      </c>
      <c r="E669">
        <v>2027</v>
      </c>
      <c r="F669" t="s">
        <v>87</v>
      </c>
      <c r="G669" t="s">
        <v>17</v>
      </c>
      <c r="H669" t="s">
        <v>18</v>
      </c>
      <c r="I669" s="8">
        <v>129757.3976</v>
      </c>
      <c r="J669" s="8">
        <v>92885.861810824004</v>
      </c>
      <c r="K669" s="8">
        <f>I669/1000000</f>
        <v>0.12975739759999999</v>
      </c>
      <c r="L669" s="8">
        <f>J669/1000000</f>
        <v>9.2885861810824005E-2</v>
      </c>
      <c r="M669" t="s">
        <v>19</v>
      </c>
    </row>
    <row r="670" spans="2:13" x14ac:dyDescent="0.25">
      <c r="B670" t="s">
        <v>13</v>
      </c>
      <c r="C670" t="s">
        <v>46</v>
      </c>
      <c r="D670" t="s">
        <v>38</v>
      </c>
      <c r="E670">
        <v>2026</v>
      </c>
      <c r="F670" t="s">
        <v>87</v>
      </c>
      <c r="G670" t="s">
        <v>17</v>
      </c>
      <c r="H670" t="s">
        <v>18</v>
      </c>
      <c r="I670" s="8">
        <v>50457.709900000002</v>
      </c>
      <c r="J670" s="8">
        <v>59000</v>
      </c>
      <c r="K670" s="8">
        <f>I670/1000000</f>
        <v>5.0457709900000002E-2</v>
      </c>
      <c r="L670" s="8">
        <f>J670/1000000</f>
        <v>5.8999999999999997E-2</v>
      </c>
      <c r="M670" t="s">
        <v>39</v>
      </c>
    </row>
    <row r="671" spans="2:13" x14ac:dyDescent="0.25">
      <c r="B671" t="s">
        <v>13</v>
      </c>
      <c r="C671" t="s">
        <v>46</v>
      </c>
      <c r="D671" t="s">
        <v>38</v>
      </c>
      <c r="E671">
        <v>2027</v>
      </c>
      <c r="F671" t="s">
        <v>87</v>
      </c>
      <c r="G671" t="s">
        <v>17</v>
      </c>
      <c r="H671" t="s">
        <v>18</v>
      </c>
      <c r="I671" s="8">
        <v>72737.116399999999</v>
      </c>
      <c r="J671" s="8">
        <v>81610.7970657814</v>
      </c>
      <c r="K671" s="8">
        <f>I671/1000000</f>
        <v>7.2737116399999996E-2</v>
      </c>
      <c r="L671" s="8">
        <f>J671/1000000</f>
        <v>8.1610797065781407E-2</v>
      </c>
      <c r="M671" t="s">
        <v>39</v>
      </c>
    </row>
    <row r="672" spans="2:13" x14ac:dyDescent="0.25">
      <c r="B672" t="s">
        <v>13</v>
      </c>
      <c r="C672" t="s">
        <v>46</v>
      </c>
      <c r="D672" t="s">
        <v>38</v>
      </c>
      <c r="E672">
        <v>2028</v>
      </c>
      <c r="F672" t="s">
        <v>87</v>
      </c>
      <c r="G672" t="s">
        <v>17</v>
      </c>
      <c r="H672" t="s">
        <v>18</v>
      </c>
      <c r="I672" s="8">
        <v>80521.242299999998</v>
      </c>
      <c r="J672" s="8">
        <v>83684.458349501103</v>
      </c>
      <c r="K672" s="8">
        <f>I672/1000000</f>
        <v>8.0521242300000004E-2</v>
      </c>
      <c r="L672" s="8">
        <f>J672/1000000</f>
        <v>8.3684458349501098E-2</v>
      </c>
      <c r="M672" t="s">
        <v>39</v>
      </c>
    </row>
    <row r="673" spans="2:13" x14ac:dyDescent="0.25">
      <c r="B673" t="s">
        <v>13</v>
      </c>
      <c r="C673" t="s">
        <v>46</v>
      </c>
      <c r="D673" t="s">
        <v>38</v>
      </c>
      <c r="E673">
        <v>2029</v>
      </c>
      <c r="F673" t="s">
        <v>87</v>
      </c>
      <c r="G673" t="s">
        <v>17</v>
      </c>
      <c r="H673" t="s">
        <v>18</v>
      </c>
      <c r="I673" s="8">
        <v>94719.493900000001</v>
      </c>
      <c r="J673" s="8">
        <v>86810.892394724098</v>
      </c>
      <c r="K673" s="8">
        <f>I673/1000000</f>
        <v>9.4719493900000007E-2</v>
      </c>
      <c r="L673" s="8">
        <f>J673/1000000</f>
        <v>8.6810892394724101E-2</v>
      </c>
      <c r="M673" t="s">
        <v>39</v>
      </c>
    </row>
    <row r="674" spans="2:13" x14ac:dyDescent="0.25">
      <c r="B674" t="s">
        <v>13</v>
      </c>
      <c r="C674" t="s">
        <v>46</v>
      </c>
      <c r="D674" t="s">
        <v>38</v>
      </c>
      <c r="E674">
        <v>2030</v>
      </c>
      <c r="F674" t="s">
        <v>87</v>
      </c>
      <c r="G674" t="s">
        <v>17</v>
      </c>
      <c r="H674" t="s">
        <v>18</v>
      </c>
      <c r="I674" s="8">
        <v>94888.832500000004</v>
      </c>
      <c r="J674" s="8">
        <v>86966.092068005804</v>
      </c>
      <c r="K674" s="8">
        <f>I674/1000000</f>
        <v>9.4888832500000006E-2</v>
      </c>
      <c r="L674" s="8">
        <f>J674/1000000</f>
        <v>8.6966092068005804E-2</v>
      </c>
      <c r="M674" t="s">
        <v>39</v>
      </c>
    </row>
    <row r="675" spans="2:13" x14ac:dyDescent="0.25">
      <c r="B675" t="s">
        <v>13</v>
      </c>
      <c r="C675" t="s">
        <v>46</v>
      </c>
      <c r="D675" t="s">
        <v>15</v>
      </c>
      <c r="E675">
        <v>2026</v>
      </c>
      <c r="F675" t="s">
        <v>87</v>
      </c>
      <c r="G675" t="s">
        <v>17</v>
      </c>
      <c r="H675" t="s">
        <v>18</v>
      </c>
      <c r="I675" s="8">
        <v>142741.61120000001</v>
      </c>
      <c r="J675" s="8">
        <v>30860</v>
      </c>
      <c r="K675" s="8">
        <f>I675/1000000</f>
        <v>0.14274161120000001</v>
      </c>
      <c r="L675" s="8">
        <f>J675/1000000</f>
        <v>3.0859999999999999E-2</v>
      </c>
      <c r="M675" t="s">
        <v>19</v>
      </c>
    </row>
    <row r="676" spans="2:13" x14ac:dyDescent="0.25">
      <c r="B676" t="s">
        <v>13</v>
      </c>
      <c r="C676" t="s">
        <v>46</v>
      </c>
      <c r="D676" t="s">
        <v>15</v>
      </c>
      <c r="E676">
        <v>2027</v>
      </c>
      <c r="F676" t="s">
        <v>87</v>
      </c>
      <c r="G676" t="s">
        <v>17</v>
      </c>
      <c r="H676" t="s">
        <v>18</v>
      </c>
      <c r="I676" s="8">
        <v>94956.421300000002</v>
      </c>
      <c r="J676" s="8">
        <v>20528.895833333299</v>
      </c>
      <c r="K676" s="8">
        <f>I676/1000000</f>
        <v>9.4956421299999996E-2</v>
      </c>
      <c r="L676" s="8">
        <f>J676/1000000</f>
        <v>2.05288958333333E-2</v>
      </c>
      <c r="M676" t="s">
        <v>19</v>
      </c>
    </row>
    <row r="677" spans="2:13" x14ac:dyDescent="0.25">
      <c r="B677" t="s">
        <v>13</v>
      </c>
      <c r="C677" t="s">
        <v>46</v>
      </c>
      <c r="D677" t="s">
        <v>15</v>
      </c>
      <c r="E677">
        <v>2029</v>
      </c>
      <c r="F677" t="s">
        <v>87</v>
      </c>
      <c r="G677" t="s">
        <v>17</v>
      </c>
      <c r="H677" t="s">
        <v>18</v>
      </c>
      <c r="I677" s="8">
        <v>88034.419299999994</v>
      </c>
      <c r="J677" s="8">
        <v>29270.431250000001</v>
      </c>
      <c r="K677" s="8">
        <f>I677/1000000</f>
        <v>8.80344193E-2</v>
      </c>
      <c r="L677" s="8">
        <f>J677/1000000</f>
        <v>2.9270431250000003E-2</v>
      </c>
      <c r="M677" t="s">
        <v>19</v>
      </c>
    </row>
    <row r="678" spans="2:13" x14ac:dyDescent="0.25">
      <c r="B678" t="s">
        <v>13</v>
      </c>
      <c r="C678" t="s">
        <v>46</v>
      </c>
      <c r="D678" t="s">
        <v>15</v>
      </c>
      <c r="E678">
        <v>2030</v>
      </c>
      <c r="F678" t="s">
        <v>87</v>
      </c>
      <c r="G678" t="s">
        <v>17</v>
      </c>
      <c r="H678" t="s">
        <v>18</v>
      </c>
      <c r="I678" s="8">
        <v>102219.7975</v>
      </c>
      <c r="J678" s="8">
        <v>33986.90625</v>
      </c>
      <c r="K678" s="8">
        <f>I678/1000000</f>
        <v>0.1022197975</v>
      </c>
      <c r="L678" s="8">
        <f>J678/1000000</f>
        <v>3.3986906249999997E-2</v>
      </c>
      <c r="M678" t="s">
        <v>19</v>
      </c>
    </row>
    <row r="679" spans="2:13" x14ac:dyDescent="0.25">
      <c r="B679" t="s">
        <v>13</v>
      </c>
      <c r="C679" t="s">
        <v>46</v>
      </c>
      <c r="D679" t="s">
        <v>100</v>
      </c>
      <c r="E679">
        <v>2026</v>
      </c>
      <c r="F679" t="s">
        <v>87</v>
      </c>
      <c r="G679" t="s">
        <v>17</v>
      </c>
      <c r="H679" t="s">
        <v>18</v>
      </c>
      <c r="I679" s="8">
        <v>258693.68950000001</v>
      </c>
      <c r="J679" s="8">
        <v>121500</v>
      </c>
      <c r="K679" s="8">
        <f>I679/1000000</f>
        <v>0.25869368949999999</v>
      </c>
      <c r="L679" s="8">
        <f>J679/1000000</f>
        <v>0.1215</v>
      </c>
      <c r="M679" t="s">
        <v>19</v>
      </c>
    </row>
    <row r="680" spans="2:13" x14ac:dyDescent="0.25">
      <c r="B680" t="s">
        <v>13</v>
      </c>
      <c r="C680" t="s">
        <v>46</v>
      </c>
      <c r="D680" t="s">
        <v>100</v>
      </c>
      <c r="E680">
        <v>2029</v>
      </c>
      <c r="F680" t="s">
        <v>87</v>
      </c>
      <c r="G680" t="s">
        <v>17</v>
      </c>
      <c r="H680" t="s">
        <v>18</v>
      </c>
      <c r="I680" s="8">
        <v>284458.56929999997</v>
      </c>
      <c r="J680" s="8">
        <v>125390.06584761701</v>
      </c>
      <c r="K680" s="8">
        <f>I680/1000000</f>
        <v>0.28445856929999996</v>
      </c>
      <c r="L680" s="8">
        <f>J680/1000000</f>
        <v>0.125390065847617</v>
      </c>
      <c r="M680" t="s">
        <v>19</v>
      </c>
    </row>
    <row r="681" spans="2:13" x14ac:dyDescent="0.25">
      <c r="B681" t="s">
        <v>13</v>
      </c>
      <c r="C681" t="s">
        <v>46</v>
      </c>
      <c r="D681" t="s">
        <v>100</v>
      </c>
      <c r="E681">
        <v>2030</v>
      </c>
      <c r="F681" t="s">
        <v>87</v>
      </c>
      <c r="G681" t="s">
        <v>17</v>
      </c>
      <c r="H681" t="s">
        <v>18</v>
      </c>
      <c r="I681" s="8">
        <v>284909.53970000002</v>
      </c>
      <c r="J681" s="8">
        <v>126705.900460153</v>
      </c>
      <c r="K681" s="8">
        <f>I681/1000000</f>
        <v>0.28490953970000005</v>
      </c>
      <c r="L681" s="8">
        <f>J681/1000000</f>
        <v>0.12670590046015301</v>
      </c>
      <c r="M681" t="s">
        <v>19</v>
      </c>
    </row>
    <row r="682" spans="2:13" x14ac:dyDescent="0.25">
      <c r="B682" t="s">
        <v>13</v>
      </c>
      <c r="C682" t="s">
        <v>46</v>
      </c>
      <c r="D682" t="s">
        <v>100</v>
      </c>
      <c r="E682">
        <v>2028</v>
      </c>
      <c r="F682" t="s">
        <v>87</v>
      </c>
      <c r="G682" t="s">
        <v>17</v>
      </c>
      <c r="H682" t="s">
        <v>18</v>
      </c>
      <c r="I682" s="8">
        <v>262365.47480000003</v>
      </c>
      <c r="J682" s="8">
        <v>123257.909519061</v>
      </c>
      <c r="K682" s="8">
        <f>I682/1000000</f>
        <v>0.2623654748</v>
      </c>
      <c r="L682" s="8">
        <f>J682/1000000</f>
        <v>0.123257909519061</v>
      </c>
      <c r="M682" t="s">
        <v>19</v>
      </c>
    </row>
    <row r="683" spans="2:13" x14ac:dyDescent="0.25">
      <c r="B683" t="s">
        <v>13</v>
      </c>
      <c r="C683" t="s">
        <v>46</v>
      </c>
      <c r="D683" t="s">
        <v>100</v>
      </c>
      <c r="E683">
        <v>2027</v>
      </c>
      <c r="F683" t="s">
        <v>87</v>
      </c>
      <c r="G683" t="s">
        <v>17</v>
      </c>
      <c r="H683" t="s">
        <v>18</v>
      </c>
      <c r="I683" s="8">
        <v>261264.84220000001</v>
      </c>
      <c r="J683" s="8">
        <v>121565.677912365</v>
      </c>
      <c r="K683" s="8">
        <f>I683/1000000</f>
        <v>0.26126484220000001</v>
      </c>
      <c r="L683" s="8">
        <f>J683/1000000</f>
        <v>0.121565677912365</v>
      </c>
      <c r="M683" t="s">
        <v>19</v>
      </c>
    </row>
    <row r="684" spans="2:13" x14ac:dyDescent="0.25">
      <c r="B684" t="s">
        <v>13</v>
      </c>
      <c r="C684" t="s">
        <v>46</v>
      </c>
      <c r="D684" t="s">
        <v>72</v>
      </c>
      <c r="E684">
        <v>2030</v>
      </c>
      <c r="F684" t="s">
        <v>87</v>
      </c>
      <c r="G684" t="s">
        <v>17</v>
      </c>
      <c r="H684" t="s">
        <v>18</v>
      </c>
      <c r="I684" s="8">
        <v>432055.7254</v>
      </c>
      <c r="J684" s="8">
        <v>200836.20659706899</v>
      </c>
      <c r="K684" s="8">
        <f>I684/1000000</f>
        <v>0.43205572539999998</v>
      </c>
      <c r="L684" s="8">
        <f>J684/1000000</f>
        <v>0.20083620659706899</v>
      </c>
      <c r="M684" t="s">
        <v>19</v>
      </c>
    </row>
    <row r="685" spans="2:13" x14ac:dyDescent="0.25">
      <c r="B685" t="s">
        <v>13</v>
      </c>
      <c r="C685" t="s">
        <v>46</v>
      </c>
      <c r="D685" t="s">
        <v>72</v>
      </c>
      <c r="E685">
        <v>2026</v>
      </c>
      <c r="F685" t="s">
        <v>87</v>
      </c>
      <c r="G685" t="s">
        <v>17</v>
      </c>
      <c r="H685" t="s">
        <v>18</v>
      </c>
      <c r="I685" s="8">
        <v>542436.68550000002</v>
      </c>
      <c r="J685" s="8">
        <v>190000</v>
      </c>
      <c r="K685" s="8">
        <f>I685/1000000</f>
        <v>0.54243668550000002</v>
      </c>
      <c r="L685" s="8">
        <f>J685/1000000</f>
        <v>0.19</v>
      </c>
      <c r="M685" t="s">
        <v>19</v>
      </c>
    </row>
    <row r="686" spans="2:13" x14ac:dyDescent="0.25">
      <c r="B686" t="s">
        <v>13</v>
      </c>
      <c r="C686" t="s">
        <v>46</v>
      </c>
      <c r="D686" t="s">
        <v>72</v>
      </c>
      <c r="E686">
        <v>2027</v>
      </c>
      <c r="F686" t="s">
        <v>87</v>
      </c>
      <c r="G686" t="s">
        <v>17</v>
      </c>
      <c r="H686" t="s">
        <v>18</v>
      </c>
      <c r="I686" s="8">
        <v>471115.52250000002</v>
      </c>
      <c r="J686" s="8">
        <v>191901.62158514399</v>
      </c>
      <c r="K686" s="8">
        <f>I686/1000000</f>
        <v>0.47111552249999999</v>
      </c>
      <c r="L686" s="8">
        <f>J686/1000000</f>
        <v>0.19190162158514398</v>
      </c>
      <c r="M686" t="s">
        <v>19</v>
      </c>
    </row>
    <row r="687" spans="2:13" x14ac:dyDescent="0.25">
      <c r="B687" t="s">
        <v>13</v>
      </c>
      <c r="C687" t="s">
        <v>46</v>
      </c>
      <c r="D687" t="s">
        <v>72</v>
      </c>
      <c r="E687">
        <v>2028</v>
      </c>
      <c r="F687" t="s">
        <v>87</v>
      </c>
      <c r="G687" t="s">
        <v>17</v>
      </c>
      <c r="H687" t="s">
        <v>18</v>
      </c>
      <c r="I687" s="8">
        <v>475174.43780000001</v>
      </c>
      <c r="J687" s="8">
        <v>194603.09856573201</v>
      </c>
      <c r="K687" s="8">
        <f>I687/1000000</f>
        <v>0.47517443780000002</v>
      </c>
      <c r="L687" s="8">
        <f>J687/1000000</f>
        <v>0.19460309856573202</v>
      </c>
      <c r="M687" t="s">
        <v>19</v>
      </c>
    </row>
    <row r="688" spans="2:13" x14ac:dyDescent="0.25">
      <c r="B688" t="s">
        <v>13</v>
      </c>
      <c r="C688" t="s">
        <v>46</v>
      </c>
      <c r="D688" t="s">
        <v>76</v>
      </c>
      <c r="E688">
        <v>2027</v>
      </c>
      <c r="F688" t="s">
        <v>87</v>
      </c>
      <c r="G688" t="s">
        <v>17</v>
      </c>
      <c r="H688" t="s">
        <v>18</v>
      </c>
      <c r="I688" s="8">
        <v>533062.28619999997</v>
      </c>
      <c r="J688" s="8">
        <v>163497.158747893</v>
      </c>
      <c r="K688" s="8">
        <f>I688/1000000</f>
        <v>0.53306228619999996</v>
      </c>
      <c r="L688" s="8">
        <f>J688/1000000</f>
        <v>0.163497158747893</v>
      </c>
      <c r="M688" t="s">
        <v>39</v>
      </c>
    </row>
    <row r="689" spans="2:13" x14ac:dyDescent="0.25">
      <c r="B689" t="s">
        <v>13</v>
      </c>
      <c r="C689" t="s">
        <v>46</v>
      </c>
      <c r="D689" t="s">
        <v>76</v>
      </c>
      <c r="E689">
        <v>2028</v>
      </c>
      <c r="F689" t="s">
        <v>87</v>
      </c>
      <c r="G689" t="s">
        <v>17</v>
      </c>
      <c r="H689" t="s">
        <v>18</v>
      </c>
      <c r="I689" s="8">
        <v>426542.8653</v>
      </c>
      <c r="J689" s="8">
        <v>132651.020521439</v>
      </c>
      <c r="K689" s="8">
        <f>I689/1000000</f>
        <v>0.42654286530000002</v>
      </c>
      <c r="L689" s="8">
        <f>J689/1000000</f>
        <v>0.13265102052143901</v>
      </c>
      <c r="M689" t="s">
        <v>39</v>
      </c>
    </row>
    <row r="690" spans="2:13" x14ac:dyDescent="0.25">
      <c r="B690" t="s">
        <v>13</v>
      </c>
      <c r="C690" t="s">
        <v>46</v>
      </c>
      <c r="D690" t="s">
        <v>76</v>
      </c>
      <c r="E690">
        <v>2029</v>
      </c>
      <c r="F690" t="s">
        <v>87</v>
      </c>
      <c r="G690" t="s">
        <v>17</v>
      </c>
      <c r="H690" t="s">
        <v>18</v>
      </c>
      <c r="I690" s="8">
        <v>434257.25670000003</v>
      </c>
      <c r="J690" s="8">
        <v>135050.12733475401</v>
      </c>
      <c r="K690" s="8">
        <f>I690/1000000</f>
        <v>0.43425725670000004</v>
      </c>
      <c r="L690" s="8">
        <f>J690/1000000</f>
        <v>0.13505012733475402</v>
      </c>
      <c r="M690" t="s">
        <v>39</v>
      </c>
    </row>
    <row r="691" spans="2:13" x14ac:dyDescent="0.25">
      <c r="B691" t="s">
        <v>13</v>
      </c>
      <c r="C691" t="s">
        <v>46</v>
      </c>
      <c r="D691" t="s">
        <v>76</v>
      </c>
      <c r="E691">
        <v>2030</v>
      </c>
      <c r="F691" t="s">
        <v>87</v>
      </c>
      <c r="G691" t="s">
        <v>17</v>
      </c>
      <c r="H691" t="s">
        <v>18</v>
      </c>
      <c r="I691" s="8">
        <v>440518.48220000003</v>
      </c>
      <c r="J691" s="8">
        <v>136997.31253731099</v>
      </c>
      <c r="K691" s="8">
        <f>I691/1000000</f>
        <v>0.44051848220000001</v>
      </c>
      <c r="L691" s="8">
        <f>J691/1000000</f>
        <v>0.13699731253731098</v>
      </c>
      <c r="M691" t="s">
        <v>39</v>
      </c>
    </row>
    <row r="692" spans="2:13" x14ac:dyDescent="0.25">
      <c r="B692" t="s">
        <v>13</v>
      </c>
      <c r="C692" t="s">
        <v>46</v>
      </c>
      <c r="D692" t="s">
        <v>76</v>
      </c>
      <c r="E692">
        <v>2026</v>
      </c>
      <c r="F692" t="s">
        <v>87</v>
      </c>
      <c r="G692" t="s">
        <v>17</v>
      </c>
      <c r="H692" t="s">
        <v>18</v>
      </c>
      <c r="I692" s="8">
        <v>531648</v>
      </c>
      <c r="J692" s="8">
        <v>128000</v>
      </c>
      <c r="K692" s="8">
        <f>I692/1000000</f>
        <v>0.53164800000000001</v>
      </c>
      <c r="L692" s="8">
        <f>J692/1000000</f>
        <v>0.128</v>
      </c>
      <c r="M692" t="s">
        <v>39</v>
      </c>
    </row>
    <row r="693" spans="2:13" x14ac:dyDescent="0.25">
      <c r="B693" t="s">
        <v>13</v>
      </c>
      <c r="C693" t="s">
        <v>46</v>
      </c>
      <c r="D693" t="s">
        <v>69</v>
      </c>
      <c r="E693">
        <v>2027</v>
      </c>
      <c r="F693" t="s">
        <v>87</v>
      </c>
      <c r="G693" t="s">
        <v>17</v>
      </c>
      <c r="H693" t="s">
        <v>18</v>
      </c>
      <c r="I693" s="8">
        <v>247831.35130000001</v>
      </c>
      <c r="J693" s="8">
        <v>83308.936790485197</v>
      </c>
      <c r="K693" s="8">
        <f>I693/1000000</f>
        <v>0.2478313513</v>
      </c>
      <c r="L693" s="8">
        <f>J693/1000000</f>
        <v>8.3308936790485191E-2</v>
      </c>
      <c r="M693" t="s">
        <v>19</v>
      </c>
    </row>
    <row r="694" spans="2:13" x14ac:dyDescent="0.25">
      <c r="B694" t="s">
        <v>13</v>
      </c>
      <c r="C694" t="s">
        <v>46</v>
      </c>
      <c r="D694" t="s">
        <v>72</v>
      </c>
      <c r="E694">
        <v>2029</v>
      </c>
      <c r="F694" t="s">
        <v>87</v>
      </c>
      <c r="G694" t="s">
        <v>17</v>
      </c>
      <c r="H694" t="s">
        <v>18</v>
      </c>
      <c r="I694" s="8">
        <v>428116.73180000001</v>
      </c>
      <c r="J694" s="8">
        <v>199005.21006617</v>
      </c>
      <c r="K694" s="8">
        <f>I694/1000000</f>
        <v>0.42811673179999998</v>
      </c>
      <c r="L694" s="8">
        <f>J694/1000000</f>
        <v>0.19900521006617</v>
      </c>
      <c r="M694" t="s">
        <v>19</v>
      </c>
    </row>
    <row r="695" spans="2:13" x14ac:dyDescent="0.25">
      <c r="B695" t="s">
        <v>13</v>
      </c>
      <c r="C695" t="s">
        <v>46</v>
      </c>
      <c r="D695" t="s">
        <v>15</v>
      </c>
      <c r="E695">
        <v>2028</v>
      </c>
      <c r="F695" t="s">
        <v>87</v>
      </c>
      <c r="G695" t="s">
        <v>17</v>
      </c>
      <c r="H695" t="s">
        <v>18</v>
      </c>
      <c r="I695" s="8">
        <v>74103.241599999994</v>
      </c>
      <c r="J695" s="8">
        <v>24638.474999999999</v>
      </c>
      <c r="K695" s="8">
        <f>I695/1000000</f>
        <v>7.4103241599999994E-2</v>
      </c>
      <c r="L695" s="8">
        <f>J695/1000000</f>
        <v>2.4638475E-2</v>
      </c>
      <c r="M695" t="s">
        <v>19</v>
      </c>
    </row>
    <row r="696" spans="2:13" x14ac:dyDescent="0.25">
      <c r="B696" t="s">
        <v>13</v>
      </c>
      <c r="C696" t="s">
        <v>46</v>
      </c>
      <c r="D696" t="s">
        <v>108</v>
      </c>
      <c r="E696">
        <v>2029</v>
      </c>
      <c r="F696" t="s">
        <v>87</v>
      </c>
      <c r="G696" t="s">
        <v>17</v>
      </c>
      <c r="H696" t="s">
        <v>18</v>
      </c>
      <c r="I696" s="8">
        <v>247594.1341</v>
      </c>
      <c r="J696" s="8">
        <v>66542.5857939532</v>
      </c>
      <c r="K696" s="8">
        <f>I696/1000000</f>
        <v>0.2475941341</v>
      </c>
      <c r="L696" s="8">
        <f>J696/1000000</f>
        <v>6.6542585793953196E-2</v>
      </c>
      <c r="M696" t="s">
        <v>39</v>
      </c>
    </row>
    <row r="697" spans="2:13" x14ac:dyDescent="0.25">
      <c r="B697" t="s">
        <v>13</v>
      </c>
      <c r="C697" t="s">
        <v>14</v>
      </c>
      <c r="D697" t="s">
        <v>52</v>
      </c>
      <c r="E697">
        <v>2029</v>
      </c>
      <c r="F697" t="s">
        <v>87</v>
      </c>
      <c r="G697" t="s">
        <v>17</v>
      </c>
      <c r="H697" t="s">
        <v>18</v>
      </c>
      <c r="I697" s="8">
        <v>432341.53840000002</v>
      </c>
      <c r="J697" s="8">
        <v>374072.70656249998</v>
      </c>
      <c r="K697" s="8">
        <f>I697/1000000</f>
        <v>0.4323415384</v>
      </c>
      <c r="L697" s="8">
        <f>J697/1000000</f>
        <v>0.37407270656249997</v>
      </c>
      <c r="M697" t="s">
        <v>19</v>
      </c>
    </row>
    <row r="698" spans="2:13" x14ac:dyDescent="0.25">
      <c r="B698" t="s">
        <v>13</v>
      </c>
      <c r="C698" t="s">
        <v>46</v>
      </c>
      <c r="D698" t="s">
        <v>108</v>
      </c>
      <c r="E698">
        <v>2030</v>
      </c>
      <c r="F698" t="s">
        <v>87</v>
      </c>
      <c r="G698" t="s">
        <v>17</v>
      </c>
      <c r="H698" t="s">
        <v>18</v>
      </c>
      <c r="I698" s="8">
        <v>264412.32870000001</v>
      </c>
      <c r="J698" s="8">
        <v>71062.588494698401</v>
      </c>
      <c r="K698" s="8">
        <f>I698/1000000</f>
        <v>0.26441232870000003</v>
      </c>
      <c r="L698" s="8">
        <f>J698/1000000</f>
        <v>7.1062588494698403E-2</v>
      </c>
      <c r="M698" t="s">
        <v>39</v>
      </c>
    </row>
    <row r="699" spans="2:13" x14ac:dyDescent="0.25">
      <c r="B699" t="s">
        <v>13</v>
      </c>
      <c r="C699" t="s">
        <v>46</v>
      </c>
      <c r="D699" t="s">
        <v>76</v>
      </c>
      <c r="E699">
        <v>2029</v>
      </c>
      <c r="F699" t="s">
        <v>77</v>
      </c>
      <c r="G699" t="s">
        <v>17</v>
      </c>
      <c r="H699" t="s">
        <v>18</v>
      </c>
      <c r="I699" s="8">
        <v>840599.06909999996</v>
      </c>
      <c r="J699" s="8">
        <v>263592.97517584998</v>
      </c>
      <c r="K699" s="8">
        <f>I699/1000000</f>
        <v>0.84059906909999993</v>
      </c>
      <c r="L699" s="8">
        <f>J699/1000000</f>
        <v>0.26359297517584995</v>
      </c>
      <c r="M699" t="s">
        <v>39</v>
      </c>
    </row>
    <row r="700" spans="2:13" x14ac:dyDescent="0.25">
      <c r="B700" t="s">
        <v>13</v>
      </c>
      <c r="C700" t="s">
        <v>46</v>
      </c>
      <c r="D700" t="s">
        <v>76</v>
      </c>
      <c r="E700">
        <v>2026</v>
      </c>
      <c r="F700" t="s">
        <v>77</v>
      </c>
      <c r="G700" t="s">
        <v>17</v>
      </c>
      <c r="H700" t="s">
        <v>18</v>
      </c>
      <c r="I700" s="8">
        <v>4718292.3624</v>
      </c>
      <c r="J700" s="8">
        <v>1122600</v>
      </c>
      <c r="K700" s="8">
        <f>I700/1000000</f>
        <v>4.7182923623999997</v>
      </c>
      <c r="L700" s="8">
        <f>J700/1000000</f>
        <v>1.1226</v>
      </c>
      <c r="M700" t="s">
        <v>39</v>
      </c>
    </row>
    <row r="701" spans="2:13" x14ac:dyDescent="0.25">
      <c r="B701" t="s">
        <v>13</v>
      </c>
      <c r="C701" t="s">
        <v>46</v>
      </c>
      <c r="D701" t="s">
        <v>76</v>
      </c>
      <c r="E701">
        <v>2027</v>
      </c>
      <c r="F701" t="s">
        <v>77</v>
      </c>
      <c r="G701" t="s">
        <v>17</v>
      </c>
      <c r="H701" t="s">
        <v>18</v>
      </c>
      <c r="I701" s="8">
        <v>2808336.6301000002</v>
      </c>
      <c r="J701" s="8">
        <v>868417.861274241</v>
      </c>
      <c r="K701" s="8">
        <f>I701/1000000</f>
        <v>2.8083366301000003</v>
      </c>
      <c r="L701" s="8">
        <f>J701/1000000</f>
        <v>0.86841786127424103</v>
      </c>
      <c r="M701" t="s">
        <v>39</v>
      </c>
    </row>
    <row r="702" spans="2:13" x14ac:dyDescent="0.25">
      <c r="B702" t="s">
        <v>13</v>
      </c>
      <c r="C702" t="s">
        <v>46</v>
      </c>
      <c r="D702" t="s">
        <v>76</v>
      </c>
      <c r="E702">
        <v>2028</v>
      </c>
      <c r="F702" t="s">
        <v>77</v>
      </c>
      <c r="G702" t="s">
        <v>17</v>
      </c>
      <c r="H702" t="s">
        <v>18</v>
      </c>
      <c r="I702" s="8">
        <v>1765889.3669</v>
      </c>
      <c r="J702" s="8">
        <v>553743.21616631502</v>
      </c>
      <c r="K702" s="8">
        <f>I702/1000000</f>
        <v>1.7658893669</v>
      </c>
      <c r="L702" s="8">
        <f>J702/1000000</f>
        <v>0.55374321616631506</v>
      </c>
      <c r="M702" t="s">
        <v>39</v>
      </c>
    </row>
    <row r="703" spans="2:13" x14ac:dyDescent="0.25">
      <c r="B703" t="s">
        <v>13</v>
      </c>
      <c r="C703" t="s">
        <v>46</v>
      </c>
      <c r="D703" t="s">
        <v>74</v>
      </c>
      <c r="E703">
        <v>2026</v>
      </c>
      <c r="F703" t="s">
        <v>77</v>
      </c>
      <c r="G703" t="s">
        <v>17</v>
      </c>
      <c r="H703" t="s">
        <v>18</v>
      </c>
      <c r="I703" s="8">
        <v>1407495.9147999999</v>
      </c>
      <c r="J703" s="8">
        <v>833700</v>
      </c>
      <c r="K703" s="8">
        <f>I703/1000000</f>
        <v>1.4074959147999999</v>
      </c>
      <c r="L703" s="8">
        <f>J703/1000000</f>
        <v>0.8337</v>
      </c>
      <c r="M703" t="s">
        <v>19</v>
      </c>
    </row>
    <row r="704" spans="2:13" x14ac:dyDescent="0.25">
      <c r="B704" t="s">
        <v>13</v>
      </c>
      <c r="C704" t="s">
        <v>46</v>
      </c>
      <c r="D704" t="s">
        <v>74</v>
      </c>
      <c r="E704">
        <v>2027</v>
      </c>
      <c r="F704" t="s">
        <v>77</v>
      </c>
      <c r="G704" t="s">
        <v>17</v>
      </c>
      <c r="H704" t="s">
        <v>18</v>
      </c>
      <c r="I704" s="8">
        <v>660101.88670000003</v>
      </c>
      <c r="J704" s="8">
        <v>399027.37151249999</v>
      </c>
      <c r="K704" s="8">
        <f>I704/1000000</f>
        <v>0.66010188670000003</v>
      </c>
      <c r="L704" s="8">
        <f>J704/1000000</f>
        <v>0.39902737151250001</v>
      </c>
      <c r="M704" t="s">
        <v>19</v>
      </c>
    </row>
    <row r="705" spans="2:13" x14ac:dyDescent="0.25">
      <c r="B705" t="s">
        <v>13</v>
      </c>
      <c r="C705" t="s">
        <v>46</v>
      </c>
      <c r="D705" t="s">
        <v>74</v>
      </c>
      <c r="E705">
        <v>2028</v>
      </c>
      <c r="F705" t="s">
        <v>77</v>
      </c>
      <c r="G705" t="s">
        <v>17</v>
      </c>
      <c r="H705" t="s">
        <v>18</v>
      </c>
      <c r="I705" s="8">
        <v>410030.59149999998</v>
      </c>
      <c r="J705" s="8">
        <v>267396.75666000001</v>
      </c>
      <c r="K705" s="8">
        <f>I705/1000000</f>
        <v>0.41003059149999999</v>
      </c>
      <c r="L705" s="8">
        <f>J705/1000000</f>
        <v>0.26739675666000001</v>
      </c>
      <c r="M705" t="s">
        <v>19</v>
      </c>
    </row>
    <row r="706" spans="2:13" x14ac:dyDescent="0.25">
      <c r="B706" t="s">
        <v>13</v>
      </c>
      <c r="C706" t="s">
        <v>46</v>
      </c>
      <c r="D706" t="s">
        <v>74</v>
      </c>
      <c r="E706">
        <v>2029</v>
      </c>
      <c r="F706" t="s">
        <v>77</v>
      </c>
      <c r="G706" t="s">
        <v>17</v>
      </c>
      <c r="H706" t="s">
        <v>18</v>
      </c>
      <c r="I706" s="8">
        <v>201252.5778</v>
      </c>
      <c r="J706" s="8">
        <v>134650.01439</v>
      </c>
      <c r="K706" s="8">
        <f>I706/1000000</f>
        <v>0.2012525778</v>
      </c>
      <c r="L706" s="8">
        <f>J706/1000000</f>
        <v>0.13465001438999999</v>
      </c>
      <c r="M706" t="s">
        <v>19</v>
      </c>
    </row>
    <row r="707" spans="2:13" x14ac:dyDescent="0.25">
      <c r="B707" t="s">
        <v>13</v>
      </c>
      <c r="C707" t="s">
        <v>46</v>
      </c>
      <c r="D707" t="s">
        <v>73</v>
      </c>
      <c r="E707">
        <v>2026</v>
      </c>
      <c r="F707" t="s">
        <v>77</v>
      </c>
      <c r="G707" t="s">
        <v>17</v>
      </c>
      <c r="H707" t="s">
        <v>18</v>
      </c>
      <c r="I707" s="8">
        <v>1856941.3059</v>
      </c>
      <c r="J707" s="8">
        <v>1973400</v>
      </c>
      <c r="K707" s="8">
        <f>I707/1000000</f>
        <v>1.8569413058999999</v>
      </c>
      <c r="L707" s="8">
        <f>J707/1000000</f>
        <v>1.9734</v>
      </c>
      <c r="M707" t="s">
        <v>19</v>
      </c>
    </row>
    <row r="708" spans="2:13" x14ac:dyDescent="0.25">
      <c r="B708" t="s">
        <v>13</v>
      </c>
      <c r="C708" t="s">
        <v>46</v>
      </c>
      <c r="D708" t="s">
        <v>73</v>
      </c>
      <c r="E708">
        <v>2027</v>
      </c>
      <c r="F708" t="s">
        <v>77</v>
      </c>
      <c r="G708" t="s">
        <v>17</v>
      </c>
      <c r="H708" t="s">
        <v>18</v>
      </c>
      <c r="I708" s="8">
        <v>953023.40489999996</v>
      </c>
      <c r="J708" s="8">
        <v>1015959.12399222</v>
      </c>
      <c r="K708" s="8">
        <f>I708/1000000</f>
        <v>0.95302340489999993</v>
      </c>
      <c r="L708" s="8">
        <f>J708/1000000</f>
        <v>1.0159591239922201</v>
      </c>
      <c r="M708" t="s">
        <v>19</v>
      </c>
    </row>
    <row r="709" spans="2:13" x14ac:dyDescent="0.25">
      <c r="B709" t="s">
        <v>13</v>
      </c>
      <c r="C709" t="s">
        <v>46</v>
      </c>
      <c r="D709" t="s">
        <v>73</v>
      </c>
      <c r="E709">
        <v>2028</v>
      </c>
      <c r="F709" t="s">
        <v>77</v>
      </c>
      <c r="G709" t="s">
        <v>17</v>
      </c>
      <c r="H709" t="s">
        <v>18</v>
      </c>
      <c r="I709" s="8">
        <v>686708.34840000002</v>
      </c>
      <c r="J709" s="8">
        <v>683108.982899289</v>
      </c>
      <c r="K709" s="8">
        <f>I709/1000000</f>
        <v>0.68670834840000006</v>
      </c>
      <c r="L709" s="8">
        <f>J709/1000000</f>
        <v>0.68310898289928901</v>
      </c>
      <c r="M709" t="s">
        <v>19</v>
      </c>
    </row>
    <row r="710" spans="2:13" x14ac:dyDescent="0.25">
      <c r="B710" t="s">
        <v>13</v>
      </c>
      <c r="C710" t="s">
        <v>46</v>
      </c>
      <c r="D710" t="s">
        <v>73</v>
      </c>
      <c r="E710">
        <v>2029</v>
      </c>
      <c r="F710" t="s">
        <v>77</v>
      </c>
      <c r="G710" t="s">
        <v>17</v>
      </c>
      <c r="H710" t="s">
        <v>18</v>
      </c>
      <c r="I710" s="8">
        <v>345798.36099999998</v>
      </c>
      <c r="J710" s="8">
        <v>343985.868906227</v>
      </c>
      <c r="K710" s="8">
        <f>I710/1000000</f>
        <v>0.345798361</v>
      </c>
      <c r="L710" s="8">
        <f>J710/1000000</f>
        <v>0.34398586890622701</v>
      </c>
      <c r="M710" t="s">
        <v>19</v>
      </c>
    </row>
    <row r="711" spans="2:13" x14ac:dyDescent="0.25">
      <c r="B711" t="s">
        <v>13</v>
      </c>
      <c r="C711" t="s">
        <v>46</v>
      </c>
      <c r="D711" t="s">
        <v>70</v>
      </c>
      <c r="E711">
        <v>2026</v>
      </c>
      <c r="F711" t="s">
        <v>77</v>
      </c>
      <c r="G711" t="s">
        <v>17</v>
      </c>
      <c r="H711" t="s">
        <v>18</v>
      </c>
      <c r="I711" s="8">
        <v>4657759.9923999999</v>
      </c>
      <c r="J711" s="8">
        <v>2286000</v>
      </c>
      <c r="K711" s="8">
        <f>I711/1000000</f>
        <v>4.6577599923999999</v>
      </c>
      <c r="L711" s="8">
        <f>J711/1000000</f>
        <v>2.286</v>
      </c>
      <c r="M711" t="s">
        <v>19</v>
      </c>
    </row>
    <row r="712" spans="2:13" x14ac:dyDescent="0.25">
      <c r="B712" t="s">
        <v>13</v>
      </c>
      <c r="C712" t="s">
        <v>46</v>
      </c>
      <c r="D712" t="s">
        <v>70</v>
      </c>
      <c r="E712">
        <v>2027</v>
      </c>
      <c r="F712" t="s">
        <v>77</v>
      </c>
      <c r="G712" t="s">
        <v>17</v>
      </c>
      <c r="H712" t="s">
        <v>18</v>
      </c>
      <c r="I712" s="8">
        <v>3829372.5386000001</v>
      </c>
      <c r="J712" s="8">
        <v>2815683.4103578399</v>
      </c>
      <c r="K712" s="8">
        <f>I712/1000000</f>
        <v>3.8293725385999999</v>
      </c>
      <c r="L712" s="8">
        <f>J712/1000000</f>
        <v>2.8156834103578401</v>
      </c>
      <c r="M712" t="s">
        <v>19</v>
      </c>
    </row>
    <row r="713" spans="2:13" x14ac:dyDescent="0.25">
      <c r="B713" t="s">
        <v>13</v>
      </c>
      <c r="C713" t="s">
        <v>46</v>
      </c>
      <c r="D713" t="s">
        <v>70</v>
      </c>
      <c r="E713">
        <v>2028</v>
      </c>
      <c r="F713" t="s">
        <v>77</v>
      </c>
      <c r="G713" t="s">
        <v>17</v>
      </c>
      <c r="H713" t="s">
        <v>18</v>
      </c>
      <c r="I713" s="8">
        <v>4110996.4201000002</v>
      </c>
      <c r="J713" s="8">
        <v>2853586.7401293302</v>
      </c>
      <c r="K713" s="8">
        <f>I713/1000000</f>
        <v>4.1109964201000002</v>
      </c>
      <c r="L713" s="8">
        <f>J713/1000000</f>
        <v>2.8535867401293302</v>
      </c>
      <c r="M713" t="s">
        <v>19</v>
      </c>
    </row>
    <row r="714" spans="2:13" x14ac:dyDescent="0.25">
      <c r="B714" t="s">
        <v>13</v>
      </c>
      <c r="C714" t="s">
        <v>46</v>
      </c>
      <c r="D714" t="s">
        <v>70</v>
      </c>
      <c r="E714">
        <v>2029</v>
      </c>
      <c r="F714" t="s">
        <v>77</v>
      </c>
      <c r="G714" t="s">
        <v>17</v>
      </c>
      <c r="H714" t="s">
        <v>18</v>
      </c>
      <c r="I714" s="8">
        <v>4547379.92</v>
      </c>
      <c r="J714" s="8">
        <v>2882587.2986600902</v>
      </c>
      <c r="K714" s="8">
        <f>I714/1000000</f>
        <v>4.54737992</v>
      </c>
      <c r="L714" s="8">
        <f>J714/1000000</f>
        <v>2.88258729866009</v>
      </c>
      <c r="M714" t="s">
        <v>19</v>
      </c>
    </row>
    <row r="715" spans="2:13" x14ac:dyDescent="0.25">
      <c r="B715" t="s">
        <v>13</v>
      </c>
      <c r="C715" t="s">
        <v>46</v>
      </c>
      <c r="D715" t="s">
        <v>70</v>
      </c>
      <c r="E715">
        <v>2030</v>
      </c>
      <c r="F715" t="s">
        <v>77</v>
      </c>
      <c r="G715" t="s">
        <v>17</v>
      </c>
      <c r="H715" t="s">
        <v>18</v>
      </c>
      <c r="I715" s="8">
        <v>3661919.9937</v>
      </c>
      <c r="J715" s="8">
        <v>2338474.2682064399</v>
      </c>
      <c r="K715" s="8">
        <f>I715/1000000</f>
        <v>3.6619199937000002</v>
      </c>
      <c r="L715" s="8">
        <f>J715/1000000</f>
        <v>2.3384742682064399</v>
      </c>
      <c r="M715" t="s">
        <v>19</v>
      </c>
    </row>
    <row r="716" spans="2:13" x14ac:dyDescent="0.25">
      <c r="B716" t="s">
        <v>13</v>
      </c>
      <c r="C716" t="s">
        <v>46</v>
      </c>
      <c r="D716" t="s">
        <v>38</v>
      </c>
      <c r="E716">
        <v>2026</v>
      </c>
      <c r="F716" t="s">
        <v>77</v>
      </c>
      <c r="G716" t="s">
        <v>17</v>
      </c>
      <c r="H716" t="s">
        <v>18</v>
      </c>
      <c r="I716" s="8">
        <v>651210.40240000002</v>
      </c>
      <c r="J716" s="8">
        <v>777000</v>
      </c>
      <c r="K716" s="8">
        <f>I716/1000000</f>
        <v>0.65121040240000005</v>
      </c>
      <c r="L716" s="8">
        <f>J716/1000000</f>
        <v>0.77700000000000002</v>
      </c>
      <c r="M716" t="s">
        <v>39</v>
      </c>
    </row>
    <row r="717" spans="2:13" x14ac:dyDescent="0.25">
      <c r="B717" t="s">
        <v>13</v>
      </c>
      <c r="C717" t="s">
        <v>46</v>
      </c>
      <c r="D717" t="s">
        <v>38</v>
      </c>
      <c r="E717">
        <v>2027</v>
      </c>
      <c r="F717" t="s">
        <v>77</v>
      </c>
      <c r="G717" t="s">
        <v>17</v>
      </c>
      <c r="H717" t="s">
        <v>18</v>
      </c>
      <c r="I717" s="8">
        <v>350464.53169999999</v>
      </c>
      <c r="J717" s="8">
        <v>400023.69453749998</v>
      </c>
      <c r="K717" s="8">
        <f>I717/1000000</f>
        <v>0.35046453169999997</v>
      </c>
      <c r="L717" s="8">
        <f>J717/1000000</f>
        <v>0.40002369453749997</v>
      </c>
      <c r="M717" t="s">
        <v>39</v>
      </c>
    </row>
    <row r="718" spans="2:13" x14ac:dyDescent="0.25">
      <c r="B718" t="s">
        <v>13</v>
      </c>
      <c r="C718" t="s">
        <v>46</v>
      </c>
      <c r="D718" t="s">
        <v>38</v>
      </c>
      <c r="E718">
        <v>2028</v>
      </c>
      <c r="F718" t="s">
        <v>77</v>
      </c>
      <c r="G718" t="s">
        <v>17</v>
      </c>
      <c r="H718" t="s">
        <v>18</v>
      </c>
      <c r="I718" s="8">
        <v>254353.56520000001</v>
      </c>
      <c r="J718" s="8">
        <v>268064.41398000001</v>
      </c>
      <c r="K718" s="8">
        <f>I718/1000000</f>
        <v>0.25435356520000002</v>
      </c>
      <c r="L718" s="8">
        <f>J718/1000000</f>
        <v>0.26806441398000003</v>
      </c>
      <c r="M718" t="s">
        <v>39</v>
      </c>
    </row>
    <row r="719" spans="2:13" x14ac:dyDescent="0.25">
      <c r="B719" t="s">
        <v>13</v>
      </c>
      <c r="C719" t="s">
        <v>46</v>
      </c>
      <c r="D719" t="s">
        <v>38</v>
      </c>
      <c r="E719">
        <v>2029</v>
      </c>
      <c r="F719" t="s">
        <v>77</v>
      </c>
      <c r="G719" t="s">
        <v>17</v>
      </c>
      <c r="H719" t="s">
        <v>18</v>
      </c>
      <c r="I719" s="8">
        <v>145765.19409999999</v>
      </c>
      <c r="J719" s="8">
        <v>134986.21917</v>
      </c>
      <c r="K719" s="8">
        <f>I719/1000000</f>
        <v>0.1457651941</v>
      </c>
      <c r="L719" s="8">
        <f>J719/1000000</f>
        <v>0.13498621917</v>
      </c>
      <c r="M719" t="s">
        <v>39</v>
      </c>
    </row>
    <row r="720" spans="2:13" x14ac:dyDescent="0.25">
      <c r="B720" t="s">
        <v>13</v>
      </c>
      <c r="C720" t="s">
        <v>46</v>
      </c>
      <c r="D720" t="s">
        <v>15</v>
      </c>
      <c r="E720">
        <v>2026</v>
      </c>
      <c r="F720" t="s">
        <v>77</v>
      </c>
      <c r="G720" t="s">
        <v>17</v>
      </c>
      <c r="H720" t="s">
        <v>18</v>
      </c>
      <c r="I720" s="8">
        <v>890606.79029999999</v>
      </c>
      <c r="J720" s="8">
        <v>192640</v>
      </c>
      <c r="K720" s="8">
        <f>I720/1000000</f>
        <v>0.89060679030000001</v>
      </c>
      <c r="L720" s="8">
        <f>J720/1000000</f>
        <v>0.19264000000000001</v>
      </c>
      <c r="M720" t="s">
        <v>19</v>
      </c>
    </row>
    <row r="721" spans="2:13" x14ac:dyDescent="0.25">
      <c r="B721" t="s">
        <v>13</v>
      </c>
      <c r="C721" t="s">
        <v>46</v>
      </c>
      <c r="D721" t="s">
        <v>15</v>
      </c>
      <c r="E721">
        <v>2027</v>
      </c>
      <c r="F721" t="s">
        <v>77</v>
      </c>
      <c r="G721" t="s">
        <v>17</v>
      </c>
      <c r="H721" t="s">
        <v>18</v>
      </c>
      <c r="I721" s="8">
        <v>776543.91339999996</v>
      </c>
      <c r="J721" s="8">
        <v>167979.286705006</v>
      </c>
      <c r="K721" s="8">
        <f>I721/1000000</f>
        <v>0.77654391339999995</v>
      </c>
      <c r="L721" s="8">
        <f>J721/1000000</f>
        <v>0.167979286705006</v>
      </c>
      <c r="M721" t="s">
        <v>19</v>
      </c>
    </row>
    <row r="722" spans="2:13" x14ac:dyDescent="0.25">
      <c r="B722" t="s">
        <v>13</v>
      </c>
      <c r="C722" t="s">
        <v>46</v>
      </c>
      <c r="D722" t="s">
        <v>15</v>
      </c>
      <c r="E722">
        <v>2029</v>
      </c>
      <c r="F722" t="s">
        <v>77</v>
      </c>
      <c r="G722" t="s">
        <v>17</v>
      </c>
      <c r="H722" t="s">
        <v>18</v>
      </c>
      <c r="I722" s="8">
        <v>169852.622</v>
      </c>
      <c r="J722" s="8">
        <v>56523.4901915644</v>
      </c>
      <c r="K722" s="8">
        <f>I722/1000000</f>
        <v>0.16985262200000001</v>
      </c>
      <c r="L722" s="8">
        <f>J722/1000000</f>
        <v>5.6523490191564399E-2</v>
      </c>
      <c r="M722" t="s">
        <v>19</v>
      </c>
    </row>
    <row r="723" spans="2:13" x14ac:dyDescent="0.25">
      <c r="B723" t="s">
        <v>13</v>
      </c>
      <c r="C723" t="s">
        <v>46</v>
      </c>
      <c r="D723" t="s">
        <v>100</v>
      </c>
      <c r="E723">
        <v>2027</v>
      </c>
      <c r="F723" t="s">
        <v>77</v>
      </c>
      <c r="G723" t="s">
        <v>17</v>
      </c>
      <c r="H723" t="s">
        <v>18</v>
      </c>
      <c r="I723" s="8">
        <v>712733.68850000005</v>
      </c>
      <c r="J723" s="8">
        <v>681715.62747047096</v>
      </c>
      <c r="K723" s="8">
        <f>I723/1000000</f>
        <v>0.71273368850000007</v>
      </c>
      <c r="L723" s="8">
        <f>J723/1000000</f>
        <v>0.68171562747047099</v>
      </c>
      <c r="M723" t="s">
        <v>19</v>
      </c>
    </row>
    <row r="724" spans="2:13" x14ac:dyDescent="0.25">
      <c r="B724" t="s">
        <v>13</v>
      </c>
      <c r="C724" t="s">
        <v>46</v>
      </c>
      <c r="D724" t="s">
        <v>100</v>
      </c>
      <c r="E724">
        <v>2028</v>
      </c>
      <c r="F724" t="s">
        <v>77</v>
      </c>
      <c r="G724" t="s">
        <v>17</v>
      </c>
      <c r="H724" t="s">
        <v>18</v>
      </c>
      <c r="I724" s="8">
        <v>474567.28450000001</v>
      </c>
      <c r="J724" s="8">
        <v>458519.11547471798</v>
      </c>
      <c r="K724" s="8">
        <f>I724/1000000</f>
        <v>0.47456728450000002</v>
      </c>
      <c r="L724" s="8">
        <f>J724/1000000</f>
        <v>0.45851911547471796</v>
      </c>
      <c r="M724" t="s">
        <v>19</v>
      </c>
    </row>
    <row r="725" spans="2:13" x14ac:dyDescent="0.25">
      <c r="B725" t="s">
        <v>13</v>
      </c>
      <c r="C725" t="s">
        <v>46</v>
      </c>
      <c r="D725" t="s">
        <v>100</v>
      </c>
      <c r="E725">
        <v>2029</v>
      </c>
      <c r="F725" t="s">
        <v>77</v>
      </c>
      <c r="G725" t="s">
        <v>17</v>
      </c>
      <c r="H725" t="s">
        <v>18</v>
      </c>
      <c r="I725" s="8">
        <v>238740.9737</v>
      </c>
      <c r="J725" s="8">
        <v>230667.60740456701</v>
      </c>
      <c r="K725" s="8">
        <f>I725/1000000</f>
        <v>0.2387409737</v>
      </c>
      <c r="L725" s="8">
        <f>J725/1000000</f>
        <v>0.23066760740456702</v>
      </c>
      <c r="M725" t="s">
        <v>19</v>
      </c>
    </row>
    <row r="726" spans="2:13" x14ac:dyDescent="0.25">
      <c r="B726" t="s">
        <v>13</v>
      </c>
      <c r="C726" t="s">
        <v>46</v>
      </c>
      <c r="D726" t="s">
        <v>72</v>
      </c>
      <c r="E726">
        <v>2026</v>
      </c>
      <c r="F726" t="s">
        <v>77</v>
      </c>
      <c r="G726" t="s">
        <v>17</v>
      </c>
      <c r="H726" t="s">
        <v>18</v>
      </c>
      <c r="I726" s="8">
        <v>3862984.6302</v>
      </c>
      <c r="J726" s="8">
        <v>1354800</v>
      </c>
      <c r="K726" s="8">
        <f>I726/1000000</f>
        <v>3.8629846302000002</v>
      </c>
      <c r="L726" s="8">
        <f>J726/1000000</f>
        <v>1.3548</v>
      </c>
      <c r="M726" t="s">
        <v>19</v>
      </c>
    </row>
    <row r="727" spans="2:13" x14ac:dyDescent="0.25">
      <c r="B727" t="s">
        <v>13</v>
      </c>
      <c r="C727" t="s">
        <v>46</v>
      </c>
      <c r="D727" t="s">
        <v>72</v>
      </c>
      <c r="E727">
        <v>2029</v>
      </c>
      <c r="F727" t="s">
        <v>77</v>
      </c>
      <c r="G727" t="s">
        <v>17</v>
      </c>
      <c r="H727" t="s">
        <v>18</v>
      </c>
      <c r="I727" s="8">
        <v>623820.66020000004</v>
      </c>
      <c r="J727" s="8">
        <v>298748.14395892399</v>
      </c>
      <c r="K727" s="8">
        <f>I727/1000000</f>
        <v>0.62382066020000004</v>
      </c>
      <c r="L727" s="8">
        <f>J727/1000000</f>
        <v>0.29874814395892396</v>
      </c>
      <c r="M727" t="s">
        <v>19</v>
      </c>
    </row>
    <row r="728" spans="2:13" x14ac:dyDescent="0.25">
      <c r="B728" t="s">
        <v>13</v>
      </c>
      <c r="C728" t="s">
        <v>46</v>
      </c>
      <c r="D728" t="s">
        <v>72</v>
      </c>
      <c r="E728">
        <v>2027</v>
      </c>
      <c r="F728" t="s">
        <v>77</v>
      </c>
      <c r="G728" t="s">
        <v>17</v>
      </c>
      <c r="H728" t="s">
        <v>18</v>
      </c>
      <c r="I728" s="8">
        <v>2162938.1022000001</v>
      </c>
      <c r="J728" s="8">
        <v>882349.91627969802</v>
      </c>
      <c r="K728" s="8">
        <f>I728/1000000</f>
        <v>2.1629381022</v>
      </c>
      <c r="L728" s="8">
        <f>J728/1000000</f>
        <v>0.88234991627969805</v>
      </c>
      <c r="M728" t="s">
        <v>19</v>
      </c>
    </row>
    <row r="729" spans="2:13" x14ac:dyDescent="0.25">
      <c r="B729" t="s">
        <v>13</v>
      </c>
      <c r="C729" t="s">
        <v>46</v>
      </c>
      <c r="D729" t="s">
        <v>72</v>
      </c>
      <c r="E729">
        <v>2028</v>
      </c>
      <c r="F729" t="s">
        <v>77</v>
      </c>
      <c r="G729" t="s">
        <v>17</v>
      </c>
      <c r="H729" t="s">
        <v>18</v>
      </c>
      <c r="I729" s="8">
        <v>1446468.2446000001</v>
      </c>
      <c r="J729" s="8">
        <v>593273.03592946101</v>
      </c>
      <c r="K729" s="8">
        <f>I729/1000000</f>
        <v>1.4464682446000001</v>
      </c>
      <c r="L729" s="8">
        <f>J729/1000000</f>
        <v>0.59327303592946101</v>
      </c>
      <c r="M729" t="s">
        <v>19</v>
      </c>
    </row>
    <row r="730" spans="2:13" x14ac:dyDescent="0.25">
      <c r="B730" t="s">
        <v>13</v>
      </c>
      <c r="C730" t="s">
        <v>46</v>
      </c>
      <c r="D730" t="s">
        <v>102</v>
      </c>
      <c r="E730">
        <v>2028</v>
      </c>
      <c r="F730" t="s">
        <v>77</v>
      </c>
      <c r="G730" t="s">
        <v>17</v>
      </c>
      <c r="H730" t="s">
        <v>18</v>
      </c>
      <c r="I730" s="8">
        <v>99292.482199999999</v>
      </c>
      <c r="J730" s="8">
        <v>293552.73559706501</v>
      </c>
      <c r="K730" s="8">
        <f>I730/1000000</f>
        <v>9.9292482200000004E-2</v>
      </c>
      <c r="L730" s="8">
        <f>J730/1000000</f>
        <v>0.29355273559706502</v>
      </c>
      <c r="M730" t="s">
        <v>19</v>
      </c>
    </row>
    <row r="731" spans="2:13" x14ac:dyDescent="0.25">
      <c r="B731" t="s">
        <v>13</v>
      </c>
      <c r="C731" t="s">
        <v>46</v>
      </c>
      <c r="D731" t="s">
        <v>102</v>
      </c>
      <c r="E731">
        <v>2029</v>
      </c>
      <c r="F731" t="s">
        <v>77</v>
      </c>
      <c r="G731" t="s">
        <v>17</v>
      </c>
      <c r="H731" t="s">
        <v>18</v>
      </c>
      <c r="I731" s="8">
        <v>49999.650999999998</v>
      </c>
      <c r="J731" s="8">
        <v>147821.204744783</v>
      </c>
      <c r="K731" s="8">
        <f>I731/1000000</f>
        <v>4.9999650999999999E-2</v>
      </c>
      <c r="L731" s="8">
        <f>J731/1000000</f>
        <v>0.147821204744783</v>
      </c>
      <c r="M731" t="s">
        <v>19</v>
      </c>
    </row>
    <row r="732" spans="2:13" x14ac:dyDescent="0.25">
      <c r="B732" t="s">
        <v>13</v>
      </c>
      <c r="C732" t="s">
        <v>46</v>
      </c>
      <c r="D732" t="s">
        <v>102</v>
      </c>
      <c r="E732">
        <v>2027</v>
      </c>
      <c r="F732" t="s">
        <v>77</v>
      </c>
      <c r="G732" t="s">
        <v>17</v>
      </c>
      <c r="H732" t="s">
        <v>18</v>
      </c>
      <c r="I732" s="8">
        <v>148804.46489999999</v>
      </c>
      <c r="J732" s="8">
        <v>442126.57001713698</v>
      </c>
      <c r="K732" s="8">
        <f>I732/1000000</f>
        <v>0.14880446489999999</v>
      </c>
      <c r="L732" s="8">
        <f>J732/1000000</f>
        <v>0.44212657001713696</v>
      </c>
      <c r="M732" t="s">
        <v>19</v>
      </c>
    </row>
    <row r="733" spans="2:13" x14ac:dyDescent="0.25">
      <c r="B733" t="s">
        <v>13</v>
      </c>
      <c r="C733" t="s">
        <v>46</v>
      </c>
      <c r="D733" t="s">
        <v>100</v>
      </c>
      <c r="E733">
        <v>2026</v>
      </c>
      <c r="F733" t="s">
        <v>77</v>
      </c>
      <c r="G733" t="s">
        <v>17</v>
      </c>
      <c r="H733" t="s">
        <v>18</v>
      </c>
      <c r="I733" s="8">
        <v>1247957.25</v>
      </c>
      <c r="J733" s="8">
        <v>1097000</v>
      </c>
      <c r="K733" s="8">
        <f>I733/1000000</f>
        <v>1.24795725</v>
      </c>
      <c r="L733" s="8">
        <f>J733/1000000</f>
        <v>1.097</v>
      </c>
      <c r="M733" t="s">
        <v>19</v>
      </c>
    </row>
    <row r="734" spans="2:13" x14ac:dyDescent="0.25">
      <c r="B734" t="s">
        <v>13</v>
      </c>
      <c r="C734" t="s">
        <v>46</v>
      </c>
      <c r="D734" t="s">
        <v>15</v>
      </c>
      <c r="E734">
        <v>2028</v>
      </c>
      <c r="F734" t="s">
        <v>77</v>
      </c>
      <c r="G734" t="s">
        <v>17</v>
      </c>
      <c r="H734" t="s">
        <v>18</v>
      </c>
      <c r="I734" s="8">
        <v>338155.0858</v>
      </c>
      <c r="J734" s="8">
        <v>112531.119326646</v>
      </c>
      <c r="K734" s="8">
        <f>I734/1000000</f>
        <v>0.33815508579999998</v>
      </c>
      <c r="L734" s="8">
        <f>J734/1000000</f>
        <v>0.112531119326646</v>
      </c>
      <c r="M734" t="s">
        <v>19</v>
      </c>
    </row>
    <row r="735" spans="2:13" x14ac:dyDescent="0.25">
      <c r="B735" t="s">
        <v>13</v>
      </c>
      <c r="C735" t="s">
        <v>46</v>
      </c>
      <c r="D735" t="s">
        <v>102</v>
      </c>
      <c r="E735">
        <v>2026</v>
      </c>
      <c r="F735" t="s">
        <v>77</v>
      </c>
      <c r="G735" t="s">
        <v>17</v>
      </c>
      <c r="H735" t="s">
        <v>18</v>
      </c>
      <c r="I735" s="8">
        <v>118201.1073</v>
      </c>
      <c r="J735" s="8">
        <v>352200</v>
      </c>
      <c r="K735" s="8">
        <f>I735/1000000</f>
        <v>0.1182011073</v>
      </c>
      <c r="L735" s="8">
        <f>J735/1000000</f>
        <v>0.35220000000000001</v>
      </c>
      <c r="M735" t="s">
        <v>19</v>
      </c>
    </row>
    <row r="736" spans="2:13" x14ac:dyDescent="0.25">
      <c r="B736" t="s">
        <v>13</v>
      </c>
      <c r="C736" t="s">
        <v>46</v>
      </c>
      <c r="D736" t="s">
        <v>108</v>
      </c>
      <c r="E736">
        <v>2029</v>
      </c>
      <c r="F736" t="s">
        <v>77</v>
      </c>
      <c r="G736" t="s">
        <v>17</v>
      </c>
      <c r="H736" t="s">
        <v>18</v>
      </c>
      <c r="I736" s="8">
        <v>327359.44150000002</v>
      </c>
      <c r="J736" s="8">
        <v>88039.071332332795</v>
      </c>
      <c r="K736" s="8">
        <f>I736/1000000</f>
        <v>0.32735944150000001</v>
      </c>
      <c r="L736" s="8">
        <f>J736/1000000</f>
        <v>8.8039071332332797E-2</v>
      </c>
      <c r="M736" t="s">
        <v>39</v>
      </c>
    </row>
    <row r="737" spans="2:13" x14ac:dyDescent="0.25">
      <c r="B737" t="s">
        <v>13</v>
      </c>
      <c r="C737" t="s">
        <v>14</v>
      </c>
      <c r="D737" t="s">
        <v>52</v>
      </c>
      <c r="E737">
        <v>2027</v>
      </c>
      <c r="F737" t="s">
        <v>77</v>
      </c>
      <c r="G737" t="s">
        <v>17</v>
      </c>
      <c r="H737" t="s">
        <v>18</v>
      </c>
      <c r="I737" s="8">
        <v>5313447.6464999998</v>
      </c>
      <c r="J737" s="8">
        <v>5021763.12</v>
      </c>
      <c r="K737" s="8">
        <f>I737/1000000</f>
        <v>5.3134476465000002</v>
      </c>
      <c r="L737" s="8">
        <f>J737/1000000</f>
        <v>5.0217631200000001</v>
      </c>
      <c r="M737" t="s">
        <v>19</v>
      </c>
    </row>
    <row r="738" spans="2:13" x14ac:dyDescent="0.25">
      <c r="B738" t="s">
        <v>13</v>
      </c>
      <c r="C738" t="s">
        <v>44</v>
      </c>
      <c r="D738" t="s">
        <v>40</v>
      </c>
      <c r="E738">
        <v>2026</v>
      </c>
      <c r="F738" t="s">
        <v>45</v>
      </c>
      <c r="G738" t="s">
        <v>17</v>
      </c>
      <c r="H738" t="s">
        <v>18</v>
      </c>
      <c r="I738" s="8">
        <v>21701758.357999999</v>
      </c>
      <c r="J738" s="8">
        <v>7000000</v>
      </c>
      <c r="K738" s="8">
        <f>I738/1000000</f>
        <v>21.701758357999999</v>
      </c>
      <c r="L738" s="8">
        <f>J738/1000000</f>
        <v>7</v>
      </c>
      <c r="M738" t="s">
        <v>44</v>
      </c>
    </row>
    <row r="739" spans="2:13" x14ac:dyDescent="0.25">
      <c r="B739" t="s">
        <v>13</v>
      </c>
      <c r="C739" t="s">
        <v>44</v>
      </c>
      <c r="D739" t="s">
        <v>40</v>
      </c>
      <c r="E739">
        <v>2027</v>
      </c>
      <c r="F739" t="s">
        <v>45</v>
      </c>
      <c r="G739" t="s">
        <v>17</v>
      </c>
      <c r="H739" t="s">
        <v>18</v>
      </c>
      <c r="I739" s="8">
        <v>21701758.357999999</v>
      </c>
      <c r="J739" s="8">
        <v>7000000</v>
      </c>
      <c r="K739" s="8">
        <f>I739/1000000</f>
        <v>21.701758357999999</v>
      </c>
      <c r="L739" s="8">
        <f>J739/1000000</f>
        <v>7</v>
      </c>
      <c r="M739" t="s">
        <v>44</v>
      </c>
    </row>
    <row r="740" spans="2:13" x14ac:dyDescent="0.25">
      <c r="B740" t="s">
        <v>13</v>
      </c>
      <c r="C740" t="s">
        <v>44</v>
      </c>
      <c r="D740" t="s">
        <v>40</v>
      </c>
      <c r="E740">
        <v>2028</v>
      </c>
      <c r="F740" t="s">
        <v>45</v>
      </c>
      <c r="G740" t="s">
        <v>17</v>
      </c>
      <c r="H740" t="s">
        <v>18</v>
      </c>
      <c r="I740" s="8">
        <v>24774030.260000002</v>
      </c>
      <c r="J740" s="8">
        <v>7000000</v>
      </c>
      <c r="K740" s="8">
        <f>I740/1000000</f>
        <v>24.77403026</v>
      </c>
      <c r="L740" s="8">
        <f>J740/1000000</f>
        <v>7</v>
      </c>
      <c r="M740" t="s">
        <v>44</v>
      </c>
    </row>
    <row r="741" spans="2:13" x14ac:dyDescent="0.25">
      <c r="B741" t="s">
        <v>13</v>
      </c>
      <c r="C741" t="s">
        <v>44</v>
      </c>
      <c r="D741" t="s">
        <v>40</v>
      </c>
      <c r="E741">
        <v>2029</v>
      </c>
      <c r="F741" t="s">
        <v>45</v>
      </c>
      <c r="G741" t="s">
        <v>17</v>
      </c>
      <c r="H741" t="s">
        <v>18</v>
      </c>
      <c r="I741" s="8">
        <v>24774030.260000002</v>
      </c>
      <c r="J741" s="8">
        <v>7000000</v>
      </c>
      <c r="K741" s="8">
        <f>I741/1000000</f>
        <v>24.77403026</v>
      </c>
      <c r="L741" s="8">
        <f>J741/1000000</f>
        <v>7</v>
      </c>
      <c r="M741" t="s">
        <v>44</v>
      </c>
    </row>
    <row r="742" spans="2:13" x14ac:dyDescent="0.25">
      <c r="B742" t="s">
        <v>13</v>
      </c>
      <c r="C742" t="s">
        <v>44</v>
      </c>
      <c r="D742" t="s">
        <v>40</v>
      </c>
      <c r="E742">
        <v>2030</v>
      </c>
      <c r="F742" t="s">
        <v>45</v>
      </c>
      <c r="G742" t="s">
        <v>17</v>
      </c>
      <c r="H742" t="s">
        <v>18</v>
      </c>
      <c r="I742" s="8">
        <v>24774030.260000002</v>
      </c>
      <c r="J742" s="8">
        <v>7000000</v>
      </c>
      <c r="K742" s="8">
        <f>I742/1000000</f>
        <v>24.77403026</v>
      </c>
      <c r="L742" s="8">
        <f>J742/1000000</f>
        <v>7</v>
      </c>
      <c r="M742" t="s">
        <v>44</v>
      </c>
    </row>
    <row r="743" spans="2:13" x14ac:dyDescent="0.25">
      <c r="B743" t="s">
        <v>13</v>
      </c>
      <c r="C743" t="s">
        <v>46</v>
      </c>
      <c r="D743" t="s">
        <v>125</v>
      </c>
      <c r="E743">
        <v>2026</v>
      </c>
      <c r="F743" t="s">
        <v>45</v>
      </c>
      <c r="G743" t="s">
        <v>17</v>
      </c>
      <c r="H743" t="s">
        <v>18</v>
      </c>
      <c r="I743" s="8">
        <v>8600000</v>
      </c>
      <c r="J743" s="8"/>
      <c r="K743" s="8">
        <f>I743/1000000</f>
        <v>8.6</v>
      </c>
      <c r="L743" s="8">
        <f>J743/1000000</f>
        <v>0</v>
      </c>
      <c r="M743" t="s">
        <v>37</v>
      </c>
    </row>
    <row r="744" spans="2:13" x14ac:dyDescent="0.25">
      <c r="B744" t="s">
        <v>13</v>
      </c>
      <c r="C744" t="s">
        <v>46</v>
      </c>
      <c r="D744" t="s">
        <v>125</v>
      </c>
      <c r="E744">
        <v>2027</v>
      </c>
      <c r="F744" t="s">
        <v>45</v>
      </c>
      <c r="G744" t="s">
        <v>17</v>
      </c>
      <c r="H744" t="s">
        <v>18</v>
      </c>
      <c r="I744" s="8">
        <v>8600000</v>
      </c>
      <c r="J744" s="8"/>
      <c r="K744" s="8">
        <f>I744/1000000</f>
        <v>8.6</v>
      </c>
      <c r="L744" s="8">
        <f>J744/1000000</f>
        <v>0</v>
      </c>
      <c r="M744" t="s">
        <v>37</v>
      </c>
    </row>
    <row r="745" spans="2:13" x14ac:dyDescent="0.25">
      <c r="B745" t="s">
        <v>13</v>
      </c>
      <c r="C745" t="s">
        <v>46</v>
      </c>
      <c r="D745" t="s">
        <v>125</v>
      </c>
      <c r="E745">
        <v>2028</v>
      </c>
      <c r="F745" t="s">
        <v>45</v>
      </c>
      <c r="G745" t="s">
        <v>17</v>
      </c>
      <c r="H745" t="s">
        <v>18</v>
      </c>
      <c r="I745" s="8">
        <v>8600000</v>
      </c>
      <c r="J745" s="8"/>
      <c r="K745" s="8">
        <f>I745/1000000</f>
        <v>8.6</v>
      </c>
      <c r="L745" s="8">
        <f>J745/1000000</f>
        <v>0</v>
      </c>
      <c r="M745" t="s">
        <v>37</v>
      </c>
    </row>
    <row r="746" spans="2:13" x14ac:dyDescent="0.25">
      <c r="B746" t="s">
        <v>13</v>
      </c>
      <c r="C746" t="s">
        <v>46</v>
      </c>
      <c r="D746" t="s">
        <v>125</v>
      </c>
      <c r="E746">
        <v>2029</v>
      </c>
      <c r="F746" t="s">
        <v>45</v>
      </c>
      <c r="G746" t="s">
        <v>17</v>
      </c>
      <c r="H746" t="s">
        <v>18</v>
      </c>
      <c r="I746" s="8">
        <v>8600000</v>
      </c>
      <c r="J746" s="8"/>
      <c r="K746" s="8">
        <f>I746/1000000</f>
        <v>8.6</v>
      </c>
      <c r="L746" s="8">
        <f>J746/1000000</f>
        <v>0</v>
      </c>
      <c r="M746" t="s">
        <v>37</v>
      </c>
    </row>
    <row r="747" spans="2:13" x14ac:dyDescent="0.25">
      <c r="B747" t="s">
        <v>13</v>
      </c>
      <c r="C747" t="s">
        <v>46</v>
      </c>
      <c r="D747" t="s">
        <v>125</v>
      </c>
      <c r="E747">
        <v>2030</v>
      </c>
      <c r="F747" t="s">
        <v>45</v>
      </c>
      <c r="G747" t="s">
        <v>17</v>
      </c>
      <c r="H747" t="s">
        <v>18</v>
      </c>
      <c r="I747" s="8">
        <v>8600000</v>
      </c>
      <c r="J747" s="8"/>
      <c r="K747" s="8">
        <f>I747/1000000</f>
        <v>8.6</v>
      </c>
      <c r="L747" s="8">
        <f>J747/1000000</f>
        <v>0</v>
      </c>
      <c r="M747" t="s">
        <v>37</v>
      </c>
    </row>
    <row r="748" spans="2:13" x14ac:dyDescent="0.25">
      <c r="B748" t="s">
        <v>13</v>
      </c>
      <c r="C748" t="s">
        <v>37</v>
      </c>
      <c r="D748" t="s">
        <v>122</v>
      </c>
      <c r="E748">
        <v>2026</v>
      </c>
      <c r="F748" t="s">
        <v>45</v>
      </c>
      <c r="G748" t="s">
        <v>17</v>
      </c>
      <c r="H748" t="s">
        <v>18</v>
      </c>
      <c r="I748" s="8">
        <v>-25000000</v>
      </c>
      <c r="J748" s="8"/>
      <c r="K748" s="8">
        <f>I748/1000000</f>
        <v>-25</v>
      </c>
      <c r="L748" s="8">
        <f>J748/1000000</f>
        <v>0</v>
      </c>
      <c r="M748" t="s">
        <v>37</v>
      </c>
    </row>
    <row r="749" spans="2:13" x14ac:dyDescent="0.25">
      <c r="B749" t="s">
        <v>13</v>
      </c>
      <c r="C749" t="s">
        <v>37</v>
      </c>
      <c r="D749" t="s">
        <v>123</v>
      </c>
      <c r="E749">
        <v>2026</v>
      </c>
      <c r="F749" t="s">
        <v>45</v>
      </c>
      <c r="G749" t="s">
        <v>17</v>
      </c>
      <c r="H749" t="s">
        <v>18</v>
      </c>
      <c r="I749" s="8">
        <v>-82500000</v>
      </c>
      <c r="J749" s="8"/>
      <c r="K749" s="8">
        <f>I749/1000000</f>
        <v>-82.5</v>
      </c>
      <c r="L749" s="8">
        <f>J749/1000000</f>
        <v>0</v>
      </c>
      <c r="M749" t="s">
        <v>37</v>
      </c>
    </row>
    <row r="750" spans="2:13" x14ac:dyDescent="0.25">
      <c r="B750" t="s">
        <v>13</v>
      </c>
      <c r="C750" t="s">
        <v>44</v>
      </c>
      <c r="D750" t="s">
        <v>106</v>
      </c>
      <c r="E750">
        <v>2028</v>
      </c>
      <c r="F750" t="s">
        <v>45</v>
      </c>
      <c r="G750" t="s">
        <v>17</v>
      </c>
      <c r="H750" t="s">
        <v>18</v>
      </c>
      <c r="I750" s="8">
        <v>333333.3333</v>
      </c>
      <c r="J750" s="8"/>
      <c r="K750" s="8">
        <f>I750/1000000</f>
        <v>0.33333333329999998</v>
      </c>
      <c r="L750" s="8">
        <f>J750/1000000</f>
        <v>0</v>
      </c>
      <c r="M750" t="s">
        <v>44</v>
      </c>
    </row>
    <row r="751" spans="2:13" x14ac:dyDescent="0.25">
      <c r="B751" t="s">
        <v>13</v>
      </c>
      <c r="C751" t="s">
        <v>44</v>
      </c>
      <c r="D751" t="s">
        <v>106</v>
      </c>
      <c r="E751">
        <v>2029</v>
      </c>
      <c r="F751" t="s">
        <v>45</v>
      </c>
      <c r="G751" t="s">
        <v>17</v>
      </c>
      <c r="H751" t="s">
        <v>18</v>
      </c>
      <c r="I751" s="8">
        <v>333333.3333</v>
      </c>
      <c r="J751" s="8"/>
      <c r="K751" s="8">
        <f>I751/1000000</f>
        <v>0.33333333329999998</v>
      </c>
      <c r="L751" s="8">
        <f>J751/1000000</f>
        <v>0</v>
      </c>
      <c r="M751" t="s">
        <v>44</v>
      </c>
    </row>
    <row r="752" spans="2:13" x14ac:dyDescent="0.25">
      <c r="B752" t="s">
        <v>13</v>
      </c>
      <c r="C752" t="s">
        <v>44</v>
      </c>
      <c r="D752" t="s">
        <v>106</v>
      </c>
      <c r="E752">
        <v>2030</v>
      </c>
      <c r="F752" t="s">
        <v>45</v>
      </c>
      <c r="G752" t="s">
        <v>17</v>
      </c>
      <c r="H752" t="s">
        <v>18</v>
      </c>
      <c r="I752" s="8">
        <v>333333.3333</v>
      </c>
      <c r="J752" s="8"/>
      <c r="K752" s="8">
        <f>I752/1000000</f>
        <v>0.33333333329999998</v>
      </c>
      <c r="L752" s="8">
        <f>J752/1000000</f>
        <v>0</v>
      </c>
      <c r="M752" t="s">
        <v>44</v>
      </c>
    </row>
    <row r="753" spans="2:13" x14ac:dyDescent="0.25">
      <c r="B753" t="s">
        <v>13</v>
      </c>
      <c r="C753" t="s">
        <v>44</v>
      </c>
      <c r="D753" t="s">
        <v>107</v>
      </c>
      <c r="E753">
        <v>2026</v>
      </c>
      <c r="F753" t="s">
        <v>45</v>
      </c>
      <c r="G753" t="s">
        <v>17</v>
      </c>
      <c r="H753" t="s">
        <v>18</v>
      </c>
      <c r="I753" s="8">
        <v>26410909.0909</v>
      </c>
      <c r="J753" s="8">
        <v>400000</v>
      </c>
      <c r="K753" s="8">
        <f>I753/1000000</f>
        <v>26.410909090899999</v>
      </c>
      <c r="L753" s="8">
        <f>J753/1000000</f>
        <v>0.4</v>
      </c>
      <c r="M753" t="s">
        <v>44</v>
      </c>
    </row>
    <row r="754" spans="2:13" x14ac:dyDescent="0.25">
      <c r="B754" t="s">
        <v>13</v>
      </c>
      <c r="C754" t="s">
        <v>44</v>
      </c>
      <c r="D754" t="s">
        <v>107</v>
      </c>
      <c r="E754">
        <v>2029</v>
      </c>
      <c r="F754" t="s">
        <v>45</v>
      </c>
      <c r="G754" t="s">
        <v>17</v>
      </c>
      <c r="H754" t="s">
        <v>18</v>
      </c>
      <c r="I754" s="8">
        <v>3300000</v>
      </c>
      <c r="J754" s="8">
        <v>50000</v>
      </c>
      <c r="K754" s="8">
        <f>I754/1000000</f>
        <v>3.3</v>
      </c>
      <c r="L754" s="8">
        <f>J754/1000000</f>
        <v>0.05</v>
      </c>
      <c r="M754" t="s">
        <v>44</v>
      </c>
    </row>
    <row r="755" spans="2:13" x14ac:dyDescent="0.25">
      <c r="B755" t="s">
        <v>13</v>
      </c>
      <c r="C755" t="s">
        <v>44</v>
      </c>
      <c r="D755" t="s">
        <v>107</v>
      </c>
      <c r="E755">
        <v>2030</v>
      </c>
      <c r="F755" t="s">
        <v>45</v>
      </c>
      <c r="G755" t="s">
        <v>17</v>
      </c>
      <c r="H755" t="s">
        <v>18</v>
      </c>
      <c r="I755" s="8">
        <v>3300000</v>
      </c>
      <c r="J755" s="8">
        <v>50000</v>
      </c>
      <c r="K755" s="8">
        <f>I755/1000000</f>
        <v>3.3</v>
      </c>
      <c r="L755" s="8">
        <f>J755/1000000</f>
        <v>0.05</v>
      </c>
      <c r="M755" t="s">
        <v>44</v>
      </c>
    </row>
    <row r="756" spans="2:13" x14ac:dyDescent="0.25">
      <c r="B756" t="s">
        <v>13</v>
      </c>
      <c r="C756" t="s">
        <v>44</v>
      </c>
      <c r="D756" t="s">
        <v>121</v>
      </c>
      <c r="E756">
        <v>2029</v>
      </c>
      <c r="F756" t="s">
        <v>45</v>
      </c>
      <c r="G756" t="s">
        <v>17</v>
      </c>
      <c r="H756" t="s">
        <v>18</v>
      </c>
      <c r="I756" s="8">
        <v>6040000</v>
      </c>
      <c r="J756" s="8">
        <v>8000000</v>
      </c>
      <c r="K756" s="8">
        <f>I756/1000000</f>
        <v>6.04</v>
      </c>
      <c r="L756" s="8">
        <f>J756/1000000</f>
        <v>8</v>
      </c>
      <c r="M756" t="s">
        <v>44</v>
      </c>
    </row>
    <row r="757" spans="2:13" x14ac:dyDescent="0.25">
      <c r="B757" t="s">
        <v>13</v>
      </c>
      <c r="C757" t="s">
        <v>44</v>
      </c>
      <c r="D757" t="s">
        <v>121</v>
      </c>
      <c r="E757">
        <v>2030</v>
      </c>
      <c r="F757" t="s">
        <v>45</v>
      </c>
      <c r="G757" t="s">
        <v>17</v>
      </c>
      <c r="H757" t="s">
        <v>18</v>
      </c>
      <c r="I757" s="8">
        <v>6040000</v>
      </c>
      <c r="J757" s="8">
        <v>8000000</v>
      </c>
      <c r="K757" s="8">
        <f>I757/1000000</f>
        <v>6.04</v>
      </c>
      <c r="L757" s="8">
        <f>J757/1000000</f>
        <v>8</v>
      </c>
      <c r="M757" t="s">
        <v>44</v>
      </c>
    </row>
    <row r="758" spans="2:13" x14ac:dyDescent="0.25">
      <c r="B758" t="s">
        <v>13</v>
      </c>
      <c r="C758" t="s">
        <v>44</v>
      </c>
      <c r="D758" t="s">
        <v>121</v>
      </c>
      <c r="E758">
        <v>2026</v>
      </c>
      <c r="F758" t="s">
        <v>45</v>
      </c>
      <c r="G758" t="s">
        <v>17</v>
      </c>
      <c r="H758" t="s">
        <v>18</v>
      </c>
      <c r="I758" s="8">
        <v>6040000</v>
      </c>
      <c r="J758" s="8">
        <v>8000000</v>
      </c>
      <c r="K758" s="8">
        <f>I758/1000000</f>
        <v>6.04</v>
      </c>
      <c r="L758" s="8">
        <f>J758/1000000</f>
        <v>8</v>
      </c>
      <c r="M758" t="s">
        <v>44</v>
      </c>
    </row>
    <row r="759" spans="2:13" x14ac:dyDescent="0.25">
      <c r="B759" t="s">
        <v>13</v>
      </c>
      <c r="C759" t="s">
        <v>44</v>
      </c>
      <c r="D759" t="s">
        <v>121</v>
      </c>
      <c r="E759">
        <v>2027</v>
      </c>
      <c r="F759" t="s">
        <v>45</v>
      </c>
      <c r="G759" t="s">
        <v>17</v>
      </c>
      <c r="H759" t="s">
        <v>18</v>
      </c>
      <c r="I759" s="8">
        <v>6040000</v>
      </c>
      <c r="J759" s="8">
        <v>8000000</v>
      </c>
      <c r="K759" s="8">
        <f>I759/1000000</f>
        <v>6.04</v>
      </c>
      <c r="L759" s="8">
        <f>J759/1000000</f>
        <v>8</v>
      </c>
      <c r="M759" t="s">
        <v>44</v>
      </c>
    </row>
    <row r="760" spans="2:13" x14ac:dyDescent="0.25">
      <c r="B760" t="s">
        <v>13</v>
      </c>
      <c r="C760" t="s">
        <v>44</v>
      </c>
      <c r="D760" t="s">
        <v>121</v>
      </c>
      <c r="E760">
        <v>2028</v>
      </c>
      <c r="F760" t="s">
        <v>45</v>
      </c>
      <c r="G760" t="s">
        <v>17</v>
      </c>
      <c r="H760" t="s">
        <v>18</v>
      </c>
      <c r="I760" s="8">
        <v>6040000</v>
      </c>
      <c r="J760" s="8">
        <v>8000000</v>
      </c>
      <c r="K760" s="8">
        <f>I760/1000000</f>
        <v>6.04</v>
      </c>
      <c r="L760" s="8">
        <f>J760/1000000</f>
        <v>8</v>
      </c>
      <c r="M760" t="s">
        <v>44</v>
      </c>
    </row>
    <row r="761" spans="2:13" x14ac:dyDescent="0.25">
      <c r="B761" t="s">
        <v>13</v>
      </c>
      <c r="C761" t="s">
        <v>44</v>
      </c>
      <c r="D761" t="s">
        <v>120</v>
      </c>
      <c r="E761">
        <v>2026</v>
      </c>
      <c r="F761" t="s">
        <v>45</v>
      </c>
      <c r="G761" t="s">
        <v>17</v>
      </c>
      <c r="H761" t="s">
        <v>18</v>
      </c>
      <c r="I761" s="8">
        <v>50306456.848399997</v>
      </c>
      <c r="J761" s="8">
        <v>500000</v>
      </c>
      <c r="K761" s="8">
        <f>I761/1000000</f>
        <v>50.306456848399996</v>
      </c>
      <c r="L761" s="8">
        <f>J761/1000000</f>
        <v>0.5</v>
      </c>
      <c r="M761" t="s">
        <v>44</v>
      </c>
    </row>
    <row r="762" spans="2:13" x14ac:dyDescent="0.25">
      <c r="B762" t="s">
        <v>13</v>
      </c>
      <c r="C762" t="s">
        <v>44</v>
      </c>
      <c r="D762" t="s">
        <v>120</v>
      </c>
      <c r="E762">
        <v>2029</v>
      </c>
      <c r="F762" t="s">
        <v>45</v>
      </c>
      <c r="G762" t="s">
        <v>17</v>
      </c>
      <c r="H762" t="s">
        <v>18</v>
      </c>
      <c r="I762" s="8">
        <v>12515944.1445</v>
      </c>
      <c r="J762" s="8">
        <v>125000</v>
      </c>
      <c r="K762" s="8">
        <f>I762/1000000</f>
        <v>12.515944144500001</v>
      </c>
      <c r="L762" s="8">
        <f>J762/1000000</f>
        <v>0.125</v>
      </c>
      <c r="M762" t="s">
        <v>44</v>
      </c>
    </row>
    <row r="763" spans="2:13" x14ac:dyDescent="0.25">
      <c r="B763" t="s">
        <v>13</v>
      </c>
      <c r="C763" t="s">
        <v>44</v>
      </c>
      <c r="D763" t="s">
        <v>120</v>
      </c>
      <c r="E763">
        <v>2030</v>
      </c>
      <c r="F763" t="s">
        <v>45</v>
      </c>
      <c r="G763" t="s">
        <v>17</v>
      </c>
      <c r="H763" t="s">
        <v>18</v>
      </c>
      <c r="I763" s="8">
        <v>12515944.1445</v>
      </c>
      <c r="J763" s="8">
        <v>125000</v>
      </c>
      <c r="K763" s="8">
        <f>I763/1000000</f>
        <v>12.515944144500001</v>
      </c>
      <c r="L763" s="8">
        <f>J763/1000000</f>
        <v>0.125</v>
      </c>
      <c r="M763" t="s">
        <v>44</v>
      </c>
    </row>
    <row r="764" spans="2:13" x14ac:dyDescent="0.25">
      <c r="B764" t="s">
        <v>13</v>
      </c>
      <c r="C764" t="s">
        <v>44</v>
      </c>
      <c r="D764" t="s">
        <v>101</v>
      </c>
      <c r="E764">
        <v>2026</v>
      </c>
      <c r="F764" t="s">
        <v>45</v>
      </c>
      <c r="G764" t="s">
        <v>17</v>
      </c>
      <c r="H764" t="s">
        <v>18</v>
      </c>
      <c r="I764" s="8">
        <v>2038412.6757</v>
      </c>
      <c r="J764" s="8">
        <v>1806000</v>
      </c>
      <c r="K764" s="8">
        <f>I764/1000000</f>
        <v>2.0384126757000001</v>
      </c>
      <c r="L764" s="8">
        <f>J764/1000000</f>
        <v>1.806</v>
      </c>
      <c r="M764" t="s">
        <v>44</v>
      </c>
    </row>
    <row r="765" spans="2:13" x14ac:dyDescent="0.25">
      <c r="B765" t="s">
        <v>13</v>
      </c>
      <c r="C765" t="s">
        <v>44</v>
      </c>
      <c r="D765" t="s">
        <v>101</v>
      </c>
      <c r="E765">
        <v>2027</v>
      </c>
      <c r="F765" t="s">
        <v>45</v>
      </c>
      <c r="G765" t="s">
        <v>17</v>
      </c>
      <c r="H765" t="s">
        <v>18</v>
      </c>
      <c r="I765" s="8">
        <v>2038412.6757</v>
      </c>
      <c r="J765" s="8">
        <v>1806000</v>
      </c>
      <c r="K765" s="8">
        <f>I765/1000000</f>
        <v>2.0384126757000001</v>
      </c>
      <c r="L765" s="8">
        <f>J765/1000000</f>
        <v>1.806</v>
      </c>
      <c r="M765" t="s">
        <v>44</v>
      </c>
    </row>
    <row r="766" spans="2:13" x14ac:dyDescent="0.25">
      <c r="B766" t="s">
        <v>13</v>
      </c>
      <c r="C766" t="s">
        <v>44</v>
      </c>
      <c r="D766" t="s">
        <v>101</v>
      </c>
      <c r="E766">
        <v>2028</v>
      </c>
      <c r="F766" t="s">
        <v>45</v>
      </c>
      <c r="G766" t="s">
        <v>17</v>
      </c>
      <c r="H766" t="s">
        <v>18</v>
      </c>
      <c r="I766" s="8">
        <v>2015657.0756999999</v>
      </c>
      <c r="J766" s="8">
        <v>1806000</v>
      </c>
      <c r="K766" s="8">
        <f>I766/1000000</f>
        <v>2.0156570757000001</v>
      </c>
      <c r="L766" s="8">
        <f>J766/1000000</f>
        <v>1.806</v>
      </c>
      <c r="M766" t="s">
        <v>44</v>
      </c>
    </row>
    <row r="767" spans="2:13" x14ac:dyDescent="0.25">
      <c r="B767" t="s">
        <v>13</v>
      </c>
      <c r="C767" t="s">
        <v>44</v>
      </c>
      <c r="D767" t="s">
        <v>101</v>
      </c>
      <c r="E767">
        <v>2029</v>
      </c>
      <c r="F767" t="s">
        <v>45</v>
      </c>
      <c r="G767" t="s">
        <v>17</v>
      </c>
      <c r="H767" t="s">
        <v>18</v>
      </c>
      <c r="I767" s="8">
        <v>2015657.0756999999</v>
      </c>
      <c r="J767" s="8">
        <v>1806000</v>
      </c>
      <c r="K767" s="8">
        <f>I767/1000000</f>
        <v>2.0156570757000001</v>
      </c>
      <c r="L767" s="8">
        <f>J767/1000000</f>
        <v>1.806</v>
      </c>
      <c r="M767" t="s">
        <v>44</v>
      </c>
    </row>
    <row r="768" spans="2:13" x14ac:dyDescent="0.25">
      <c r="B768" t="s">
        <v>13</v>
      </c>
      <c r="C768" t="s">
        <v>44</v>
      </c>
      <c r="D768" t="s">
        <v>101</v>
      </c>
      <c r="E768">
        <v>2030</v>
      </c>
      <c r="F768" t="s">
        <v>45</v>
      </c>
      <c r="G768" t="s">
        <v>17</v>
      </c>
      <c r="H768" t="s">
        <v>18</v>
      </c>
      <c r="I768" s="8">
        <v>2015657.0756999999</v>
      </c>
      <c r="J768" s="8">
        <v>1806000</v>
      </c>
      <c r="K768" s="8">
        <f>I768/1000000</f>
        <v>2.0156570757000001</v>
      </c>
      <c r="L768" s="8">
        <f>J768/1000000</f>
        <v>1.806</v>
      </c>
      <c r="M768" t="s">
        <v>44</v>
      </c>
    </row>
    <row r="769" spans="2:13" x14ac:dyDescent="0.25">
      <c r="B769" t="s">
        <v>13</v>
      </c>
      <c r="C769" t="s">
        <v>44</v>
      </c>
      <c r="D769" t="s">
        <v>74</v>
      </c>
      <c r="E769">
        <v>2026</v>
      </c>
      <c r="F769" t="s">
        <v>45</v>
      </c>
      <c r="G769" t="s">
        <v>17</v>
      </c>
      <c r="H769" t="s">
        <v>18</v>
      </c>
      <c r="I769" s="8">
        <v>10162231.228700001</v>
      </c>
      <c r="J769" s="8">
        <v>6000000</v>
      </c>
      <c r="K769" s="8">
        <f>I769/1000000</f>
        <v>10.162231228700001</v>
      </c>
      <c r="L769" s="8">
        <f>J769/1000000</f>
        <v>6</v>
      </c>
      <c r="M769" t="s">
        <v>44</v>
      </c>
    </row>
    <row r="770" spans="2:13" x14ac:dyDescent="0.25">
      <c r="B770" t="s">
        <v>13</v>
      </c>
      <c r="C770" t="s">
        <v>44</v>
      </c>
      <c r="D770" t="s">
        <v>74</v>
      </c>
      <c r="E770">
        <v>2027</v>
      </c>
      <c r="F770" t="s">
        <v>45</v>
      </c>
      <c r="G770" t="s">
        <v>17</v>
      </c>
      <c r="H770" t="s">
        <v>18</v>
      </c>
      <c r="I770" s="8">
        <v>9958073.4881999996</v>
      </c>
      <c r="J770" s="8">
        <v>6000000</v>
      </c>
      <c r="K770" s="8">
        <f>I770/1000000</f>
        <v>9.9580734882000002</v>
      </c>
      <c r="L770" s="8">
        <f>J770/1000000</f>
        <v>6</v>
      </c>
      <c r="M770" t="s">
        <v>44</v>
      </c>
    </row>
    <row r="771" spans="2:13" x14ac:dyDescent="0.25">
      <c r="B771" t="s">
        <v>13</v>
      </c>
      <c r="C771" t="s">
        <v>44</v>
      </c>
      <c r="D771" t="s">
        <v>74</v>
      </c>
      <c r="E771">
        <v>2028</v>
      </c>
      <c r="F771" t="s">
        <v>45</v>
      </c>
      <c r="G771" t="s">
        <v>17</v>
      </c>
      <c r="H771" t="s">
        <v>18</v>
      </c>
      <c r="I771" s="8">
        <v>9232048.6199999992</v>
      </c>
      <c r="J771" s="8">
        <v>6000000</v>
      </c>
      <c r="K771" s="8">
        <f>I771/1000000</f>
        <v>9.2320486199999987</v>
      </c>
      <c r="L771" s="8">
        <f>J771/1000000</f>
        <v>6</v>
      </c>
      <c r="M771" t="s">
        <v>44</v>
      </c>
    </row>
    <row r="772" spans="2:13" x14ac:dyDescent="0.25">
      <c r="B772" t="s">
        <v>13</v>
      </c>
      <c r="C772" t="s">
        <v>44</v>
      </c>
      <c r="D772" t="s">
        <v>74</v>
      </c>
      <c r="E772">
        <v>2029</v>
      </c>
      <c r="F772" t="s">
        <v>45</v>
      </c>
      <c r="G772" t="s">
        <v>17</v>
      </c>
      <c r="H772" t="s">
        <v>18</v>
      </c>
      <c r="I772" s="8">
        <v>8999357.7108999994</v>
      </c>
      <c r="J772" s="8">
        <v>6000000</v>
      </c>
      <c r="K772" s="8">
        <f>I772/1000000</f>
        <v>8.9993577109</v>
      </c>
      <c r="L772" s="8">
        <f>J772/1000000</f>
        <v>6</v>
      </c>
      <c r="M772" t="s">
        <v>44</v>
      </c>
    </row>
    <row r="773" spans="2:13" x14ac:dyDescent="0.25">
      <c r="B773" t="s">
        <v>13</v>
      </c>
      <c r="C773" t="s">
        <v>44</v>
      </c>
      <c r="D773" t="s">
        <v>74</v>
      </c>
      <c r="E773">
        <v>2030</v>
      </c>
      <c r="F773" t="s">
        <v>45</v>
      </c>
      <c r="G773" t="s">
        <v>17</v>
      </c>
      <c r="H773" t="s">
        <v>18</v>
      </c>
      <c r="I773" s="8">
        <v>8967290.7252999991</v>
      </c>
      <c r="J773" s="8">
        <v>6000000</v>
      </c>
      <c r="K773" s="8">
        <f>I773/1000000</f>
        <v>8.9672907252999998</v>
      </c>
      <c r="L773" s="8">
        <f>J773/1000000</f>
        <v>6</v>
      </c>
      <c r="M773" t="s">
        <v>44</v>
      </c>
    </row>
    <row r="774" spans="2:13" x14ac:dyDescent="0.25">
      <c r="B774" t="s">
        <v>13</v>
      </c>
      <c r="C774" t="s">
        <v>44</v>
      </c>
      <c r="D774" t="s">
        <v>109</v>
      </c>
      <c r="E774">
        <v>2026</v>
      </c>
      <c r="F774" t="s">
        <v>45</v>
      </c>
      <c r="G774" t="s">
        <v>17</v>
      </c>
      <c r="H774" t="s">
        <v>18</v>
      </c>
      <c r="I774" s="8">
        <v>72177358.986000001</v>
      </c>
      <c r="J774" s="8">
        <v>50000000</v>
      </c>
      <c r="K774" s="8">
        <f>I774/1000000</f>
        <v>72.177358986000002</v>
      </c>
      <c r="L774" s="8">
        <f>J774/1000000</f>
        <v>50</v>
      </c>
      <c r="M774" t="s">
        <v>44</v>
      </c>
    </row>
    <row r="775" spans="2:13" x14ac:dyDescent="0.25">
      <c r="B775" t="s">
        <v>13</v>
      </c>
      <c r="C775" t="s">
        <v>44</v>
      </c>
      <c r="D775" t="s">
        <v>109</v>
      </c>
      <c r="E775">
        <v>2027</v>
      </c>
      <c r="F775" t="s">
        <v>45</v>
      </c>
      <c r="G775" t="s">
        <v>17</v>
      </c>
      <c r="H775" t="s">
        <v>18</v>
      </c>
      <c r="I775" s="8">
        <v>80052358.986000001</v>
      </c>
      <c r="J775" s="8">
        <v>50000000</v>
      </c>
      <c r="K775" s="8">
        <f>I775/1000000</f>
        <v>80.052358986000002</v>
      </c>
      <c r="L775" s="8">
        <f>J775/1000000</f>
        <v>50</v>
      </c>
      <c r="M775" t="s">
        <v>44</v>
      </c>
    </row>
    <row r="776" spans="2:13" x14ac:dyDescent="0.25">
      <c r="B776" t="s">
        <v>13</v>
      </c>
      <c r="C776" t="s">
        <v>44</v>
      </c>
      <c r="D776" t="s">
        <v>109</v>
      </c>
      <c r="E776">
        <v>2028</v>
      </c>
      <c r="F776" t="s">
        <v>45</v>
      </c>
      <c r="G776" t="s">
        <v>17</v>
      </c>
      <c r="H776" t="s">
        <v>18</v>
      </c>
      <c r="I776" s="8">
        <v>84724486.669400007</v>
      </c>
      <c r="J776" s="8">
        <v>50000000</v>
      </c>
      <c r="K776" s="8">
        <f>I776/1000000</f>
        <v>84.724486669400008</v>
      </c>
      <c r="L776" s="8">
        <f>J776/1000000</f>
        <v>50</v>
      </c>
      <c r="M776" t="s">
        <v>44</v>
      </c>
    </row>
    <row r="777" spans="2:13" x14ac:dyDescent="0.25">
      <c r="B777" t="s">
        <v>13</v>
      </c>
      <c r="C777" t="s">
        <v>37</v>
      </c>
      <c r="D777" t="s">
        <v>124</v>
      </c>
      <c r="E777">
        <v>2026</v>
      </c>
      <c r="F777" t="s">
        <v>45</v>
      </c>
      <c r="G777" t="s">
        <v>17</v>
      </c>
      <c r="H777" t="s">
        <v>18</v>
      </c>
      <c r="I777" s="8">
        <v>-64168958.292499997</v>
      </c>
      <c r="J777" s="8"/>
      <c r="K777" s="8">
        <f>I777/1000000</f>
        <v>-64.168958292499994</v>
      </c>
      <c r="L777" s="8">
        <f>J777/1000000</f>
        <v>0</v>
      </c>
      <c r="M777" t="s">
        <v>39</v>
      </c>
    </row>
    <row r="778" spans="2:13" x14ac:dyDescent="0.25">
      <c r="B778" t="s">
        <v>13</v>
      </c>
      <c r="C778" t="s">
        <v>37</v>
      </c>
      <c r="D778" t="s">
        <v>124</v>
      </c>
      <c r="E778">
        <v>2027</v>
      </c>
      <c r="F778" t="s">
        <v>45</v>
      </c>
      <c r="G778" t="s">
        <v>17</v>
      </c>
      <c r="H778" t="s">
        <v>18</v>
      </c>
      <c r="I778" s="8">
        <v>-64168958.292499997</v>
      </c>
      <c r="J778" s="8"/>
      <c r="K778" s="8">
        <f>I778/1000000</f>
        <v>-64.168958292499994</v>
      </c>
      <c r="L778" s="8">
        <f>J778/1000000</f>
        <v>0</v>
      </c>
      <c r="M778" t="s">
        <v>39</v>
      </c>
    </row>
    <row r="779" spans="2:13" x14ac:dyDescent="0.25">
      <c r="B779" t="s">
        <v>13</v>
      </c>
      <c r="C779" t="s">
        <v>37</v>
      </c>
      <c r="D779" t="s">
        <v>124</v>
      </c>
      <c r="E779">
        <v>2028</v>
      </c>
      <c r="F779" t="s">
        <v>45</v>
      </c>
      <c r="G779" t="s">
        <v>17</v>
      </c>
      <c r="H779" t="s">
        <v>18</v>
      </c>
      <c r="I779" s="8">
        <v>-64168958.292499997</v>
      </c>
      <c r="J779" s="8"/>
      <c r="K779" s="8">
        <f>I779/1000000</f>
        <v>-64.168958292499994</v>
      </c>
      <c r="L779" s="8">
        <f>J779/1000000</f>
        <v>0</v>
      </c>
      <c r="M779" t="s">
        <v>39</v>
      </c>
    </row>
    <row r="780" spans="2:13" x14ac:dyDescent="0.25">
      <c r="B780" t="s">
        <v>13</v>
      </c>
      <c r="C780" t="s">
        <v>37</v>
      </c>
      <c r="D780" t="s">
        <v>124</v>
      </c>
      <c r="E780">
        <v>2029</v>
      </c>
      <c r="F780" t="s">
        <v>45</v>
      </c>
      <c r="G780" t="s">
        <v>17</v>
      </c>
      <c r="H780" t="s">
        <v>18</v>
      </c>
      <c r="I780" s="8">
        <v>-64168958.292499997</v>
      </c>
      <c r="J780" s="8"/>
      <c r="K780" s="8">
        <f>I780/1000000</f>
        <v>-64.168958292499994</v>
      </c>
      <c r="L780" s="8">
        <f>J780/1000000</f>
        <v>0</v>
      </c>
      <c r="M780" t="s">
        <v>39</v>
      </c>
    </row>
    <row r="781" spans="2:13" x14ac:dyDescent="0.25">
      <c r="B781" t="s">
        <v>13</v>
      </c>
      <c r="C781" t="s">
        <v>37</v>
      </c>
      <c r="D781" t="s">
        <v>124</v>
      </c>
      <c r="E781">
        <v>2030</v>
      </c>
      <c r="F781" t="s">
        <v>45</v>
      </c>
      <c r="G781" t="s">
        <v>17</v>
      </c>
      <c r="H781" t="s">
        <v>18</v>
      </c>
      <c r="I781" s="8">
        <v>-64168958.292499997</v>
      </c>
      <c r="J781" s="8"/>
      <c r="K781" s="8">
        <f>I781/1000000</f>
        <v>-64.168958292499994</v>
      </c>
      <c r="L781" s="8">
        <f>J781/1000000</f>
        <v>0</v>
      </c>
      <c r="M781" t="s">
        <v>39</v>
      </c>
    </row>
    <row r="782" spans="2:13" x14ac:dyDescent="0.25">
      <c r="B782" t="s">
        <v>13</v>
      </c>
      <c r="C782" t="s">
        <v>44</v>
      </c>
      <c r="D782" t="s">
        <v>110</v>
      </c>
      <c r="E782">
        <v>2026</v>
      </c>
      <c r="F782" t="s">
        <v>45</v>
      </c>
      <c r="G782" t="s">
        <v>17</v>
      </c>
      <c r="H782" t="s">
        <v>18</v>
      </c>
      <c r="I782" s="8">
        <v>-5348502.8</v>
      </c>
      <c r="J782" s="8"/>
      <c r="K782" s="8">
        <f>I782/1000000</f>
        <v>-5.3485027999999994</v>
      </c>
      <c r="L782" s="8">
        <f>J782/1000000</f>
        <v>0</v>
      </c>
      <c r="M782" t="s">
        <v>44</v>
      </c>
    </row>
    <row r="783" spans="2:13" x14ac:dyDescent="0.25">
      <c r="B783" t="s">
        <v>13</v>
      </c>
      <c r="C783" t="s">
        <v>44</v>
      </c>
      <c r="D783" t="s">
        <v>110</v>
      </c>
      <c r="E783">
        <v>2027</v>
      </c>
      <c r="F783" t="s">
        <v>45</v>
      </c>
      <c r="G783" t="s">
        <v>17</v>
      </c>
      <c r="H783" t="s">
        <v>18</v>
      </c>
      <c r="I783" s="8">
        <v>-5348502.8</v>
      </c>
      <c r="J783" s="8"/>
      <c r="K783" s="8">
        <f>I783/1000000</f>
        <v>-5.3485027999999994</v>
      </c>
      <c r="L783" s="8">
        <f>J783/1000000</f>
        <v>0</v>
      </c>
      <c r="M783" t="s">
        <v>44</v>
      </c>
    </row>
    <row r="784" spans="2:13" x14ac:dyDescent="0.25">
      <c r="B784" t="s">
        <v>13</v>
      </c>
      <c r="C784" t="s">
        <v>44</v>
      </c>
      <c r="D784" t="s">
        <v>110</v>
      </c>
      <c r="E784">
        <v>2028</v>
      </c>
      <c r="F784" t="s">
        <v>45</v>
      </c>
      <c r="G784" t="s">
        <v>17</v>
      </c>
      <c r="H784" t="s">
        <v>18</v>
      </c>
      <c r="I784" s="8">
        <v>-5348502.8</v>
      </c>
      <c r="J784" s="8"/>
      <c r="K784" s="8">
        <f>I784/1000000</f>
        <v>-5.3485027999999994</v>
      </c>
      <c r="L784" s="8">
        <f>J784/1000000</f>
        <v>0</v>
      </c>
      <c r="M784" t="s">
        <v>44</v>
      </c>
    </row>
    <row r="785" spans="2:13" x14ac:dyDescent="0.25">
      <c r="B785" t="s">
        <v>13</v>
      </c>
      <c r="C785" t="s">
        <v>44</v>
      </c>
      <c r="D785" t="s">
        <v>110</v>
      </c>
      <c r="E785">
        <v>2029</v>
      </c>
      <c r="F785" t="s">
        <v>45</v>
      </c>
      <c r="G785" t="s">
        <v>17</v>
      </c>
      <c r="H785" t="s">
        <v>18</v>
      </c>
      <c r="I785" s="8">
        <v>-5348502.8</v>
      </c>
      <c r="J785" s="8"/>
      <c r="K785" s="8">
        <f>I785/1000000</f>
        <v>-5.3485027999999994</v>
      </c>
      <c r="L785" s="8">
        <f>J785/1000000</f>
        <v>0</v>
      </c>
      <c r="M785" t="s">
        <v>44</v>
      </c>
    </row>
    <row r="786" spans="2:13" x14ac:dyDescent="0.25">
      <c r="B786" t="s">
        <v>13</v>
      </c>
      <c r="C786" t="s">
        <v>44</v>
      </c>
      <c r="D786" t="s">
        <v>110</v>
      </c>
      <c r="E786">
        <v>2030</v>
      </c>
      <c r="F786" t="s">
        <v>45</v>
      </c>
      <c r="G786" t="s">
        <v>17</v>
      </c>
      <c r="H786" t="s">
        <v>18</v>
      </c>
      <c r="I786" s="8">
        <v>-5348502.8</v>
      </c>
      <c r="J786" s="8"/>
      <c r="K786" s="8">
        <f>I786/1000000</f>
        <v>-5.3485027999999994</v>
      </c>
      <c r="L786" s="8">
        <f>J786/1000000</f>
        <v>0</v>
      </c>
      <c r="M786" t="s">
        <v>44</v>
      </c>
    </row>
    <row r="787" spans="2:13" x14ac:dyDescent="0.25">
      <c r="B787" t="s">
        <v>13</v>
      </c>
      <c r="C787" t="s">
        <v>44</v>
      </c>
      <c r="D787" t="s">
        <v>109</v>
      </c>
      <c r="E787">
        <v>2029</v>
      </c>
      <c r="F787" t="s">
        <v>45</v>
      </c>
      <c r="G787" t="s">
        <v>17</v>
      </c>
      <c r="H787" t="s">
        <v>18</v>
      </c>
      <c r="I787" s="8">
        <v>91303434.037799999</v>
      </c>
      <c r="J787" s="8">
        <v>50000000</v>
      </c>
      <c r="K787" s="8">
        <f>I787/1000000</f>
        <v>91.303434037800002</v>
      </c>
      <c r="L787" s="8">
        <f>J787/1000000</f>
        <v>50</v>
      </c>
      <c r="M787" t="s">
        <v>44</v>
      </c>
    </row>
    <row r="788" spans="2:13" x14ac:dyDescent="0.25">
      <c r="B788" t="s">
        <v>13</v>
      </c>
      <c r="C788" t="s">
        <v>44</v>
      </c>
      <c r="D788" t="s">
        <v>109</v>
      </c>
      <c r="E788">
        <v>2030</v>
      </c>
      <c r="F788" t="s">
        <v>45</v>
      </c>
      <c r="G788" t="s">
        <v>17</v>
      </c>
      <c r="H788" t="s">
        <v>18</v>
      </c>
      <c r="I788" s="8">
        <v>94836328.774700001</v>
      </c>
      <c r="J788" s="8">
        <v>50000000</v>
      </c>
      <c r="K788" s="8">
        <f>I788/1000000</f>
        <v>94.836328774700007</v>
      </c>
      <c r="L788" s="8">
        <f>J788/1000000</f>
        <v>50</v>
      </c>
      <c r="M788" t="s">
        <v>44</v>
      </c>
    </row>
    <row r="789" spans="2:13" x14ac:dyDescent="0.25">
      <c r="B789" t="s">
        <v>13</v>
      </c>
      <c r="C789" t="s">
        <v>44</v>
      </c>
      <c r="D789" t="s">
        <v>111</v>
      </c>
      <c r="E789">
        <v>2028</v>
      </c>
      <c r="F789" t="s">
        <v>45</v>
      </c>
      <c r="G789" t="s">
        <v>17</v>
      </c>
      <c r="H789" t="s">
        <v>18</v>
      </c>
      <c r="I789" s="8">
        <v>-37766879.501599997</v>
      </c>
      <c r="J789" s="8"/>
      <c r="K789" s="8">
        <f>I789/1000000</f>
        <v>-37.766879501599995</v>
      </c>
      <c r="L789" s="8">
        <f>J789/1000000</f>
        <v>0</v>
      </c>
      <c r="M789" t="s">
        <v>44</v>
      </c>
    </row>
    <row r="790" spans="2:13" x14ac:dyDescent="0.25">
      <c r="B790" t="s">
        <v>13</v>
      </c>
      <c r="C790" t="s">
        <v>44</v>
      </c>
      <c r="D790" t="s">
        <v>111</v>
      </c>
      <c r="E790">
        <v>2029</v>
      </c>
      <c r="F790" t="s">
        <v>45</v>
      </c>
      <c r="G790" t="s">
        <v>17</v>
      </c>
      <c r="H790" t="s">
        <v>18</v>
      </c>
      <c r="I790" s="8">
        <v>-75533759.003099993</v>
      </c>
      <c r="J790" s="8"/>
      <c r="K790" s="8">
        <f>I790/1000000</f>
        <v>-75.533759003099988</v>
      </c>
      <c r="L790" s="8">
        <f>J790/1000000</f>
        <v>0</v>
      </c>
      <c r="M790" t="s">
        <v>44</v>
      </c>
    </row>
    <row r="791" spans="2:13" x14ac:dyDescent="0.25">
      <c r="B791" t="s">
        <v>13</v>
      </c>
      <c r="C791" t="s">
        <v>44</v>
      </c>
      <c r="D791" t="s">
        <v>111</v>
      </c>
      <c r="E791">
        <v>2030</v>
      </c>
      <c r="F791" t="s">
        <v>45</v>
      </c>
      <c r="G791" t="s">
        <v>17</v>
      </c>
      <c r="H791" t="s">
        <v>18</v>
      </c>
      <c r="I791" s="8">
        <v>-75533759.003099993</v>
      </c>
      <c r="J791" s="8"/>
      <c r="K791" s="8">
        <f>I791/1000000</f>
        <v>-75.533759003099988</v>
      </c>
      <c r="L791" s="8">
        <f>J791/1000000</f>
        <v>0</v>
      </c>
      <c r="M791" t="s">
        <v>44</v>
      </c>
    </row>
    <row r="792" spans="2:13" x14ac:dyDescent="0.25">
      <c r="B792" t="s">
        <v>13</v>
      </c>
      <c r="C792" t="s">
        <v>44</v>
      </c>
      <c r="D792" t="s">
        <v>73</v>
      </c>
      <c r="E792">
        <v>2026</v>
      </c>
      <c r="F792" t="s">
        <v>45</v>
      </c>
      <c r="G792" t="s">
        <v>17</v>
      </c>
      <c r="H792" t="s">
        <v>18</v>
      </c>
      <c r="I792" s="8">
        <v>3376629.2738999999</v>
      </c>
      <c r="J792" s="8">
        <v>7400000</v>
      </c>
      <c r="K792" s="8">
        <f>I792/1000000</f>
        <v>3.3766292738999999</v>
      </c>
      <c r="L792" s="8">
        <f>J792/1000000</f>
        <v>7.4</v>
      </c>
      <c r="M792" t="s">
        <v>44</v>
      </c>
    </row>
    <row r="793" spans="2:13" x14ac:dyDescent="0.25">
      <c r="B793" t="s">
        <v>13</v>
      </c>
      <c r="C793" t="s">
        <v>44</v>
      </c>
      <c r="D793" t="s">
        <v>73</v>
      </c>
      <c r="E793">
        <v>2027</v>
      </c>
      <c r="F793" t="s">
        <v>45</v>
      </c>
      <c r="G793" t="s">
        <v>17</v>
      </c>
      <c r="H793" t="s">
        <v>18</v>
      </c>
      <c r="I793" s="8">
        <v>3376629.2738999999</v>
      </c>
      <c r="J793" s="8">
        <v>7400000</v>
      </c>
      <c r="K793" s="8">
        <f>I793/1000000</f>
        <v>3.3766292738999999</v>
      </c>
      <c r="L793" s="8">
        <f>J793/1000000</f>
        <v>7.4</v>
      </c>
      <c r="M793" t="s">
        <v>44</v>
      </c>
    </row>
    <row r="794" spans="2:13" x14ac:dyDescent="0.25">
      <c r="B794" t="s">
        <v>13</v>
      </c>
      <c r="C794" t="s">
        <v>44</v>
      </c>
      <c r="D794" t="s">
        <v>73</v>
      </c>
      <c r="E794">
        <v>2028</v>
      </c>
      <c r="F794" t="s">
        <v>45</v>
      </c>
      <c r="G794" t="s">
        <v>17</v>
      </c>
      <c r="H794" t="s">
        <v>18</v>
      </c>
      <c r="I794" s="8">
        <v>3288486.3728</v>
      </c>
      <c r="J794" s="8">
        <v>7400000</v>
      </c>
      <c r="K794" s="8">
        <f>I794/1000000</f>
        <v>3.2884863728</v>
      </c>
      <c r="L794" s="8">
        <f>J794/1000000</f>
        <v>7.4</v>
      </c>
      <c r="M794" t="s">
        <v>44</v>
      </c>
    </row>
    <row r="795" spans="2:13" x14ac:dyDescent="0.25">
      <c r="B795" t="s">
        <v>13</v>
      </c>
      <c r="C795" t="s">
        <v>44</v>
      </c>
      <c r="D795" t="s">
        <v>73</v>
      </c>
      <c r="E795">
        <v>2029</v>
      </c>
      <c r="F795" t="s">
        <v>45</v>
      </c>
      <c r="G795" t="s">
        <v>17</v>
      </c>
      <c r="H795" t="s">
        <v>18</v>
      </c>
      <c r="I795" s="8">
        <v>3288486.3728</v>
      </c>
      <c r="J795" s="8">
        <v>7400000</v>
      </c>
      <c r="K795" s="8">
        <f>I795/1000000</f>
        <v>3.2884863728</v>
      </c>
      <c r="L795" s="8">
        <f>J795/1000000</f>
        <v>7.4</v>
      </c>
      <c r="M795" t="s">
        <v>44</v>
      </c>
    </row>
    <row r="796" spans="2:13" x14ac:dyDescent="0.25">
      <c r="B796" t="s">
        <v>13</v>
      </c>
      <c r="C796" t="s">
        <v>44</v>
      </c>
      <c r="D796" t="s">
        <v>73</v>
      </c>
      <c r="E796">
        <v>2030</v>
      </c>
      <c r="F796" t="s">
        <v>45</v>
      </c>
      <c r="G796" t="s">
        <v>17</v>
      </c>
      <c r="H796" t="s">
        <v>18</v>
      </c>
      <c r="I796" s="8">
        <v>3288486.3728</v>
      </c>
      <c r="J796" s="8">
        <v>7400000</v>
      </c>
      <c r="K796" s="8">
        <f>I796/1000000</f>
        <v>3.2884863728</v>
      </c>
      <c r="L796" s="8">
        <f>J796/1000000</f>
        <v>7.4</v>
      </c>
      <c r="M796" t="s">
        <v>44</v>
      </c>
    </row>
    <row r="797" spans="2:13" x14ac:dyDescent="0.25">
      <c r="B797" t="s">
        <v>13</v>
      </c>
      <c r="C797" t="s">
        <v>37</v>
      </c>
      <c r="D797" t="s">
        <v>116</v>
      </c>
      <c r="E797">
        <v>2026</v>
      </c>
      <c r="F797" t="s">
        <v>45</v>
      </c>
      <c r="G797" t="s">
        <v>17</v>
      </c>
      <c r="H797" t="s">
        <v>18</v>
      </c>
      <c r="I797" s="8">
        <v>97108657.739999995</v>
      </c>
      <c r="J797" s="8"/>
      <c r="K797" s="8">
        <f>I797/1000000</f>
        <v>97.108657739999998</v>
      </c>
      <c r="L797" s="8">
        <f>J797/1000000</f>
        <v>0</v>
      </c>
      <c r="M797" t="s">
        <v>37</v>
      </c>
    </row>
    <row r="798" spans="2:13" x14ac:dyDescent="0.25">
      <c r="B798" t="s">
        <v>13</v>
      </c>
      <c r="C798" t="s">
        <v>37</v>
      </c>
      <c r="D798" t="s">
        <v>116</v>
      </c>
      <c r="E798">
        <v>2027</v>
      </c>
      <c r="F798" t="s">
        <v>45</v>
      </c>
      <c r="G798" t="s">
        <v>17</v>
      </c>
      <c r="H798" t="s">
        <v>18</v>
      </c>
      <c r="I798" s="8">
        <v>14608657.74</v>
      </c>
      <c r="J798" s="8"/>
      <c r="K798" s="8">
        <f>I798/1000000</f>
        <v>14.60865774</v>
      </c>
      <c r="L798" s="8">
        <f>J798/1000000</f>
        <v>0</v>
      </c>
      <c r="M798" t="s">
        <v>37</v>
      </c>
    </row>
    <row r="799" spans="2:13" x14ac:dyDescent="0.25">
      <c r="B799" t="s">
        <v>13</v>
      </c>
      <c r="C799" t="s">
        <v>37</v>
      </c>
      <c r="D799" t="s">
        <v>116</v>
      </c>
      <c r="E799">
        <v>2028</v>
      </c>
      <c r="F799" t="s">
        <v>45</v>
      </c>
      <c r="G799" t="s">
        <v>17</v>
      </c>
      <c r="H799" t="s">
        <v>18</v>
      </c>
      <c r="I799" s="8">
        <v>10375883.74</v>
      </c>
      <c r="J799" s="8"/>
      <c r="K799" s="8">
        <f>I799/1000000</f>
        <v>10.375883740000001</v>
      </c>
      <c r="L799" s="8">
        <f>J799/1000000</f>
        <v>0</v>
      </c>
      <c r="M799" t="s">
        <v>37</v>
      </c>
    </row>
    <row r="800" spans="2:13" x14ac:dyDescent="0.25">
      <c r="B800" t="s">
        <v>13</v>
      </c>
      <c r="C800" t="s">
        <v>37</v>
      </c>
      <c r="D800" t="s">
        <v>116</v>
      </c>
      <c r="E800">
        <v>2029</v>
      </c>
      <c r="F800" t="s">
        <v>45</v>
      </c>
      <c r="G800" t="s">
        <v>17</v>
      </c>
      <c r="H800" t="s">
        <v>18</v>
      </c>
      <c r="I800" s="8">
        <v>10375883.74</v>
      </c>
      <c r="J800" s="8"/>
      <c r="K800" s="8">
        <f>I800/1000000</f>
        <v>10.375883740000001</v>
      </c>
      <c r="L800" s="8">
        <f>J800/1000000</f>
        <v>0</v>
      </c>
      <c r="M800" t="s">
        <v>37</v>
      </c>
    </row>
    <row r="801" spans="2:13" x14ac:dyDescent="0.25">
      <c r="B801" t="s">
        <v>13</v>
      </c>
      <c r="C801" t="s">
        <v>37</v>
      </c>
      <c r="D801" t="s">
        <v>116</v>
      </c>
      <c r="E801">
        <v>2030</v>
      </c>
      <c r="F801" t="s">
        <v>45</v>
      </c>
      <c r="G801" t="s">
        <v>17</v>
      </c>
      <c r="H801" t="s">
        <v>18</v>
      </c>
      <c r="I801" s="8">
        <v>10375883.74</v>
      </c>
      <c r="J801" s="8"/>
      <c r="K801" s="8">
        <f>I801/1000000</f>
        <v>10.375883740000001</v>
      </c>
      <c r="L801" s="8">
        <f>J801/1000000</f>
        <v>0</v>
      </c>
      <c r="M801" t="s">
        <v>37</v>
      </c>
    </row>
    <row r="802" spans="2:13" x14ac:dyDescent="0.25">
      <c r="B802" t="s">
        <v>13</v>
      </c>
      <c r="C802" t="s">
        <v>37</v>
      </c>
      <c r="D802" t="s">
        <v>116</v>
      </c>
      <c r="E802">
        <v>2026</v>
      </c>
      <c r="F802" t="s">
        <v>45</v>
      </c>
      <c r="G802" t="s">
        <v>17</v>
      </c>
      <c r="H802" t="s">
        <v>18</v>
      </c>
      <c r="I802" s="8">
        <v>5391342.2599999998</v>
      </c>
      <c r="J802" s="8"/>
      <c r="K802" s="8">
        <f>I802/1000000</f>
        <v>5.3913422600000001</v>
      </c>
      <c r="L802" s="8">
        <f>J802/1000000</f>
        <v>0</v>
      </c>
      <c r="M802" t="s">
        <v>37</v>
      </c>
    </row>
    <row r="803" spans="2:13" x14ac:dyDescent="0.25">
      <c r="B803" t="s">
        <v>13</v>
      </c>
      <c r="C803" t="s">
        <v>37</v>
      </c>
      <c r="D803" t="s">
        <v>116</v>
      </c>
      <c r="E803">
        <v>2027</v>
      </c>
      <c r="F803" t="s">
        <v>45</v>
      </c>
      <c r="G803" t="s">
        <v>17</v>
      </c>
      <c r="H803" t="s">
        <v>18</v>
      </c>
      <c r="I803" s="8">
        <v>5391342.2599999998</v>
      </c>
      <c r="J803" s="8"/>
      <c r="K803" s="8">
        <f>I803/1000000</f>
        <v>5.3913422600000001</v>
      </c>
      <c r="L803" s="8">
        <f>J803/1000000</f>
        <v>0</v>
      </c>
      <c r="M803" t="s">
        <v>37</v>
      </c>
    </row>
    <row r="804" spans="2:13" x14ac:dyDescent="0.25">
      <c r="B804" t="s">
        <v>13</v>
      </c>
      <c r="C804" t="s">
        <v>37</v>
      </c>
      <c r="D804" t="s">
        <v>116</v>
      </c>
      <c r="E804">
        <v>2028</v>
      </c>
      <c r="F804" t="s">
        <v>45</v>
      </c>
      <c r="G804" t="s">
        <v>17</v>
      </c>
      <c r="H804" t="s">
        <v>18</v>
      </c>
      <c r="I804" s="8">
        <v>5391342.2599999998</v>
      </c>
      <c r="J804" s="8"/>
      <c r="K804" s="8">
        <f>I804/1000000</f>
        <v>5.3913422600000001</v>
      </c>
      <c r="L804" s="8">
        <f>J804/1000000</f>
        <v>0</v>
      </c>
      <c r="M804" t="s">
        <v>37</v>
      </c>
    </row>
    <row r="805" spans="2:13" x14ac:dyDescent="0.25">
      <c r="B805" t="s">
        <v>13</v>
      </c>
      <c r="C805" t="s">
        <v>37</v>
      </c>
      <c r="D805" t="s">
        <v>116</v>
      </c>
      <c r="E805">
        <v>2029</v>
      </c>
      <c r="F805" t="s">
        <v>45</v>
      </c>
      <c r="G805" t="s">
        <v>17</v>
      </c>
      <c r="H805" t="s">
        <v>18</v>
      </c>
      <c r="I805" s="8">
        <v>5391342.2599999998</v>
      </c>
      <c r="J805" s="8"/>
      <c r="K805" s="8">
        <f>I805/1000000</f>
        <v>5.3913422600000001</v>
      </c>
      <c r="L805" s="8">
        <f>J805/1000000</f>
        <v>0</v>
      </c>
      <c r="M805" t="s">
        <v>37</v>
      </c>
    </row>
    <row r="806" spans="2:13" x14ac:dyDescent="0.25">
      <c r="B806" t="s">
        <v>13</v>
      </c>
      <c r="C806" t="s">
        <v>37</v>
      </c>
      <c r="D806" t="s">
        <v>116</v>
      </c>
      <c r="E806">
        <v>2030</v>
      </c>
      <c r="F806" t="s">
        <v>45</v>
      </c>
      <c r="G806" t="s">
        <v>17</v>
      </c>
      <c r="H806" t="s">
        <v>18</v>
      </c>
      <c r="I806" s="8">
        <v>5391342.2599999998</v>
      </c>
      <c r="J806" s="8"/>
      <c r="K806" s="8">
        <f>I806/1000000</f>
        <v>5.3913422600000001</v>
      </c>
      <c r="L806" s="8">
        <f>J806/1000000</f>
        <v>0</v>
      </c>
      <c r="M806" t="s">
        <v>37</v>
      </c>
    </row>
    <row r="807" spans="2:13" x14ac:dyDescent="0.25">
      <c r="B807" t="s">
        <v>13</v>
      </c>
      <c r="C807" t="s">
        <v>37</v>
      </c>
      <c r="D807" t="s">
        <v>116</v>
      </c>
      <c r="E807">
        <v>2028</v>
      </c>
      <c r="F807" t="s">
        <v>45</v>
      </c>
      <c r="G807" t="s">
        <v>17</v>
      </c>
      <c r="H807" t="s">
        <v>18</v>
      </c>
      <c r="I807" s="8">
        <v>4232774</v>
      </c>
      <c r="J807" s="8"/>
      <c r="K807" s="8">
        <f>I807/1000000</f>
        <v>4.232774</v>
      </c>
      <c r="L807" s="8">
        <f>J807/1000000</f>
        <v>0</v>
      </c>
      <c r="M807" t="s">
        <v>37</v>
      </c>
    </row>
    <row r="808" spans="2:13" x14ac:dyDescent="0.25">
      <c r="B808" t="s">
        <v>13</v>
      </c>
      <c r="C808" t="s">
        <v>37</v>
      </c>
      <c r="D808" t="s">
        <v>116</v>
      </c>
      <c r="E808">
        <v>2029</v>
      </c>
      <c r="F808" t="s">
        <v>45</v>
      </c>
      <c r="G808" t="s">
        <v>17</v>
      </c>
      <c r="H808" t="s">
        <v>18</v>
      </c>
      <c r="I808" s="8">
        <v>4232774</v>
      </c>
      <c r="J808" s="8"/>
      <c r="K808" s="8">
        <f>I808/1000000</f>
        <v>4.232774</v>
      </c>
      <c r="L808" s="8">
        <f>J808/1000000</f>
        <v>0</v>
      </c>
      <c r="M808" t="s">
        <v>37</v>
      </c>
    </row>
    <row r="809" spans="2:13" x14ac:dyDescent="0.25">
      <c r="B809" t="s">
        <v>13</v>
      </c>
      <c r="C809" t="s">
        <v>37</v>
      </c>
      <c r="D809" t="s">
        <v>116</v>
      </c>
      <c r="E809">
        <v>2030</v>
      </c>
      <c r="F809" t="s">
        <v>45</v>
      </c>
      <c r="G809" t="s">
        <v>17</v>
      </c>
      <c r="H809" t="s">
        <v>18</v>
      </c>
      <c r="I809" s="8">
        <v>4232774</v>
      </c>
      <c r="J809" s="8"/>
      <c r="K809" s="8">
        <f>I809/1000000</f>
        <v>4.232774</v>
      </c>
      <c r="L809" s="8">
        <f>J809/1000000</f>
        <v>0</v>
      </c>
      <c r="M809" t="s">
        <v>37</v>
      </c>
    </row>
    <row r="810" spans="2:13" x14ac:dyDescent="0.25">
      <c r="B810" t="s">
        <v>13</v>
      </c>
      <c r="C810" t="s">
        <v>37</v>
      </c>
      <c r="D810" t="s">
        <v>15</v>
      </c>
      <c r="E810">
        <v>2029</v>
      </c>
      <c r="F810" t="s">
        <v>45</v>
      </c>
      <c r="G810" t="s">
        <v>17</v>
      </c>
      <c r="H810" t="s">
        <v>18</v>
      </c>
      <c r="I810" s="8">
        <v>2319876.5355000002</v>
      </c>
      <c r="J810" s="8"/>
      <c r="K810" s="8">
        <f>I810/1000000</f>
        <v>2.3198765355000002</v>
      </c>
      <c r="L810" s="8">
        <f>J810/1000000</f>
        <v>0</v>
      </c>
      <c r="M810" t="s">
        <v>19</v>
      </c>
    </row>
    <row r="811" spans="2:13" x14ac:dyDescent="0.25">
      <c r="B811" t="s">
        <v>13</v>
      </c>
      <c r="C811" t="s">
        <v>37</v>
      </c>
      <c r="D811" t="s">
        <v>15</v>
      </c>
      <c r="E811">
        <v>2028</v>
      </c>
      <c r="F811" t="s">
        <v>45</v>
      </c>
      <c r="G811" t="s">
        <v>17</v>
      </c>
      <c r="H811" t="s">
        <v>18</v>
      </c>
      <c r="I811" s="8">
        <v>2319876.5355000002</v>
      </c>
      <c r="J811" s="8"/>
      <c r="K811" s="8">
        <f>I811/1000000</f>
        <v>2.3198765355000002</v>
      </c>
      <c r="L811" s="8">
        <f>J811/1000000</f>
        <v>0</v>
      </c>
      <c r="M811" t="s">
        <v>19</v>
      </c>
    </row>
    <row r="812" spans="2:13" x14ac:dyDescent="0.25">
      <c r="B812" t="s">
        <v>13</v>
      </c>
      <c r="C812" t="s">
        <v>37</v>
      </c>
      <c r="D812" t="s">
        <v>15</v>
      </c>
      <c r="E812">
        <v>2027</v>
      </c>
      <c r="F812" t="s">
        <v>45</v>
      </c>
      <c r="G812" t="s">
        <v>17</v>
      </c>
      <c r="H812" t="s">
        <v>18</v>
      </c>
      <c r="I812" s="8">
        <v>2319876.5355000002</v>
      </c>
      <c r="J812" s="8"/>
      <c r="K812" s="8">
        <f>I812/1000000</f>
        <v>2.3198765355000002</v>
      </c>
      <c r="L812" s="8">
        <f>J812/1000000</f>
        <v>0</v>
      </c>
      <c r="M812" t="s">
        <v>19</v>
      </c>
    </row>
    <row r="813" spans="2:13" x14ac:dyDescent="0.25">
      <c r="B813" t="s">
        <v>13</v>
      </c>
      <c r="C813" t="s">
        <v>37</v>
      </c>
      <c r="D813" t="s">
        <v>15</v>
      </c>
      <c r="E813">
        <v>2026</v>
      </c>
      <c r="F813" t="s">
        <v>45</v>
      </c>
      <c r="G813" t="s">
        <v>17</v>
      </c>
      <c r="H813" t="s">
        <v>18</v>
      </c>
      <c r="I813" s="8">
        <v>2319876.5355000002</v>
      </c>
      <c r="J813" s="8"/>
      <c r="K813" s="8">
        <f>I813/1000000</f>
        <v>2.3198765355000002</v>
      </c>
      <c r="L813" s="8">
        <f>J813/1000000</f>
        <v>0</v>
      </c>
      <c r="M813" t="s">
        <v>19</v>
      </c>
    </row>
    <row r="814" spans="2:13" x14ac:dyDescent="0.25">
      <c r="B814" t="s">
        <v>13</v>
      </c>
      <c r="C814" t="s">
        <v>37</v>
      </c>
      <c r="D814" t="s">
        <v>15</v>
      </c>
      <c r="E814">
        <v>2030</v>
      </c>
      <c r="F814" t="s">
        <v>45</v>
      </c>
      <c r="G814" t="s">
        <v>17</v>
      </c>
      <c r="H814" t="s">
        <v>18</v>
      </c>
      <c r="I814" s="8">
        <v>2319876.5355000002</v>
      </c>
      <c r="J814" s="8"/>
      <c r="K814" s="8">
        <f>I814/1000000</f>
        <v>2.3198765355000002</v>
      </c>
      <c r="L814" s="8">
        <f>J814/1000000</f>
        <v>0</v>
      </c>
      <c r="M814" t="s">
        <v>19</v>
      </c>
    </row>
    <row r="815" spans="2:13" x14ac:dyDescent="0.25">
      <c r="B815" t="s">
        <v>13</v>
      </c>
      <c r="C815" t="s">
        <v>37</v>
      </c>
      <c r="D815" t="s">
        <v>76</v>
      </c>
      <c r="E815">
        <v>2030</v>
      </c>
      <c r="F815" t="s">
        <v>45</v>
      </c>
      <c r="G815" t="s">
        <v>17</v>
      </c>
      <c r="H815" t="s">
        <v>18</v>
      </c>
      <c r="I815" s="8">
        <v>40060569.513800003</v>
      </c>
      <c r="J815" s="8"/>
      <c r="K815" s="8">
        <f>I815/1000000</f>
        <v>40.060569513800004</v>
      </c>
      <c r="L815" s="8">
        <f>J815/1000000</f>
        <v>0</v>
      </c>
      <c r="M815" t="s">
        <v>39</v>
      </c>
    </row>
    <row r="816" spans="2:13" x14ac:dyDescent="0.25">
      <c r="B816" t="s">
        <v>13</v>
      </c>
      <c r="C816" t="s">
        <v>37</v>
      </c>
      <c r="D816" t="s">
        <v>76</v>
      </c>
      <c r="E816">
        <v>2029</v>
      </c>
      <c r="F816" t="s">
        <v>45</v>
      </c>
      <c r="G816" t="s">
        <v>17</v>
      </c>
      <c r="H816" t="s">
        <v>18</v>
      </c>
      <c r="I816" s="8">
        <v>40060569.513800003</v>
      </c>
      <c r="J816" s="8"/>
      <c r="K816" s="8">
        <f>I816/1000000</f>
        <v>40.060569513800004</v>
      </c>
      <c r="L816" s="8">
        <f>J816/1000000</f>
        <v>0</v>
      </c>
      <c r="M816" t="s">
        <v>39</v>
      </c>
    </row>
    <row r="817" spans="2:13" x14ac:dyDescent="0.25">
      <c r="B817" t="s">
        <v>13</v>
      </c>
      <c r="C817" t="s">
        <v>37</v>
      </c>
      <c r="D817" t="s">
        <v>76</v>
      </c>
      <c r="E817">
        <v>2028</v>
      </c>
      <c r="F817" t="s">
        <v>45</v>
      </c>
      <c r="G817" t="s">
        <v>17</v>
      </c>
      <c r="H817" t="s">
        <v>18</v>
      </c>
      <c r="I817" s="8">
        <v>40060569.513800003</v>
      </c>
      <c r="J817" s="8"/>
      <c r="K817" s="8">
        <f>I817/1000000</f>
        <v>40.060569513800004</v>
      </c>
      <c r="L817" s="8">
        <f>J817/1000000</f>
        <v>0</v>
      </c>
      <c r="M817" t="s">
        <v>39</v>
      </c>
    </row>
    <row r="818" spans="2:13" x14ac:dyDescent="0.25">
      <c r="B818" t="s">
        <v>13</v>
      </c>
      <c r="C818" t="s">
        <v>37</v>
      </c>
      <c r="D818" t="s">
        <v>76</v>
      </c>
      <c r="E818">
        <v>2027</v>
      </c>
      <c r="F818" t="s">
        <v>45</v>
      </c>
      <c r="G818" t="s">
        <v>17</v>
      </c>
      <c r="H818" t="s">
        <v>18</v>
      </c>
      <c r="I818" s="8">
        <v>40060569.513800003</v>
      </c>
      <c r="J818" s="8"/>
      <c r="K818" s="8">
        <f>I818/1000000</f>
        <v>40.060569513800004</v>
      </c>
      <c r="L818" s="8">
        <f>J818/1000000</f>
        <v>0</v>
      </c>
      <c r="M818" t="s">
        <v>39</v>
      </c>
    </row>
    <row r="819" spans="2:13" x14ac:dyDescent="0.25">
      <c r="B819" t="s">
        <v>13</v>
      </c>
      <c r="C819" t="s">
        <v>37</v>
      </c>
      <c r="D819" t="s">
        <v>76</v>
      </c>
      <c r="E819">
        <v>2026</v>
      </c>
      <c r="F819" t="s">
        <v>45</v>
      </c>
      <c r="G819" t="s">
        <v>17</v>
      </c>
      <c r="H819" t="s">
        <v>18</v>
      </c>
      <c r="I819" s="8">
        <v>40060569.513800003</v>
      </c>
      <c r="J819" s="8"/>
      <c r="K819" s="8">
        <f>I819/1000000</f>
        <v>40.060569513800004</v>
      </c>
      <c r="L819" s="8">
        <f>J819/1000000</f>
        <v>0</v>
      </c>
      <c r="M819" t="s">
        <v>39</v>
      </c>
    </row>
    <row r="820" spans="2:13" x14ac:dyDescent="0.25">
      <c r="B820" t="s">
        <v>13</v>
      </c>
      <c r="C820" t="s">
        <v>37</v>
      </c>
      <c r="D820" t="s">
        <v>76</v>
      </c>
      <c r="E820">
        <v>2027</v>
      </c>
      <c r="F820" t="s">
        <v>45</v>
      </c>
      <c r="G820" t="s">
        <v>17</v>
      </c>
      <c r="H820" t="s">
        <v>18</v>
      </c>
      <c r="I820" s="8">
        <v>-26750000</v>
      </c>
      <c r="J820" s="8">
        <v>0</v>
      </c>
      <c r="K820" s="8">
        <f>I820/1000000</f>
        <v>-26.75</v>
      </c>
      <c r="L820" s="8">
        <f>J820/1000000</f>
        <v>0</v>
      </c>
      <c r="M820" t="s">
        <v>37</v>
      </c>
    </row>
    <row r="821" spans="2:13" x14ac:dyDescent="0.25">
      <c r="B821" t="s">
        <v>13</v>
      </c>
      <c r="C821" t="s">
        <v>37</v>
      </c>
      <c r="D821" t="s">
        <v>76</v>
      </c>
      <c r="E821">
        <v>2028</v>
      </c>
      <c r="F821" t="s">
        <v>45</v>
      </c>
      <c r="G821" t="s">
        <v>17</v>
      </c>
      <c r="H821" t="s">
        <v>18</v>
      </c>
      <c r="I821" s="8">
        <v>-26750000</v>
      </c>
      <c r="J821" s="8">
        <v>0</v>
      </c>
      <c r="K821" s="8">
        <f>I821/1000000</f>
        <v>-26.75</v>
      </c>
      <c r="L821" s="8">
        <f>J821/1000000</f>
        <v>0</v>
      </c>
      <c r="M821" t="s">
        <v>37</v>
      </c>
    </row>
    <row r="822" spans="2:13" x14ac:dyDescent="0.25">
      <c r="B822" t="s">
        <v>13</v>
      </c>
      <c r="C822" t="s">
        <v>37</v>
      </c>
      <c r="D822" t="s">
        <v>76</v>
      </c>
      <c r="E822">
        <v>2026</v>
      </c>
      <c r="F822" t="s">
        <v>45</v>
      </c>
      <c r="G822" t="s">
        <v>17</v>
      </c>
      <c r="H822" t="s">
        <v>18</v>
      </c>
      <c r="I822" s="8">
        <v>-127012159.8</v>
      </c>
      <c r="J822" s="8">
        <v>0</v>
      </c>
      <c r="K822" s="8">
        <f>I822/1000000</f>
        <v>-127.01215979999999</v>
      </c>
      <c r="L822" s="8">
        <f>J822/1000000</f>
        <v>0</v>
      </c>
      <c r="M822" t="s">
        <v>37</v>
      </c>
    </row>
    <row r="823" spans="2:13" x14ac:dyDescent="0.25">
      <c r="B823" t="s">
        <v>13</v>
      </c>
      <c r="C823" t="s">
        <v>37</v>
      </c>
      <c r="D823" t="s">
        <v>76</v>
      </c>
      <c r="E823">
        <v>2026</v>
      </c>
      <c r="F823" t="s">
        <v>45</v>
      </c>
      <c r="G823" t="s">
        <v>17</v>
      </c>
      <c r="H823" t="s">
        <v>18</v>
      </c>
      <c r="I823" s="8">
        <v>53500000</v>
      </c>
      <c r="J823" s="8">
        <v>0</v>
      </c>
      <c r="K823" s="8">
        <f>I823/1000000</f>
        <v>53.5</v>
      </c>
      <c r="L823" s="8">
        <f>J823/1000000</f>
        <v>0</v>
      </c>
      <c r="M823" t="s">
        <v>37</v>
      </c>
    </row>
    <row r="824" spans="2:13" x14ac:dyDescent="0.25">
      <c r="B824" t="s">
        <v>13</v>
      </c>
      <c r="C824" t="s">
        <v>37</v>
      </c>
      <c r="D824" t="s">
        <v>72</v>
      </c>
      <c r="E824">
        <v>2030</v>
      </c>
      <c r="F824" t="s">
        <v>45</v>
      </c>
      <c r="G824" t="s">
        <v>17</v>
      </c>
      <c r="H824" t="s">
        <v>18</v>
      </c>
      <c r="I824" s="8">
        <v>15774187.0832</v>
      </c>
      <c r="J824" s="8"/>
      <c r="K824" s="8">
        <f>I824/1000000</f>
        <v>15.774187083200001</v>
      </c>
      <c r="L824" s="8">
        <f>J824/1000000</f>
        <v>0</v>
      </c>
      <c r="M824" t="s">
        <v>19</v>
      </c>
    </row>
    <row r="825" spans="2:13" x14ac:dyDescent="0.25">
      <c r="B825" t="s">
        <v>13</v>
      </c>
      <c r="C825" t="s">
        <v>37</v>
      </c>
      <c r="D825" t="s">
        <v>72</v>
      </c>
      <c r="E825">
        <v>2029</v>
      </c>
      <c r="F825" t="s">
        <v>45</v>
      </c>
      <c r="G825" t="s">
        <v>17</v>
      </c>
      <c r="H825" t="s">
        <v>18</v>
      </c>
      <c r="I825" s="8">
        <v>15774187.0832</v>
      </c>
      <c r="J825" s="8"/>
      <c r="K825" s="8">
        <f>I825/1000000</f>
        <v>15.774187083200001</v>
      </c>
      <c r="L825" s="8">
        <f>J825/1000000</f>
        <v>0</v>
      </c>
      <c r="M825" t="s">
        <v>19</v>
      </c>
    </row>
    <row r="826" spans="2:13" x14ac:dyDescent="0.25">
      <c r="B826" t="s">
        <v>13</v>
      </c>
      <c r="C826" t="s">
        <v>37</v>
      </c>
      <c r="D826" t="s">
        <v>72</v>
      </c>
      <c r="E826">
        <v>2028</v>
      </c>
      <c r="F826" t="s">
        <v>45</v>
      </c>
      <c r="G826" t="s">
        <v>17</v>
      </c>
      <c r="H826" t="s">
        <v>18</v>
      </c>
      <c r="I826" s="8">
        <v>15774187.0832</v>
      </c>
      <c r="J826" s="8"/>
      <c r="K826" s="8">
        <f>I826/1000000</f>
        <v>15.774187083200001</v>
      </c>
      <c r="L826" s="8">
        <f>J826/1000000</f>
        <v>0</v>
      </c>
      <c r="M826" t="s">
        <v>19</v>
      </c>
    </row>
    <row r="827" spans="2:13" x14ac:dyDescent="0.25">
      <c r="B827" t="s">
        <v>13</v>
      </c>
      <c r="C827" t="s">
        <v>37</v>
      </c>
      <c r="D827" t="s">
        <v>72</v>
      </c>
      <c r="E827">
        <v>2027</v>
      </c>
      <c r="F827" t="s">
        <v>45</v>
      </c>
      <c r="G827" t="s">
        <v>17</v>
      </c>
      <c r="H827" t="s">
        <v>18</v>
      </c>
      <c r="I827" s="8">
        <v>15774187.0832</v>
      </c>
      <c r="J827" s="8"/>
      <c r="K827" s="8">
        <f>I827/1000000</f>
        <v>15.774187083200001</v>
      </c>
      <c r="L827" s="8">
        <f>J827/1000000</f>
        <v>0</v>
      </c>
      <c r="M827" t="s">
        <v>19</v>
      </c>
    </row>
    <row r="828" spans="2:13" x14ac:dyDescent="0.25">
      <c r="B828" t="s">
        <v>13</v>
      </c>
      <c r="C828" t="s">
        <v>37</v>
      </c>
      <c r="D828" t="s">
        <v>72</v>
      </c>
      <c r="E828">
        <v>2026</v>
      </c>
      <c r="F828" t="s">
        <v>45</v>
      </c>
      <c r="G828" t="s">
        <v>17</v>
      </c>
      <c r="H828" t="s">
        <v>18</v>
      </c>
      <c r="I828" s="8">
        <v>15774187.0832</v>
      </c>
      <c r="J828" s="8"/>
      <c r="K828" s="8">
        <f>I828/1000000</f>
        <v>15.774187083200001</v>
      </c>
      <c r="L828" s="8">
        <f>J828/1000000</f>
        <v>0</v>
      </c>
      <c r="M828" t="s">
        <v>19</v>
      </c>
    </row>
    <row r="829" spans="2:13" x14ac:dyDescent="0.25">
      <c r="B829" t="s">
        <v>13</v>
      </c>
      <c r="C829" t="s">
        <v>37</v>
      </c>
      <c r="D829" t="s">
        <v>100</v>
      </c>
      <c r="E829">
        <v>2026</v>
      </c>
      <c r="F829" t="s">
        <v>45</v>
      </c>
      <c r="G829" t="s">
        <v>17</v>
      </c>
      <c r="H829" t="s">
        <v>18</v>
      </c>
      <c r="I829" s="8">
        <v>-14982164.1</v>
      </c>
      <c r="J829" s="8"/>
      <c r="K829" s="8">
        <f>I829/1000000</f>
        <v>-14.9821641</v>
      </c>
      <c r="L829" s="8">
        <f>J829/1000000</f>
        <v>0</v>
      </c>
      <c r="M829" t="s">
        <v>37</v>
      </c>
    </row>
    <row r="830" spans="2:13" x14ac:dyDescent="0.25">
      <c r="B830" t="s">
        <v>13</v>
      </c>
      <c r="C830" t="s">
        <v>37</v>
      </c>
      <c r="D830" t="s">
        <v>100</v>
      </c>
      <c r="E830">
        <v>2027</v>
      </c>
      <c r="F830" t="s">
        <v>45</v>
      </c>
      <c r="G830" t="s">
        <v>17</v>
      </c>
      <c r="H830" t="s">
        <v>18</v>
      </c>
      <c r="I830" s="8">
        <v>-14982164.1</v>
      </c>
      <c r="J830" s="8"/>
      <c r="K830" s="8">
        <f>I830/1000000</f>
        <v>-14.9821641</v>
      </c>
      <c r="L830" s="8">
        <f>J830/1000000</f>
        <v>0</v>
      </c>
      <c r="M830" t="s">
        <v>37</v>
      </c>
    </row>
    <row r="831" spans="2:13" x14ac:dyDescent="0.25">
      <c r="B831" t="s">
        <v>13</v>
      </c>
      <c r="C831" t="s">
        <v>37</v>
      </c>
      <c r="D831" t="s">
        <v>100</v>
      </c>
      <c r="E831">
        <v>2028</v>
      </c>
      <c r="F831" t="s">
        <v>45</v>
      </c>
      <c r="G831" t="s">
        <v>17</v>
      </c>
      <c r="H831" t="s">
        <v>18</v>
      </c>
      <c r="I831" s="8">
        <v>-14982164.1</v>
      </c>
      <c r="J831" s="8"/>
      <c r="K831" s="8">
        <f>I831/1000000</f>
        <v>-14.9821641</v>
      </c>
      <c r="L831" s="8">
        <f>J831/1000000</f>
        <v>0</v>
      </c>
      <c r="M831" t="s">
        <v>37</v>
      </c>
    </row>
    <row r="832" spans="2:13" x14ac:dyDescent="0.25">
      <c r="B832" t="s">
        <v>13</v>
      </c>
      <c r="C832" t="s">
        <v>37</v>
      </c>
      <c r="D832" t="s">
        <v>112</v>
      </c>
      <c r="E832">
        <v>2030</v>
      </c>
      <c r="F832" t="s">
        <v>45</v>
      </c>
      <c r="G832" t="s">
        <v>17</v>
      </c>
      <c r="H832" t="s">
        <v>18</v>
      </c>
      <c r="I832" s="8">
        <v>10159364</v>
      </c>
      <c r="J832" s="8"/>
      <c r="K832" s="8">
        <f>I832/1000000</f>
        <v>10.159364</v>
      </c>
      <c r="L832" s="8">
        <f>J832/1000000</f>
        <v>0</v>
      </c>
      <c r="M832" t="s">
        <v>37</v>
      </c>
    </row>
    <row r="833" spans="2:13" x14ac:dyDescent="0.25">
      <c r="B833" t="s">
        <v>13</v>
      </c>
      <c r="C833" t="s">
        <v>37</v>
      </c>
      <c r="D833" t="s">
        <v>112</v>
      </c>
      <c r="E833">
        <v>2029</v>
      </c>
      <c r="F833" t="s">
        <v>45</v>
      </c>
      <c r="G833" t="s">
        <v>17</v>
      </c>
      <c r="H833" t="s">
        <v>18</v>
      </c>
      <c r="I833" s="8">
        <v>34586</v>
      </c>
      <c r="J833" s="8"/>
      <c r="K833" s="8">
        <f>I833/1000000</f>
        <v>3.4585999999999999E-2</v>
      </c>
      <c r="L833" s="8">
        <f>J833/1000000</f>
        <v>0</v>
      </c>
      <c r="M833" t="s">
        <v>37</v>
      </c>
    </row>
    <row r="834" spans="2:13" x14ac:dyDescent="0.25">
      <c r="B834" t="s">
        <v>13</v>
      </c>
      <c r="C834" t="s">
        <v>37</v>
      </c>
      <c r="D834" t="s">
        <v>112</v>
      </c>
      <c r="E834">
        <v>2028</v>
      </c>
      <c r="F834" t="s">
        <v>45</v>
      </c>
      <c r="G834" t="s">
        <v>17</v>
      </c>
      <c r="H834" t="s">
        <v>18</v>
      </c>
      <c r="I834" s="8">
        <v>2814493</v>
      </c>
      <c r="J834" s="8"/>
      <c r="K834" s="8">
        <f>I834/1000000</f>
        <v>2.8144930000000001</v>
      </c>
      <c r="L834" s="8">
        <f>J834/1000000</f>
        <v>0</v>
      </c>
      <c r="M834" t="s">
        <v>37</v>
      </c>
    </row>
    <row r="835" spans="2:13" x14ac:dyDescent="0.25">
      <c r="B835" t="s">
        <v>13</v>
      </c>
      <c r="C835" t="s">
        <v>37</v>
      </c>
      <c r="D835" t="s">
        <v>112</v>
      </c>
      <c r="E835">
        <v>2029</v>
      </c>
      <c r="F835" t="s">
        <v>45</v>
      </c>
      <c r="G835" t="s">
        <v>17</v>
      </c>
      <c r="H835" t="s">
        <v>18</v>
      </c>
      <c r="I835" s="8">
        <v>7043861</v>
      </c>
      <c r="J835" s="8"/>
      <c r="K835" s="8">
        <f>I835/1000000</f>
        <v>7.0438609999999997</v>
      </c>
      <c r="L835" s="8">
        <f>J835/1000000</f>
        <v>0</v>
      </c>
      <c r="M835" t="s">
        <v>37</v>
      </c>
    </row>
    <row r="836" spans="2:13" x14ac:dyDescent="0.25">
      <c r="B836" t="s">
        <v>13</v>
      </c>
      <c r="C836" t="s">
        <v>37</v>
      </c>
      <c r="D836" t="s">
        <v>112</v>
      </c>
      <c r="E836">
        <v>2027</v>
      </c>
      <c r="F836" t="s">
        <v>45</v>
      </c>
      <c r="G836" t="s">
        <v>17</v>
      </c>
      <c r="H836" t="s">
        <v>18</v>
      </c>
      <c r="I836" s="8">
        <v>6247723</v>
      </c>
      <c r="J836" s="8"/>
      <c r="K836" s="8">
        <f>I836/1000000</f>
        <v>6.2477229999999997</v>
      </c>
      <c r="L836" s="8">
        <f>J836/1000000</f>
        <v>0</v>
      </c>
      <c r="M836" t="s">
        <v>37</v>
      </c>
    </row>
    <row r="837" spans="2:13" x14ac:dyDescent="0.25">
      <c r="B837" t="s">
        <v>13</v>
      </c>
      <c r="C837" t="s">
        <v>37</v>
      </c>
      <c r="D837" t="s">
        <v>112</v>
      </c>
      <c r="E837">
        <v>2028</v>
      </c>
      <c r="F837" t="s">
        <v>45</v>
      </c>
      <c r="G837" t="s">
        <v>17</v>
      </c>
      <c r="H837" t="s">
        <v>18</v>
      </c>
      <c r="I837" s="8">
        <v>18750654</v>
      </c>
      <c r="J837" s="8"/>
      <c r="K837" s="8">
        <f>I837/1000000</f>
        <v>18.750654000000001</v>
      </c>
      <c r="L837" s="8">
        <f>J837/1000000</f>
        <v>0</v>
      </c>
      <c r="M837" t="s">
        <v>37</v>
      </c>
    </row>
    <row r="838" spans="2:13" x14ac:dyDescent="0.25">
      <c r="B838" t="s">
        <v>13</v>
      </c>
      <c r="C838" t="s">
        <v>37</v>
      </c>
      <c r="D838" t="s">
        <v>112</v>
      </c>
      <c r="E838">
        <v>2027</v>
      </c>
      <c r="F838" t="s">
        <v>45</v>
      </c>
      <c r="G838" t="s">
        <v>17</v>
      </c>
      <c r="H838" t="s">
        <v>18</v>
      </c>
      <c r="I838" s="8">
        <v>13016357</v>
      </c>
      <c r="J838" s="8"/>
      <c r="K838" s="8">
        <f>I838/1000000</f>
        <v>13.016356999999999</v>
      </c>
      <c r="L838" s="8">
        <f>J838/1000000</f>
        <v>0</v>
      </c>
      <c r="M838" t="s">
        <v>37</v>
      </c>
    </row>
    <row r="839" spans="2:13" x14ac:dyDescent="0.25">
      <c r="B839" t="s">
        <v>13</v>
      </c>
      <c r="C839" t="s">
        <v>37</v>
      </c>
      <c r="D839" t="s">
        <v>112</v>
      </c>
      <c r="E839">
        <v>2030</v>
      </c>
      <c r="F839" t="s">
        <v>45</v>
      </c>
      <c r="G839" t="s">
        <v>17</v>
      </c>
      <c r="H839" t="s">
        <v>18</v>
      </c>
      <c r="I839" s="8">
        <v>23119</v>
      </c>
      <c r="J839" s="8"/>
      <c r="K839" s="8">
        <f>I839/1000000</f>
        <v>2.3119000000000001E-2</v>
      </c>
      <c r="L839" s="8">
        <f>J839/1000000</f>
        <v>0</v>
      </c>
      <c r="M839" t="s">
        <v>37</v>
      </c>
    </row>
    <row r="840" spans="2:13" x14ac:dyDescent="0.25">
      <c r="B840" t="s">
        <v>13</v>
      </c>
      <c r="C840" t="s">
        <v>37</v>
      </c>
      <c r="D840" t="s">
        <v>112</v>
      </c>
      <c r="E840">
        <v>2029</v>
      </c>
      <c r="F840" t="s">
        <v>45</v>
      </c>
      <c r="G840" t="s">
        <v>17</v>
      </c>
      <c r="H840" t="s">
        <v>18</v>
      </c>
      <c r="I840" s="8">
        <v>4095099</v>
      </c>
      <c r="J840" s="8"/>
      <c r="K840" s="8">
        <f>I840/1000000</f>
        <v>4.0950990000000003</v>
      </c>
      <c r="L840" s="8">
        <f>J840/1000000</f>
        <v>0</v>
      </c>
      <c r="M840" t="s">
        <v>37</v>
      </c>
    </row>
    <row r="841" spans="2:13" x14ac:dyDescent="0.25">
      <c r="B841" t="s">
        <v>13</v>
      </c>
      <c r="C841" t="s">
        <v>37</v>
      </c>
      <c r="D841" t="s">
        <v>112</v>
      </c>
      <c r="E841">
        <v>2028</v>
      </c>
      <c r="F841" t="s">
        <v>45</v>
      </c>
      <c r="G841" t="s">
        <v>17</v>
      </c>
      <c r="H841" t="s">
        <v>18</v>
      </c>
      <c r="I841" s="8">
        <v>36108</v>
      </c>
      <c r="J841" s="8"/>
      <c r="K841" s="8">
        <f>I841/1000000</f>
        <v>3.6108000000000001E-2</v>
      </c>
      <c r="L841" s="8">
        <f>J841/1000000</f>
        <v>0</v>
      </c>
      <c r="M841" t="s">
        <v>37</v>
      </c>
    </row>
    <row r="842" spans="2:13" x14ac:dyDescent="0.25">
      <c r="B842" t="s">
        <v>13</v>
      </c>
      <c r="C842" t="s">
        <v>37</v>
      </c>
      <c r="D842" t="s">
        <v>112</v>
      </c>
      <c r="E842">
        <v>2027</v>
      </c>
      <c r="F842" t="s">
        <v>45</v>
      </c>
      <c r="G842" t="s">
        <v>17</v>
      </c>
      <c r="H842" t="s">
        <v>18</v>
      </c>
      <c r="I842" s="8">
        <v>3789223</v>
      </c>
      <c r="J842" s="8"/>
      <c r="K842" s="8">
        <f>I842/1000000</f>
        <v>3.7892229999999998</v>
      </c>
      <c r="L842" s="8">
        <f>J842/1000000</f>
        <v>0</v>
      </c>
      <c r="M842" t="s">
        <v>37</v>
      </c>
    </row>
    <row r="843" spans="2:13" x14ac:dyDescent="0.25">
      <c r="B843" t="s">
        <v>13</v>
      </c>
      <c r="C843" t="s">
        <v>37</v>
      </c>
      <c r="D843" t="s">
        <v>112</v>
      </c>
      <c r="E843">
        <v>2026</v>
      </c>
      <c r="F843" t="s">
        <v>45</v>
      </c>
      <c r="G843" t="s">
        <v>17</v>
      </c>
      <c r="H843" t="s">
        <v>18</v>
      </c>
      <c r="I843" s="8">
        <v>240677</v>
      </c>
      <c r="J843" s="8"/>
      <c r="K843" s="8">
        <f>I843/1000000</f>
        <v>0.240677</v>
      </c>
      <c r="L843" s="8">
        <f>J843/1000000</f>
        <v>0</v>
      </c>
      <c r="M843" t="s">
        <v>37</v>
      </c>
    </row>
    <row r="844" spans="2:13" x14ac:dyDescent="0.25">
      <c r="B844" t="s">
        <v>13</v>
      </c>
      <c r="C844" t="s">
        <v>37</v>
      </c>
      <c r="D844" t="s">
        <v>112</v>
      </c>
      <c r="E844">
        <v>2026</v>
      </c>
      <c r="F844" t="s">
        <v>45</v>
      </c>
      <c r="G844" t="s">
        <v>17</v>
      </c>
      <c r="H844" t="s">
        <v>18</v>
      </c>
      <c r="I844" s="8">
        <v>240677</v>
      </c>
      <c r="J844" s="8"/>
      <c r="K844" s="8">
        <f>I844/1000000</f>
        <v>0.240677</v>
      </c>
      <c r="L844" s="8">
        <f>J844/1000000</f>
        <v>0</v>
      </c>
      <c r="M844" t="s">
        <v>37</v>
      </c>
    </row>
    <row r="845" spans="2:13" x14ac:dyDescent="0.25">
      <c r="B845" t="s">
        <v>13</v>
      </c>
      <c r="C845" t="s">
        <v>37</v>
      </c>
      <c r="D845" t="s">
        <v>112</v>
      </c>
      <c r="E845">
        <v>2026</v>
      </c>
      <c r="F845" t="s">
        <v>45</v>
      </c>
      <c r="G845" t="s">
        <v>17</v>
      </c>
      <c r="H845" t="s">
        <v>18</v>
      </c>
      <c r="I845" s="8">
        <v>240677</v>
      </c>
      <c r="J845" s="8"/>
      <c r="K845" s="8">
        <f>I845/1000000</f>
        <v>0.240677</v>
      </c>
      <c r="L845" s="8">
        <f>J845/1000000</f>
        <v>0</v>
      </c>
      <c r="M845" t="s">
        <v>37</v>
      </c>
    </row>
    <row r="846" spans="2:13" x14ac:dyDescent="0.25">
      <c r="B846" t="s">
        <v>13</v>
      </c>
      <c r="C846" t="s">
        <v>37</v>
      </c>
      <c r="D846" t="s">
        <v>113</v>
      </c>
      <c r="E846">
        <v>2030</v>
      </c>
      <c r="F846" t="s">
        <v>45</v>
      </c>
      <c r="G846" t="s">
        <v>17</v>
      </c>
      <c r="H846" t="s">
        <v>18</v>
      </c>
      <c r="I846" s="8">
        <v>51767675</v>
      </c>
      <c r="J846" s="8"/>
      <c r="K846" s="8">
        <f>I846/1000000</f>
        <v>51.767674999999997</v>
      </c>
      <c r="L846" s="8">
        <f>J846/1000000</f>
        <v>0</v>
      </c>
      <c r="M846" t="s">
        <v>37</v>
      </c>
    </row>
    <row r="847" spans="2:13" x14ac:dyDescent="0.25">
      <c r="B847" t="s">
        <v>13</v>
      </c>
      <c r="C847" t="s">
        <v>37</v>
      </c>
      <c r="D847" t="s">
        <v>113</v>
      </c>
      <c r="E847">
        <v>2029</v>
      </c>
      <c r="F847" t="s">
        <v>45</v>
      </c>
      <c r="G847" t="s">
        <v>17</v>
      </c>
      <c r="H847" t="s">
        <v>18</v>
      </c>
      <c r="I847" s="8">
        <v>51767675</v>
      </c>
      <c r="J847" s="8"/>
      <c r="K847" s="8">
        <f>I847/1000000</f>
        <v>51.767674999999997</v>
      </c>
      <c r="L847" s="8">
        <f>J847/1000000</f>
        <v>0</v>
      </c>
      <c r="M847" t="s">
        <v>37</v>
      </c>
    </row>
    <row r="848" spans="2:13" x14ac:dyDescent="0.25">
      <c r="B848" t="s">
        <v>13</v>
      </c>
      <c r="C848" t="s">
        <v>37</v>
      </c>
      <c r="D848" t="s">
        <v>113</v>
      </c>
      <c r="E848">
        <v>2028</v>
      </c>
      <c r="F848" t="s">
        <v>45</v>
      </c>
      <c r="G848" t="s">
        <v>17</v>
      </c>
      <c r="H848" t="s">
        <v>18</v>
      </c>
      <c r="I848" s="8">
        <v>48767675</v>
      </c>
      <c r="J848" s="8"/>
      <c r="K848" s="8">
        <f>I848/1000000</f>
        <v>48.767674999999997</v>
      </c>
      <c r="L848" s="8">
        <f>J848/1000000</f>
        <v>0</v>
      </c>
      <c r="M848" t="s">
        <v>37</v>
      </c>
    </row>
    <row r="849" spans="2:13" x14ac:dyDescent="0.25">
      <c r="B849" t="s">
        <v>13</v>
      </c>
      <c r="C849" t="s">
        <v>37</v>
      </c>
      <c r="D849" t="s">
        <v>113</v>
      </c>
      <c r="E849">
        <v>2027</v>
      </c>
      <c r="F849" t="s">
        <v>45</v>
      </c>
      <c r="G849" t="s">
        <v>17</v>
      </c>
      <c r="H849" t="s">
        <v>18</v>
      </c>
      <c r="I849" s="8">
        <v>49977675</v>
      </c>
      <c r="J849" s="8"/>
      <c r="K849" s="8">
        <f>I849/1000000</f>
        <v>49.977674999999998</v>
      </c>
      <c r="L849" s="8">
        <f>J849/1000000</f>
        <v>0</v>
      </c>
      <c r="M849" t="s">
        <v>37</v>
      </c>
    </row>
    <row r="850" spans="2:13" x14ac:dyDescent="0.25">
      <c r="B850" t="s">
        <v>13</v>
      </c>
      <c r="C850" t="s">
        <v>37</v>
      </c>
      <c r="D850" t="s">
        <v>113</v>
      </c>
      <c r="E850">
        <v>2026</v>
      </c>
      <c r="F850" t="s">
        <v>45</v>
      </c>
      <c r="G850" t="s">
        <v>17</v>
      </c>
      <c r="H850" t="s">
        <v>18</v>
      </c>
      <c r="I850" s="8">
        <v>7622222</v>
      </c>
      <c r="J850" s="8"/>
      <c r="K850" s="8">
        <f>I850/1000000</f>
        <v>7.6222219999999998</v>
      </c>
      <c r="L850" s="8">
        <f>J850/1000000</f>
        <v>0</v>
      </c>
      <c r="M850" t="s">
        <v>37</v>
      </c>
    </row>
    <row r="851" spans="2:13" x14ac:dyDescent="0.25">
      <c r="B851" t="s">
        <v>13</v>
      </c>
      <c r="C851" t="s">
        <v>37</v>
      </c>
      <c r="D851" t="s">
        <v>113</v>
      </c>
      <c r="E851">
        <v>2026</v>
      </c>
      <c r="F851" t="s">
        <v>45</v>
      </c>
      <c r="G851" t="s">
        <v>17</v>
      </c>
      <c r="H851" t="s">
        <v>18</v>
      </c>
      <c r="I851" s="8">
        <v>7622222</v>
      </c>
      <c r="J851" s="8"/>
      <c r="K851" s="8">
        <f>I851/1000000</f>
        <v>7.6222219999999998</v>
      </c>
      <c r="L851" s="8">
        <f>J851/1000000</f>
        <v>0</v>
      </c>
      <c r="M851" t="s">
        <v>37</v>
      </c>
    </row>
    <row r="852" spans="2:13" x14ac:dyDescent="0.25">
      <c r="B852" t="s">
        <v>13</v>
      </c>
      <c r="C852" t="s">
        <v>37</v>
      </c>
      <c r="D852" t="s">
        <v>113</v>
      </c>
      <c r="E852">
        <v>2026</v>
      </c>
      <c r="F852" t="s">
        <v>45</v>
      </c>
      <c r="G852" t="s">
        <v>17</v>
      </c>
      <c r="H852" t="s">
        <v>18</v>
      </c>
      <c r="I852" s="8">
        <v>7622222</v>
      </c>
      <c r="J852" s="8"/>
      <c r="K852" s="8">
        <f>I852/1000000</f>
        <v>7.6222219999999998</v>
      </c>
      <c r="L852" s="8">
        <f>J852/1000000</f>
        <v>0</v>
      </c>
      <c r="M852" t="s">
        <v>37</v>
      </c>
    </row>
    <row r="853" spans="2:13" x14ac:dyDescent="0.25">
      <c r="B853" t="s">
        <v>13</v>
      </c>
      <c r="C853" t="s">
        <v>37</v>
      </c>
      <c r="D853" t="s">
        <v>113</v>
      </c>
      <c r="E853">
        <v>2026</v>
      </c>
      <c r="F853" t="s">
        <v>45</v>
      </c>
      <c r="G853" t="s">
        <v>17</v>
      </c>
      <c r="H853" t="s">
        <v>18</v>
      </c>
      <c r="I853" s="8">
        <v>5463044</v>
      </c>
      <c r="J853" s="8"/>
      <c r="K853" s="8">
        <f>I853/1000000</f>
        <v>5.463044</v>
      </c>
      <c r="L853" s="8">
        <f>J853/1000000</f>
        <v>0</v>
      </c>
      <c r="M853" t="s">
        <v>37</v>
      </c>
    </row>
    <row r="854" spans="2:13" x14ac:dyDescent="0.25">
      <c r="B854" t="s">
        <v>13</v>
      </c>
      <c r="C854" t="s">
        <v>37</v>
      </c>
      <c r="D854" t="s">
        <v>113</v>
      </c>
      <c r="E854">
        <v>2026</v>
      </c>
      <c r="F854" t="s">
        <v>45</v>
      </c>
      <c r="G854" t="s">
        <v>17</v>
      </c>
      <c r="H854" t="s">
        <v>18</v>
      </c>
      <c r="I854" s="8">
        <v>5463044</v>
      </c>
      <c r="J854" s="8"/>
      <c r="K854" s="8">
        <f>I854/1000000</f>
        <v>5.463044</v>
      </c>
      <c r="L854" s="8">
        <f>J854/1000000</f>
        <v>0</v>
      </c>
      <c r="M854" t="s">
        <v>37</v>
      </c>
    </row>
    <row r="855" spans="2:13" x14ac:dyDescent="0.25">
      <c r="B855" t="s">
        <v>13</v>
      </c>
      <c r="C855" t="s">
        <v>37</v>
      </c>
      <c r="D855" t="s">
        <v>113</v>
      </c>
      <c r="E855">
        <v>2026</v>
      </c>
      <c r="F855" t="s">
        <v>45</v>
      </c>
      <c r="G855" t="s">
        <v>17</v>
      </c>
      <c r="H855" t="s">
        <v>18</v>
      </c>
      <c r="I855" s="8">
        <v>5463044</v>
      </c>
      <c r="J855" s="8"/>
      <c r="K855" s="8">
        <f>I855/1000000</f>
        <v>5.463044</v>
      </c>
      <c r="L855" s="8">
        <f>J855/1000000</f>
        <v>0</v>
      </c>
      <c r="M855" t="s">
        <v>37</v>
      </c>
    </row>
    <row r="856" spans="2:13" x14ac:dyDescent="0.25">
      <c r="B856" t="s">
        <v>13</v>
      </c>
      <c r="C856" t="s">
        <v>37</v>
      </c>
      <c r="D856" t="s">
        <v>113</v>
      </c>
      <c r="E856">
        <v>2026</v>
      </c>
      <c r="F856" t="s">
        <v>45</v>
      </c>
      <c r="G856" t="s">
        <v>17</v>
      </c>
      <c r="H856" t="s">
        <v>18</v>
      </c>
      <c r="I856" s="8">
        <v>4814057</v>
      </c>
      <c r="J856" s="8"/>
      <c r="K856" s="8">
        <f>I856/1000000</f>
        <v>4.814057</v>
      </c>
      <c r="L856" s="8">
        <f>J856/1000000</f>
        <v>0</v>
      </c>
      <c r="M856" t="s">
        <v>37</v>
      </c>
    </row>
    <row r="857" spans="2:13" x14ac:dyDescent="0.25">
      <c r="B857" t="s">
        <v>13</v>
      </c>
      <c r="C857" t="s">
        <v>37</v>
      </c>
      <c r="D857" t="s">
        <v>113</v>
      </c>
      <c r="E857">
        <v>2026</v>
      </c>
      <c r="F857" t="s">
        <v>45</v>
      </c>
      <c r="G857" t="s">
        <v>17</v>
      </c>
      <c r="H857" t="s">
        <v>18</v>
      </c>
      <c r="I857" s="8">
        <v>4814057</v>
      </c>
      <c r="J857" s="8"/>
      <c r="K857" s="8">
        <f>I857/1000000</f>
        <v>4.814057</v>
      </c>
      <c r="L857" s="8">
        <f>J857/1000000</f>
        <v>0</v>
      </c>
      <c r="M857" t="s">
        <v>37</v>
      </c>
    </row>
    <row r="858" spans="2:13" x14ac:dyDescent="0.25">
      <c r="B858" t="s">
        <v>13</v>
      </c>
      <c r="C858" t="s">
        <v>37</v>
      </c>
      <c r="D858" t="s">
        <v>113</v>
      </c>
      <c r="E858">
        <v>2026</v>
      </c>
      <c r="F858" t="s">
        <v>45</v>
      </c>
      <c r="G858" t="s">
        <v>17</v>
      </c>
      <c r="H858" t="s">
        <v>18</v>
      </c>
      <c r="I858" s="8">
        <v>4814057</v>
      </c>
      <c r="J858" s="8"/>
      <c r="K858" s="8">
        <f>I858/1000000</f>
        <v>4.814057</v>
      </c>
      <c r="L858" s="8">
        <f>J858/1000000</f>
        <v>0</v>
      </c>
      <c r="M858" t="s">
        <v>37</v>
      </c>
    </row>
    <row r="859" spans="2:13" x14ac:dyDescent="0.25">
      <c r="B859" t="s">
        <v>13</v>
      </c>
      <c r="C859" t="s">
        <v>37</v>
      </c>
      <c r="D859" t="s">
        <v>113</v>
      </c>
      <c r="E859">
        <v>2026</v>
      </c>
      <c r="F859" t="s">
        <v>45</v>
      </c>
      <c r="G859" t="s">
        <v>17</v>
      </c>
      <c r="H859" t="s">
        <v>18</v>
      </c>
      <c r="I859" s="8">
        <v>300000</v>
      </c>
      <c r="J859" s="8"/>
      <c r="K859" s="8">
        <f>I859/1000000</f>
        <v>0.3</v>
      </c>
      <c r="L859" s="8">
        <f>J859/1000000</f>
        <v>0</v>
      </c>
      <c r="M859" t="s">
        <v>37</v>
      </c>
    </row>
    <row r="860" spans="2:13" x14ac:dyDescent="0.25">
      <c r="B860" t="s">
        <v>13</v>
      </c>
      <c r="C860" t="s">
        <v>37</v>
      </c>
      <c r="D860" t="s">
        <v>113</v>
      </c>
      <c r="E860">
        <v>2026</v>
      </c>
      <c r="F860" t="s">
        <v>45</v>
      </c>
      <c r="G860" t="s">
        <v>17</v>
      </c>
      <c r="H860" t="s">
        <v>18</v>
      </c>
      <c r="I860" s="8">
        <v>300000</v>
      </c>
      <c r="J860" s="8"/>
      <c r="K860" s="8">
        <f>I860/1000000</f>
        <v>0.3</v>
      </c>
      <c r="L860" s="8">
        <f>J860/1000000</f>
        <v>0</v>
      </c>
      <c r="M860" t="s">
        <v>37</v>
      </c>
    </row>
    <row r="861" spans="2:13" x14ac:dyDescent="0.25">
      <c r="B861" t="s">
        <v>13</v>
      </c>
      <c r="C861" t="s">
        <v>37</v>
      </c>
      <c r="D861" t="s">
        <v>113</v>
      </c>
      <c r="E861">
        <v>2026</v>
      </c>
      <c r="F861" t="s">
        <v>45</v>
      </c>
      <c r="G861" t="s">
        <v>17</v>
      </c>
      <c r="H861" t="s">
        <v>18</v>
      </c>
      <c r="I861" s="8">
        <v>300000</v>
      </c>
      <c r="J861" s="8"/>
      <c r="K861" s="8">
        <f>I861/1000000</f>
        <v>0.3</v>
      </c>
      <c r="L861" s="8">
        <f>J861/1000000</f>
        <v>0</v>
      </c>
      <c r="M861" t="s">
        <v>37</v>
      </c>
    </row>
    <row r="862" spans="2:13" x14ac:dyDescent="0.25">
      <c r="B862" t="s">
        <v>13</v>
      </c>
      <c r="C862" t="s">
        <v>14</v>
      </c>
      <c r="D862" t="s">
        <v>115</v>
      </c>
      <c r="E862">
        <v>2026</v>
      </c>
      <c r="F862" t="s">
        <v>45</v>
      </c>
      <c r="G862" t="s">
        <v>17</v>
      </c>
      <c r="H862" t="s">
        <v>18</v>
      </c>
      <c r="I862" s="8">
        <v>1600000</v>
      </c>
      <c r="J862" s="8"/>
      <c r="K862" s="8">
        <f>I862/1000000</f>
        <v>1.6</v>
      </c>
      <c r="L862" s="8">
        <f>J862/1000000</f>
        <v>0</v>
      </c>
      <c r="M862" t="s">
        <v>37</v>
      </c>
    </row>
    <row r="863" spans="2:13" x14ac:dyDescent="0.25">
      <c r="B863" t="s">
        <v>13</v>
      </c>
      <c r="C863" t="s">
        <v>14</v>
      </c>
      <c r="D863" t="s">
        <v>115</v>
      </c>
      <c r="E863">
        <v>2027</v>
      </c>
      <c r="F863" t="s">
        <v>45</v>
      </c>
      <c r="G863" t="s">
        <v>17</v>
      </c>
      <c r="H863" t="s">
        <v>18</v>
      </c>
      <c r="I863" s="8">
        <v>1600000</v>
      </c>
      <c r="J863" s="8"/>
      <c r="K863" s="8">
        <f>I863/1000000</f>
        <v>1.6</v>
      </c>
      <c r="L863" s="8">
        <f>J863/1000000</f>
        <v>0</v>
      </c>
      <c r="M863" t="s">
        <v>37</v>
      </c>
    </row>
    <row r="864" spans="2:13" x14ac:dyDescent="0.25">
      <c r="B864" t="s">
        <v>13</v>
      </c>
      <c r="C864" t="s">
        <v>14</v>
      </c>
      <c r="D864" t="s">
        <v>115</v>
      </c>
      <c r="E864">
        <v>2028</v>
      </c>
      <c r="F864" t="s">
        <v>45</v>
      </c>
      <c r="G864" t="s">
        <v>17</v>
      </c>
      <c r="H864" t="s">
        <v>18</v>
      </c>
      <c r="I864" s="8">
        <v>1600000</v>
      </c>
      <c r="J864" s="8"/>
      <c r="K864" s="8">
        <f>I864/1000000</f>
        <v>1.6</v>
      </c>
      <c r="L864" s="8">
        <f>J864/1000000</f>
        <v>0</v>
      </c>
      <c r="M864" t="s">
        <v>37</v>
      </c>
    </row>
    <row r="865" spans="2:13" x14ac:dyDescent="0.25">
      <c r="B865" t="s">
        <v>13</v>
      </c>
      <c r="C865" t="s">
        <v>14</v>
      </c>
      <c r="D865" t="s">
        <v>115</v>
      </c>
      <c r="E865">
        <v>2029</v>
      </c>
      <c r="F865" t="s">
        <v>45</v>
      </c>
      <c r="G865" t="s">
        <v>17</v>
      </c>
      <c r="H865" t="s">
        <v>18</v>
      </c>
      <c r="I865" s="8">
        <v>1600000</v>
      </c>
      <c r="J865" s="8"/>
      <c r="K865" s="8">
        <f>I865/1000000</f>
        <v>1.6</v>
      </c>
      <c r="L865" s="8">
        <f>J865/1000000</f>
        <v>0</v>
      </c>
      <c r="M865" t="s">
        <v>37</v>
      </c>
    </row>
    <row r="866" spans="2:13" x14ac:dyDescent="0.25">
      <c r="B866" t="s">
        <v>13</v>
      </c>
      <c r="C866" t="s">
        <v>14</v>
      </c>
      <c r="D866" t="s">
        <v>115</v>
      </c>
      <c r="E866">
        <v>2030</v>
      </c>
      <c r="F866" t="s">
        <v>45</v>
      </c>
      <c r="G866" t="s">
        <v>17</v>
      </c>
      <c r="H866" t="s">
        <v>18</v>
      </c>
      <c r="I866" s="8">
        <v>1600000</v>
      </c>
      <c r="J866" s="8"/>
      <c r="K866" s="8">
        <f>I866/1000000</f>
        <v>1.6</v>
      </c>
      <c r="L866" s="8">
        <f>J866/1000000</f>
        <v>0</v>
      </c>
      <c r="M866" t="s">
        <v>37</v>
      </c>
    </row>
    <row r="867" spans="2:13" x14ac:dyDescent="0.25">
      <c r="B867" t="s">
        <v>13</v>
      </c>
      <c r="C867" t="s">
        <v>37</v>
      </c>
      <c r="D867" t="s">
        <v>116</v>
      </c>
      <c r="E867">
        <v>2026</v>
      </c>
      <c r="F867" t="s">
        <v>45</v>
      </c>
      <c r="G867" t="s">
        <v>17</v>
      </c>
      <c r="H867" t="s">
        <v>18</v>
      </c>
      <c r="I867" s="8">
        <v>-44900000</v>
      </c>
      <c r="J867" s="8"/>
      <c r="K867" s="8">
        <f>I867/1000000</f>
        <v>-44.9</v>
      </c>
      <c r="L867" s="8">
        <f>J867/1000000</f>
        <v>0</v>
      </c>
      <c r="M867" t="s">
        <v>37</v>
      </c>
    </row>
    <row r="868" spans="2:13" x14ac:dyDescent="0.25">
      <c r="B868" t="s">
        <v>13</v>
      </c>
      <c r="C868" t="s">
        <v>14</v>
      </c>
      <c r="D868" t="s">
        <v>15</v>
      </c>
      <c r="E868">
        <v>2028</v>
      </c>
      <c r="F868" t="s">
        <v>24</v>
      </c>
      <c r="G868" t="s">
        <v>17</v>
      </c>
      <c r="H868" t="s">
        <v>18</v>
      </c>
      <c r="I868" s="8">
        <v>2182969.6178000001</v>
      </c>
      <c r="J868" s="8">
        <v>726447.78947368404</v>
      </c>
      <c r="K868" s="8">
        <f>I868/1000000</f>
        <v>2.1829696178</v>
      </c>
      <c r="L868" s="8">
        <f>J868/1000000</f>
        <v>0.72644778947368405</v>
      </c>
      <c r="M868" t="s">
        <v>19</v>
      </c>
    </row>
    <row r="869" spans="2:13" x14ac:dyDescent="0.25">
      <c r="B869" t="s">
        <v>13</v>
      </c>
      <c r="C869" t="s">
        <v>46</v>
      </c>
      <c r="D869" t="s">
        <v>121</v>
      </c>
      <c r="E869">
        <v>2026</v>
      </c>
      <c r="F869" t="s">
        <v>24</v>
      </c>
      <c r="G869" t="s">
        <v>17</v>
      </c>
      <c r="H869" t="s">
        <v>18</v>
      </c>
      <c r="I869" s="8">
        <v>380188.1447</v>
      </c>
      <c r="J869" s="8">
        <v>795384.18859223695</v>
      </c>
      <c r="K869" s="8">
        <f>I869/1000000</f>
        <v>0.38018814470000001</v>
      </c>
      <c r="L869" s="8">
        <f>J869/1000000</f>
        <v>0.79538418859223692</v>
      </c>
      <c r="M869" t="s">
        <v>19</v>
      </c>
    </row>
    <row r="870" spans="2:13" x14ac:dyDescent="0.25">
      <c r="B870" t="s">
        <v>13</v>
      </c>
      <c r="C870" t="s">
        <v>46</v>
      </c>
      <c r="D870" t="s">
        <v>121</v>
      </c>
      <c r="E870">
        <v>2027</v>
      </c>
      <c r="F870" t="s">
        <v>24</v>
      </c>
      <c r="G870" t="s">
        <v>17</v>
      </c>
      <c r="H870" t="s">
        <v>18</v>
      </c>
      <c r="I870" s="8">
        <v>396221.34340000001</v>
      </c>
      <c r="J870" s="8">
        <v>812928.67312274699</v>
      </c>
      <c r="K870" s="8">
        <f>I870/1000000</f>
        <v>0.39622134340000004</v>
      </c>
      <c r="L870" s="8">
        <f>J870/1000000</f>
        <v>0.81292867312274697</v>
      </c>
      <c r="M870" t="s">
        <v>19</v>
      </c>
    </row>
    <row r="871" spans="2:13" x14ac:dyDescent="0.25">
      <c r="B871" t="s">
        <v>13</v>
      </c>
      <c r="C871" t="s">
        <v>46</v>
      </c>
      <c r="D871" t="s">
        <v>52</v>
      </c>
      <c r="E871">
        <v>2029</v>
      </c>
      <c r="F871" t="s">
        <v>24</v>
      </c>
      <c r="G871" t="s">
        <v>17</v>
      </c>
      <c r="H871" t="s">
        <v>18</v>
      </c>
      <c r="I871" s="8">
        <v>587730.04229999997</v>
      </c>
      <c r="J871" s="8">
        <v>469702.52113651799</v>
      </c>
      <c r="K871" s="8">
        <f>I871/1000000</f>
        <v>0.58773004229999992</v>
      </c>
      <c r="L871" s="8">
        <f>J871/1000000</f>
        <v>0.469702521136518</v>
      </c>
      <c r="M871" t="s">
        <v>19</v>
      </c>
    </row>
    <row r="872" spans="2:13" x14ac:dyDescent="0.25">
      <c r="B872" t="s">
        <v>13</v>
      </c>
      <c r="C872" t="s">
        <v>46</v>
      </c>
      <c r="D872" t="s">
        <v>52</v>
      </c>
      <c r="E872">
        <v>2030</v>
      </c>
      <c r="F872" t="s">
        <v>24</v>
      </c>
      <c r="G872" t="s">
        <v>17</v>
      </c>
      <c r="H872" t="s">
        <v>18</v>
      </c>
      <c r="I872" s="8">
        <v>562823.60849999997</v>
      </c>
      <c r="J872" s="8">
        <v>445704.40814454202</v>
      </c>
      <c r="K872" s="8">
        <f>I872/1000000</f>
        <v>0.56282360850000002</v>
      </c>
      <c r="L872" s="8">
        <f>J872/1000000</f>
        <v>0.44570440814454204</v>
      </c>
      <c r="M872" t="s">
        <v>19</v>
      </c>
    </row>
    <row r="873" spans="2:13" x14ac:dyDescent="0.25">
      <c r="B873" t="s">
        <v>13</v>
      </c>
      <c r="C873" t="s">
        <v>46</v>
      </c>
      <c r="D873" t="s">
        <v>69</v>
      </c>
      <c r="E873">
        <v>2029</v>
      </c>
      <c r="F873" t="s">
        <v>24</v>
      </c>
      <c r="G873" t="s">
        <v>17</v>
      </c>
      <c r="H873" t="s">
        <v>18</v>
      </c>
      <c r="I873" s="8">
        <v>1710735.6532999999</v>
      </c>
      <c r="J873" s="8">
        <v>748959.77155878104</v>
      </c>
      <c r="K873" s="8">
        <f>I873/1000000</f>
        <v>1.7107356533</v>
      </c>
      <c r="L873" s="8">
        <f>J873/1000000</f>
        <v>0.74895977155878102</v>
      </c>
      <c r="M873" t="s">
        <v>19</v>
      </c>
    </row>
    <row r="874" spans="2:13" x14ac:dyDescent="0.25">
      <c r="B874" t="s">
        <v>13</v>
      </c>
      <c r="C874" t="s">
        <v>46</v>
      </c>
      <c r="D874" t="s">
        <v>69</v>
      </c>
      <c r="E874">
        <v>2030</v>
      </c>
      <c r="F874" t="s">
        <v>24</v>
      </c>
      <c r="G874" t="s">
        <v>17</v>
      </c>
      <c r="H874" t="s">
        <v>18</v>
      </c>
      <c r="I874" s="8">
        <v>1305714.5438000001</v>
      </c>
      <c r="J874" s="8">
        <v>570304.76908053097</v>
      </c>
      <c r="K874" s="8">
        <f>I874/1000000</f>
        <v>1.3057145438000002</v>
      </c>
      <c r="L874" s="8">
        <f>J874/1000000</f>
        <v>0.57030476908053096</v>
      </c>
      <c r="M874" t="s">
        <v>19</v>
      </c>
    </row>
    <row r="875" spans="2:13" x14ac:dyDescent="0.25">
      <c r="B875" t="s">
        <v>13</v>
      </c>
      <c r="C875" t="s">
        <v>46</v>
      </c>
      <c r="D875" t="s">
        <v>74</v>
      </c>
      <c r="E875">
        <v>2029</v>
      </c>
      <c r="F875" t="s">
        <v>24</v>
      </c>
      <c r="G875" t="s">
        <v>17</v>
      </c>
      <c r="H875" t="s">
        <v>18</v>
      </c>
      <c r="I875" s="8">
        <v>201815.33480000001</v>
      </c>
      <c r="J875" s="8">
        <v>135026.53250624999</v>
      </c>
      <c r="K875" s="8">
        <f>I875/1000000</f>
        <v>0.20181533480000002</v>
      </c>
      <c r="L875" s="8">
        <f>J875/1000000</f>
        <v>0.13502653250624999</v>
      </c>
      <c r="M875" t="s">
        <v>19</v>
      </c>
    </row>
    <row r="876" spans="2:13" x14ac:dyDescent="0.25">
      <c r="B876" t="s">
        <v>13</v>
      </c>
      <c r="C876" t="s">
        <v>46</v>
      </c>
      <c r="D876" t="s">
        <v>74</v>
      </c>
      <c r="E876">
        <v>2030</v>
      </c>
      <c r="F876" t="s">
        <v>24</v>
      </c>
      <c r="G876" t="s">
        <v>17</v>
      </c>
      <c r="H876" t="s">
        <v>18</v>
      </c>
      <c r="I876" s="8">
        <v>160777.4155</v>
      </c>
      <c r="J876" s="8">
        <v>107955.73633124999</v>
      </c>
      <c r="K876" s="8">
        <f>I876/1000000</f>
        <v>0.16077741549999999</v>
      </c>
      <c r="L876" s="8">
        <f>J876/1000000</f>
        <v>0.10795573633125</v>
      </c>
      <c r="M876" t="s">
        <v>19</v>
      </c>
    </row>
    <row r="877" spans="2:13" x14ac:dyDescent="0.25">
      <c r="B877" t="s">
        <v>13</v>
      </c>
      <c r="C877" t="s">
        <v>46</v>
      </c>
      <c r="D877" t="s">
        <v>74</v>
      </c>
      <c r="E877">
        <v>2026</v>
      </c>
      <c r="F877" t="s">
        <v>24</v>
      </c>
      <c r="G877" t="s">
        <v>17</v>
      </c>
      <c r="H877" t="s">
        <v>18</v>
      </c>
      <c r="I877" s="8">
        <v>494095.38559999998</v>
      </c>
      <c r="J877" s="8">
        <v>292657.91703750001</v>
      </c>
      <c r="K877" s="8">
        <f>I877/1000000</f>
        <v>0.49409538559999999</v>
      </c>
      <c r="L877" s="8">
        <f>J877/1000000</f>
        <v>0.29265791703749999</v>
      </c>
      <c r="M877" t="s">
        <v>19</v>
      </c>
    </row>
    <row r="878" spans="2:13" x14ac:dyDescent="0.25">
      <c r="B878" t="s">
        <v>13</v>
      </c>
      <c r="C878" t="s">
        <v>46</v>
      </c>
      <c r="D878" t="s">
        <v>74</v>
      </c>
      <c r="E878">
        <v>2027</v>
      </c>
      <c r="F878" t="s">
        <v>24</v>
      </c>
      <c r="G878" t="s">
        <v>17</v>
      </c>
      <c r="H878" t="s">
        <v>18</v>
      </c>
      <c r="I878" s="8">
        <v>493567.71840000001</v>
      </c>
      <c r="J878" s="8">
        <v>298358.53115843702</v>
      </c>
      <c r="K878" s="8">
        <f>I878/1000000</f>
        <v>0.49356771840000002</v>
      </c>
      <c r="L878" s="8">
        <f>J878/1000000</f>
        <v>0.29835853115843702</v>
      </c>
      <c r="M878" t="s">
        <v>19</v>
      </c>
    </row>
    <row r="879" spans="2:13" x14ac:dyDescent="0.25">
      <c r="B879" t="s">
        <v>13</v>
      </c>
      <c r="C879" t="s">
        <v>46</v>
      </c>
      <c r="D879" t="s">
        <v>74</v>
      </c>
      <c r="E879">
        <v>2028</v>
      </c>
      <c r="F879" t="s">
        <v>24</v>
      </c>
      <c r="G879" t="s">
        <v>17</v>
      </c>
      <c r="H879" t="s">
        <v>18</v>
      </c>
      <c r="I879" s="8">
        <v>427886.55469999998</v>
      </c>
      <c r="J879" s="8">
        <v>279041.31867058098</v>
      </c>
      <c r="K879" s="8">
        <f>I879/1000000</f>
        <v>0.42788655469999998</v>
      </c>
      <c r="L879" s="8">
        <f>J879/1000000</f>
        <v>0.27904131867058096</v>
      </c>
      <c r="M879" t="s">
        <v>19</v>
      </c>
    </row>
    <row r="880" spans="2:13" x14ac:dyDescent="0.25">
      <c r="B880" t="s">
        <v>13</v>
      </c>
      <c r="C880" t="s">
        <v>46</v>
      </c>
      <c r="D880" t="s">
        <v>73</v>
      </c>
      <c r="E880">
        <v>2026</v>
      </c>
      <c r="F880" t="s">
        <v>24</v>
      </c>
      <c r="G880" t="s">
        <v>17</v>
      </c>
      <c r="H880" t="s">
        <v>18</v>
      </c>
      <c r="I880" s="8">
        <v>797763.00730000006</v>
      </c>
      <c r="J880" s="8">
        <v>847777.37939999998</v>
      </c>
      <c r="K880" s="8">
        <f>I880/1000000</f>
        <v>0.79776300730000005</v>
      </c>
      <c r="L880" s="8">
        <f>J880/1000000</f>
        <v>0.84777737939999998</v>
      </c>
      <c r="M880" t="s">
        <v>19</v>
      </c>
    </row>
    <row r="881" spans="2:13" x14ac:dyDescent="0.25">
      <c r="B881" t="s">
        <v>13</v>
      </c>
      <c r="C881" t="s">
        <v>46</v>
      </c>
      <c r="D881" t="s">
        <v>73</v>
      </c>
      <c r="E881">
        <v>2027</v>
      </c>
      <c r="F881" t="s">
        <v>24</v>
      </c>
      <c r="G881" t="s">
        <v>17</v>
      </c>
      <c r="H881" t="s">
        <v>18</v>
      </c>
      <c r="I881" s="8">
        <v>769602.34169999999</v>
      </c>
      <c r="J881" s="8">
        <v>820417.77567288</v>
      </c>
      <c r="K881" s="8">
        <f>I881/1000000</f>
        <v>0.76960234169999997</v>
      </c>
      <c r="L881" s="8">
        <f>J881/1000000</f>
        <v>0.82041777567287999</v>
      </c>
      <c r="M881" t="s">
        <v>19</v>
      </c>
    </row>
    <row r="882" spans="2:13" x14ac:dyDescent="0.25">
      <c r="B882" t="s">
        <v>13</v>
      </c>
      <c r="C882" t="s">
        <v>46</v>
      </c>
      <c r="D882" t="s">
        <v>73</v>
      </c>
      <c r="E882">
        <v>2028</v>
      </c>
      <c r="F882" t="s">
        <v>24</v>
      </c>
      <c r="G882" t="s">
        <v>17</v>
      </c>
      <c r="H882" t="s">
        <v>18</v>
      </c>
      <c r="I882" s="8">
        <v>387495.26169999997</v>
      </c>
      <c r="J882" s="8">
        <v>385464.21449568</v>
      </c>
      <c r="K882" s="8">
        <f>I882/1000000</f>
        <v>0.38749526169999998</v>
      </c>
      <c r="L882" s="8">
        <f>J882/1000000</f>
        <v>0.38546421449568002</v>
      </c>
      <c r="M882" t="s">
        <v>19</v>
      </c>
    </row>
    <row r="883" spans="2:13" x14ac:dyDescent="0.25">
      <c r="B883" t="s">
        <v>13</v>
      </c>
      <c r="C883" t="s">
        <v>46</v>
      </c>
      <c r="D883" t="s">
        <v>70</v>
      </c>
      <c r="E883">
        <v>2027</v>
      </c>
      <c r="F883" t="s">
        <v>24</v>
      </c>
      <c r="G883" t="s">
        <v>17</v>
      </c>
      <c r="H883" t="s">
        <v>18</v>
      </c>
      <c r="I883" s="8">
        <v>654000.54449999996</v>
      </c>
      <c r="J883" s="8">
        <v>468161.39439999999</v>
      </c>
      <c r="K883" s="8">
        <f>I883/1000000</f>
        <v>0.6540005445</v>
      </c>
      <c r="L883" s="8">
        <f>J883/1000000</f>
        <v>0.46816139439999999</v>
      </c>
      <c r="M883" t="s">
        <v>19</v>
      </c>
    </row>
    <row r="884" spans="2:13" x14ac:dyDescent="0.25">
      <c r="B884" t="s">
        <v>13</v>
      </c>
      <c r="C884" t="s">
        <v>46</v>
      </c>
      <c r="D884" t="s">
        <v>70</v>
      </c>
      <c r="E884">
        <v>2026</v>
      </c>
      <c r="F884" t="s">
        <v>24</v>
      </c>
      <c r="G884" t="s">
        <v>17</v>
      </c>
      <c r="H884" t="s">
        <v>18</v>
      </c>
      <c r="I884" s="8">
        <v>1208620.8683</v>
      </c>
      <c r="J884" s="8">
        <v>700285.00399999996</v>
      </c>
      <c r="K884" s="8">
        <f>I884/1000000</f>
        <v>1.2086208682999999</v>
      </c>
      <c r="L884" s="8">
        <f>J884/1000000</f>
        <v>0.70028500399999993</v>
      </c>
      <c r="M884" t="s">
        <v>19</v>
      </c>
    </row>
    <row r="885" spans="2:13" x14ac:dyDescent="0.25">
      <c r="B885" t="s">
        <v>13</v>
      </c>
      <c r="C885" t="s">
        <v>46</v>
      </c>
      <c r="D885" t="s">
        <v>38</v>
      </c>
      <c r="E885">
        <v>2026</v>
      </c>
      <c r="F885" t="s">
        <v>24</v>
      </c>
      <c r="G885" t="s">
        <v>17</v>
      </c>
      <c r="H885" t="s">
        <v>18</v>
      </c>
      <c r="I885" s="8">
        <v>256265.1986</v>
      </c>
      <c r="J885" s="8">
        <v>305762.00287500001</v>
      </c>
      <c r="K885" s="8">
        <f>I885/1000000</f>
        <v>0.25626519860000002</v>
      </c>
      <c r="L885" s="8">
        <f>J885/1000000</f>
        <v>0.30576200287499999</v>
      </c>
      <c r="M885" t="s">
        <v>39</v>
      </c>
    </row>
    <row r="886" spans="2:13" x14ac:dyDescent="0.25">
      <c r="B886" t="s">
        <v>13</v>
      </c>
      <c r="C886" t="s">
        <v>46</v>
      </c>
      <c r="D886" t="s">
        <v>38</v>
      </c>
      <c r="E886">
        <v>2027</v>
      </c>
      <c r="F886" t="s">
        <v>24</v>
      </c>
      <c r="G886" t="s">
        <v>17</v>
      </c>
      <c r="H886" t="s">
        <v>18</v>
      </c>
      <c r="I886" s="8">
        <v>312473.28529999999</v>
      </c>
      <c r="J886" s="8">
        <v>356656.508634375</v>
      </c>
      <c r="K886" s="8">
        <f>I886/1000000</f>
        <v>0.31247328530000001</v>
      </c>
      <c r="L886" s="8">
        <f>J886/1000000</f>
        <v>0.35665650863437498</v>
      </c>
      <c r="M886" t="s">
        <v>39</v>
      </c>
    </row>
    <row r="887" spans="2:13" x14ac:dyDescent="0.25">
      <c r="B887" t="s">
        <v>13</v>
      </c>
      <c r="C887" t="s">
        <v>46</v>
      </c>
      <c r="D887" t="s">
        <v>38</v>
      </c>
      <c r="E887">
        <v>2028</v>
      </c>
      <c r="F887" t="s">
        <v>24</v>
      </c>
      <c r="G887" t="s">
        <v>17</v>
      </c>
      <c r="H887" t="s">
        <v>18</v>
      </c>
      <c r="I887" s="8">
        <v>304405.93530000001</v>
      </c>
      <c r="J887" s="8">
        <v>320814.84129678103</v>
      </c>
      <c r="K887" s="8">
        <f>I887/1000000</f>
        <v>0.30440593529999999</v>
      </c>
      <c r="L887" s="8">
        <f>J887/1000000</f>
        <v>0.32081484129678101</v>
      </c>
      <c r="M887" t="s">
        <v>39</v>
      </c>
    </row>
    <row r="888" spans="2:13" x14ac:dyDescent="0.25">
      <c r="B888" t="s">
        <v>13</v>
      </c>
      <c r="C888" t="s">
        <v>46</v>
      </c>
      <c r="D888" t="s">
        <v>38</v>
      </c>
      <c r="E888">
        <v>2029</v>
      </c>
      <c r="F888" t="s">
        <v>24</v>
      </c>
      <c r="G888" t="s">
        <v>17</v>
      </c>
      <c r="H888" t="s">
        <v>18</v>
      </c>
      <c r="I888" s="8">
        <v>145808.72649999999</v>
      </c>
      <c r="J888" s="8">
        <v>135026.53250624999</v>
      </c>
      <c r="K888" s="8">
        <f>I888/1000000</f>
        <v>0.14580872649999999</v>
      </c>
      <c r="L888" s="8">
        <f>J888/1000000</f>
        <v>0.13502653250624999</v>
      </c>
      <c r="M888" t="s">
        <v>39</v>
      </c>
    </row>
    <row r="889" spans="2:13" x14ac:dyDescent="0.25">
      <c r="B889" t="s">
        <v>13</v>
      </c>
      <c r="C889" t="s">
        <v>46</v>
      </c>
      <c r="D889" t="s">
        <v>38</v>
      </c>
      <c r="E889">
        <v>2030</v>
      </c>
      <c r="F889" t="s">
        <v>24</v>
      </c>
      <c r="G889" t="s">
        <v>17</v>
      </c>
      <c r="H889" t="s">
        <v>18</v>
      </c>
      <c r="I889" s="8">
        <v>116576.26210000001</v>
      </c>
      <c r="J889" s="8">
        <v>107955.73633124999</v>
      </c>
      <c r="K889" s="8">
        <f>I889/1000000</f>
        <v>0.11657626210000001</v>
      </c>
      <c r="L889" s="8">
        <f>J889/1000000</f>
        <v>0.10795573633125</v>
      </c>
      <c r="M889" t="s">
        <v>39</v>
      </c>
    </row>
    <row r="890" spans="2:13" x14ac:dyDescent="0.25">
      <c r="B890" t="s">
        <v>13</v>
      </c>
      <c r="C890" t="s">
        <v>46</v>
      </c>
      <c r="D890" t="s">
        <v>15</v>
      </c>
      <c r="E890">
        <v>2029</v>
      </c>
      <c r="F890" t="s">
        <v>24</v>
      </c>
      <c r="G890" t="s">
        <v>17</v>
      </c>
      <c r="H890" t="s">
        <v>18</v>
      </c>
      <c r="I890" s="8">
        <v>271783.70779999997</v>
      </c>
      <c r="J890" s="8">
        <v>90444.077703131901</v>
      </c>
      <c r="K890" s="8">
        <f>I890/1000000</f>
        <v>0.2717837078</v>
      </c>
      <c r="L890" s="8">
        <f>J890/1000000</f>
        <v>9.0444077703131898E-2</v>
      </c>
      <c r="M890" t="s">
        <v>19</v>
      </c>
    </row>
    <row r="891" spans="2:13" x14ac:dyDescent="0.25">
      <c r="B891" t="s">
        <v>13</v>
      </c>
      <c r="C891" t="s">
        <v>46</v>
      </c>
      <c r="D891" t="s">
        <v>15</v>
      </c>
      <c r="E891">
        <v>2030</v>
      </c>
      <c r="F891" t="s">
        <v>24</v>
      </c>
      <c r="G891" t="s">
        <v>17</v>
      </c>
      <c r="H891" t="s">
        <v>18</v>
      </c>
      <c r="I891" s="8">
        <v>218386.9031</v>
      </c>
      <c r="J891" s="8">
        <v>72674.709574727603</v>
      </c>
      <c r="K891" s="8">
        <f>I891/1000000</f>
        <v>0.2183869031</v>
      </c>
      <c r="L891" s="8">
        <f>J891/1000000</f>
        <v>7.2674709574727603E-2</v>
      </c>
      <c r="M891" t="s">
        <v>19</v>
      </c>
    </row>
    <row r="892" spans="2:13" x14ac:dyDescent="0.25">
      <c r="B892" t="s">
        <v>13</v>
      </c>
      <c r="C892" t="s">
        <v>46</v>
      </c>
      <c r="D892" t="s">
        <v>100</v>
      </c>
      <c r="E892">
        <v>2028</v>
      </c>
      <c r="F892" t="s">
        <v>24</v>
      </c>
      <c r="G892" t="s">
        <v>17</v>
      </c>
      <c r="H892" t="s">
        <v>18</v>
      </c>
      <c r="I892" s="8">
        <v>497817.02830000001</v>
      </c>
      <c r="J892" s="8">
        <v>518559.404488242</v>
      </c>
      <c r="K892" s="8">
        <f>I892/1000000</f>
        <v>0.49781702830000002</v>
      </c>
      <c r="L892" s="8">
        <f>J892/1000000</f>
        <v>0.518559404488242</v>
      </c>
      <c r="M892" t="s">
        <v>19</v>
      </c>
    </row>
    <row r="893" spans="2:13" x14ac:dyDescent="0.25">
      <c r="B893" t="s">
        <v>13</v>
      </c>
      <c r="C893" t="s">
        <v>46</v>
      </c>
      <c r="D893" t="s">
        <v>100</v>
      </c>
      <c r="E893">
        <v>2029</v>
      </c>
      <c r="F893" t="s">
        <v>24</v>
      </c>
      <c r="G893" t="s">
        <v>17</v>
      </c>
      <c r="H893" t="s">
        <v>18</v>
      </c>
      <c r="I893" s="8">
        <v>445499.53820000001</v>
      </c>
      <c r="J893" s="8">
        <v>384051.32599223498</v>
      </c>
      <c r="K893" s="8">
        <f>I893/1000000</f>
        <v>0.44549953819999999</v>
      </c>
      <c r="L893" s="8">
        <f>J893/1000000</f>
        <v>0.38405132599223496</v>
      </c>
      <c r="M893" t="s">
        <v>19</v>
      </c>
    </row>
    <row r="894" spans="2:13" x14ac:dyDescent="0.25">
      <c r="B894" t="s">
        <v>13</v>
      </c>
      <c r="C894" t="s">
        <v>46</v>
      </c>
      <c r="D894" t="s">
        <v>100</v>
      </c>
      <c r="E894">
        <v>2030</v>
      </c>
      <c r="F894" t="s">
        <v>24</v>
      </c>
      <c r="G894" t="s">
        <v>17</v>
      </c>
      <c r="H894" t="s">
        <v>18</v>
      </c>
      <c r="I894" s="8">
        <v>360257.59179999999</v>
      </c>
      <c r="J894" s="8">
        <v>310566.88946730999</v>
      </c>
      <c r="K894" s="8">
        <f>I894/1000000</f>
        <v>0.3602575918</v>
      </c>
      <c r="L894" s="8">
        <f>J894/1000000</f>
        <v>0.31056688946730998</v>
      </c>
      <c r="M894" t="s">
        <v>19</v>
      </c>
    </row>
    <row r="895" spans="2:13" x14ac:dyDescent="0.25">
      <c r="B895" t="s">
        <v>13</v>
      </c>
      <c r="C895" t="s">
        <v>46</v>
      </c>
      <c r="D895" t="s">
        <v>72</v>
      </c>
      <c r="E895">
        <v>2029</v>
      </c>
      <c r="F895" t="s">
        <v>24</v>
      </c>
      <c r="G895" t="s">
        <v>17</v>
      </c>
      <c r="H895" t="s">
        <v>18</v>
      </c>
      <c r="I895" s="8">
        <v>832419.23580000002</v>
      </c>
      <c r="J895" s="8">
        <v>387591.56959686702</v>
      </c>
      <c r="K895" s="8">
        <f>I895/1000000</f>
        <v>0.83241923579999999</v>
      </c>
      <c r="L895" s="8">
        <f>J895/1000000</f>
        <v>0.38759156959686702</v>
      </c>
      <c r="M895" t="s">
        <v>19</v>
      </c>
    </row>
    <row r="896" spans="2:13" x14ac:dyDescent="0.25">
      <c r="B896" t="s">
        <v>13</v>
      </c>
      <c r="C896" t="s">
        <v>46</v>
      </c>
      <c r="D896" t="s">
        <v>72</v>
      </c>
      <c r="E896">
        <v>2030</v>
      </c>
      <c r="F896" t="s">
        <v>24</v>
      </c>
      <c r="G896" t="s">
        <v>17</v>
      </c>
      <c r="H896" t="s">
        <v>18</v>
      </c>
      <c r="I896" s="8">
        <v>673131.81610000005</v>
      </c>
      <c r="J896" s="8">
        <v>313424.06079485401</v>
      </c>
      <c r="K896" s="8">
        <f>I896/1000000</f>
        <v>0.67313181610000006</v>
      </c>
      <c r="L896" s="8">
        <f>J896/1000000</f>
        <v>0.31342406079485402</v>
      </c>
      <c r="M896" t="s">
        <v>19</v>
      </c>
    </row>
    <row r="897" spans="2:13" x14ac:dyDescent="0.25">
      <c r="B897" t="s">
        <v>13</v>
      </c>
      <c r="C897" t="s">
        <v>46</v>
      </c>
      <c r="D897" t="s">
        <v>76</v>
      </c>
      <c r="E897">
        <v>2028</v>
      </c>
      <c r="F897" t="s">
        <v>24</v>
      </c>
      <c r="G897" t="s">
        <v>17</v>
      </c>
      <c r="H897" t="s">
        <v>18</v>
      </c>
      <c r="I897" s="8">
        <v>2400089.5392</v>
      </c>
      <c r="J897" s="8">
        <v>747532.33709502802</v>
      </c>
      <c r="K897" s="8">
        <f>I897/1000000</f>
        <v>2.4000895392000001</v>
      </c>
      <c r="L897" s="8">
        <f>J897/1000000</f>
        <v>0.74753233709502798</v>
      </c>
      <c r="M897" t="s">
        <v>39</v>
      </c>
    </row>
    <row r="898" spans="2:13" x14ac:dyDescent="0.25">
      <c r="B898" t="s">
        <v>13</v>
      </c>
      <c r="C898" t="s">
        <v>46</v>
      </c>
      <c r="D898" t="s">
        <v>76</v>
      </c>
      <c r="E898">
        <v>2029</v>
      </c>
      <c r="F898" t="s">
        <v>24</v>
      </c>
      <c r="G898" t="s">
        <v>17</v>
      </c>
      <c r="H898" t="s">
        <v>18</v>
      </c>
      <c r="I898" s="8">
        <v>2319050.1249000002</v>
      </c>
      <c r="J898" s="8">
        <v>722291.78594155097</v>
      </c>
      <c r="K898" s="8">
        <f>I898/1000000</f>
        <v>2.3190501249</v>
      </c>
      <c r="L898" s="8">
        <f>J898/1000000</f>
        <v>0.72229178594155097</v>
      </c>
      <c r="M898" t="s">
        <v>39</v>
      </c>
    </row>
    <row r="899" spans="2:13" x14ac:dyDescent="0.25">
      <c r="B899" t="s">
        <v>13</v>
      </c>
      <c r="C899" t="s">
        <v>46</v>
      </c>
      <c r="D899" t="s">
        <v>76</v>
      </c>
      <c r="E899">
        <v>2030</v>
      </c>
      <c r="F899" t="s">
        <v>24</v>
      </c>
      <c r="G899" t="s">
        <v>17</v>
      </c>
      <c r="H899" t="s">
        <v>18</v>
      </c>
      <c r="I899" s="8">
        <v>2194660.8561999998</v>
      </c>
      <c r="J899" s="8">
        <v>683549.48103151994</v>
      </c>
      <c r="K899" s="8">
        <f>I899/1000000</f>
        <v>2.1946608561999996</v>
      </c>
      <c r="L899" s="8">
        <f>J899/1000000</f>
        <v>0.68354948103151991</v>
      </c>
      <c r="M899" t="s">
        <v>39</v>
      </c>
    </row>
    <row r="900" spans="2:13" x14ac:dyDescent="0.25">
      <c r="B900" t="s">
        <v>13</v>
      </c>
      <c r="C900" t="s">
        <v>46</v>
      </c>
      <c r="D900" t="s">
        <v>103</v>
      </c>
      <c r="E900">
        <v>2029</v>
      </c>
      <c r="F900" t="s">
        <v>24</v>
      </c>
      <c r="G900" t="s">
        <v>17</v>
      </c>
      <c r="H900" t="s">
        <v>18</v>
      </c>
      <c r="I900" s="8">
        <v>13104.8439</v>
      </c>
      <c r="J900" s="8">
        <v>1258.8284854013</v>
      </c>
      <c r="K900" s="8">
        <f>I900/1000000</f>
        <v>1.31048439E-2</v>
      </c>
      <c r="L900" s="8">
        <f>J900/1000000</f>
        <v>1.2588284854012999E-3</v>
      </c>
      <c r="M900" t="s">
        <v>39</v>
      </c>
    </row>
    <row r="901" spans="2:13" x14ac:dyDescent="0.25">
      <c r="B901" t="s">
        <v>13</v>
      </c>
      <c r="C901" t="s">
        <v>46</v>
      </c>
      <c r="D901" t="s">
        <v>103</v>
      </c>
      <c r="E901">
        <v>2030</v>
      </c>
      <c r="F901" t="s">
        <v>24</v>
      </c>
      <c r="G901" t="s">
        <v>17</v>
      </c>
      <c r="H901" t="s">
        <v>18</v>
      </c>
      <c r="I901" s="8">
        <v>9318.1481000000003</v>
      </c>
      <c r="J901" s="8">
        <v>895.08508624240005</v>
      </c>
      <c r="K901" s="8">
        <f>I901/1000000</f>
        <v>9.3181480999999997E-3</v>
      </c>
      <c r="L901" s="8">
        <f>J901/1000000</f>
        <v>8.9508508624240005E-4</v>
      </c>
      <c r="M901" t="s">
        <v>39</v>
      </c>
    </row>
    <row r="902" spans="2:13" x14ac:dyDescent="0.25">
      <c r="B902" t="s">
        <v>13</v>
      </c>
      <c r="C902" t="s">
        <v>46</v>
      </c>
      <c r="D902" t="s">
        <v>69</v>
      </c>
      <c r="E902">
        <v>2028</v>
      </c>
      <c r="F902" t="s">
        <v>24</v>
      </c>
      <c r="G902" t="s">
        <v>17</v>
      </c>
      <c r="H902" t="s">
        <v>18</v>
      </c>
      <c r="I902" s="8">
        <v>1331964.6033999999</v>
      </c>
      <c r="J902" s="8">
        <v>508538.38917922199</v>
      </c>
      <c r="K902" s="8">
        <f>I902/1000000</f>
        <v>1.3319646033999999</v>
      </c>
      <c r="L902" s="8">
        <f>J902/1000000</f>
        <v>0.50853838917922201</v>
      </c>
      <c r="M902" t="s">
        <v>19</v>
      </c>
    </row>
    <row r="903" spans="2:13" x14ac:dyDescent="0.25">
      <c r="B903" t="s">
        <v>13</v>
      </c>
      <c r="C903" t="s">
        <v>46</v>
      </c>
      <c r="D903" t="s">
        <v>70</v>
      </c>
      <c r="E903">
        <v>2028</v>
      </c>
      <c r="F903" t="s">
        <v>24</v>
      </c>
      <c r="G903" t="s">
        <v>17</v>
      </c>
      <c r="H903" t="s">
        <v>18</v>
      </c>
      <c r="I903" s="8">
        <v>262629.07510000002</v>
      </c>
      <c r="J903" s="8">
        <v>185896.49735941101</v>
      </c>
      <c r="K903" s="8">
        <f>I903/1000000</f>
        <v>0.2626290751</v>
      </c>
      <c r="L903" s="8">
        <f>J903/1000000</f>
        <v>0.18589649735941099</v>
      </c>
      <c r="M903" t="s">
        <v>19</v>
      </c>
    </row>
    <row r="904" spans="2:13" x14ac:dyDescent="0.25">
      <c r="B904" t="s">
        <v>13</v>
      </c>
      <c r="C904" t="s">
        <v>46</v>
      </c>
      <c r="D904" t="s">
        <v>15</v>
      </c>
      <c r="E904">
        <v>2028</v>
      </c>
      <c r="F904" t="s">
        <v>24</v>
      </c>
      <c r="G904" t="s">
        <v>17</v>
      </c>
      <c r="H904" t="s">
        <v>18</v>
      </c>
      <c r="I904" s="8">
        <v>386055.59029999998</v>
      </c>
      <c r="J904" s="8">
        <v>128471.430809549</v>
      </c>
      <c r="K904" s="8">
        <f>I904/1000000</f>
        <v>0.38605559029999997</v>
      </c>
      <c r="L904" s="8">
        <f>J904/1000000</f>
        <v>0.12847143080954901</v>
      </c>
      <c r="M904" t="s">
        <v>19</v>
      </c>
    </row>
    <row r="905" spans="2:13" x14ac:dyDescent="0.25">
      <c r="B905" t="s">
        <v>13</v>
      </c>
      <c r="C905" t="s">
        <v>46</v>
      </c>
      <c r="D905" t="s">
        <v>52</v>
      </c>
      <c r="E905">
        <v>2028</v>
      </c>
      <c r="F905" t="s">
        <v>24</v>
      </c>
      <c r="G905" t="s">
        <v>17</v>
      </c>
      <c r="H905" t="s">
        <v>18</v>
      </c>
      <c r="I905" s="8">
        <v>1629002.3576</v>
      </c>
      <c r="J905" s="8">
        <v>1319779.98030307</v>
      </c>
      <c r="K905" s="8">
        <f>I905/1000000</f>
        <v>1.6290023575999999</v>
      </c>
      <c r="L905" s="8">
        <f>J905/1000000</f>
        <v>1.3197799803030701</v>
      </c>
      <c r="M905" t="s">
        <v>19</v>
      </c>
    </row>
    <row r="906" spans="2:13" x14ac:dyDescent="0.25">
      <c r="B906" t="s">
        <v>13</v>
      </c>
      <c r="C906" t="s">
        <v>46</v>
      </c>
      <c r="D906" t="s">
        <v>72</v>
      </c>
      <c r="E906">
        <v>2028</v>
      </c>
      <c r="F906" t="s">
        <v>24</v>
      </c>
      <c r="G906" t="s">
        <v>17</v>
      </c>
      <c r="H906" t="s">
        <v>18</v>
      </c>
      <c r="I906" s="8">
        <v>1202951.1676</v>
      </c>
      <c r="J906" s="8">
        <v>560118.88141043996</v>
      </c>
      <c r="K906" s="8">
        <f>I906/1000000</f>
        <v>1.2029511676</v>
      </c>
      <c r="L906" s="8">
        <f>J906/1000000</f>
        <v>0.56011888141043997</v>
      </c>
      <c r="M906" t="s">
        <v>19</v>
      </c>
    </row>
    <row r="907" spans="2:13" x14ac:dyDescent="0.25">
      <c r="B907" t="s">
        <v>13</v>
      </c>
      <c r="C907" t="s">
        <v>46</v>
      </c>
      <c r="D907" t="s">
        <v>100</v>
      </c>
      <c r="E907">
        <v>2027</v>
      </c>
      <c r="F907" t="s">
        <v>24</v>
      </c>
      <c r="G907" t="s">
        <v>17</v>
      </c>
      <c r="H907" t="s">
        <v>18</v>
      </c>
      <c r="I907" s="8">
        <v>207721.9319</v>
      </c>
      <c r="J907" s="8">
        <v>206073.34514774199</v>
      </c>
      <c r="K907" s="8">
        <f>I907/1000000</f>
        <v>0.20772193189999999</v>
      </c>
      <c r="L907" s="8">
        <f>J907/1000000</f>
        <v>0.20607334514774198</v>
      </c>
      <c r="M907" t="s">
        <v>19</v>
      </c>
    </row>
    <row r="908" spans="2:13" x14ac:dyDescent="0.25">
      <c r="B908" t="s">
        <v>13</v>
      </c>
      <c r="C908" t="s">
        <v>46</v>
      </c>
      <c r="D908" t="s">
        <v>76</v>
      </c>
      <c r="E908">
        <v>2027</v>
      </c>
      <c r="F908" t="s">
        <v>24</v>
      </c>
      <c r="G908" t="s">
        <v>17</v>
      </c>
      <c r="H908" t="s">
        <v>18</v>
      </c>
      <c r="I908" s="8">
        <v>2629887.4493</v>
      </c>
      <c r="J908" s="8">
        <v>807307.96574303706</v>
      </c>
      <c r="K908" s="8">
        <f>I908/1000000</f>
        <v>2.6298874493</v>
      </c>
      <c r="L908" s="8">
        <f>J908/1000000</f>
        <v>0.80730796574303709</v>
      </c>
      <c r="M908" t="s">
        <v>39</v>
      </c>
    </row>
    <row r="909" spans="2:13" x14ac:dyDescent="0.25">
      <c r="B909" t="s">
        <v>13</v>
      </c>
      <c r="C909" t="s">
        <v>46</v>
      </c>
      <c r="D909" t="s">
        <v>103</v>
      </c>
      <c r="E909">
        <v>2028</v>
      </c>
      <c r="F909" t="s">
        <v>24</v>
      </c>
      <c r="G909" t="s">
        <v>17</v>
      </c>
      <c r="H909" t="s">
        <v>18</v>
      </c>
      <c r="I909" s="8">
        <v>8542.5144</v>
      </c>
      <c r="J909" s="8">
        <v>820.57905787499999</v>
      </c>
      <c r="K909" s="8">
        <f>I909/1000000</f>
        <v>8.5425143999999995E-3</v>
      </c>
      <c r="L909" s="8">
        <f>J909/1000000</f>
        <v>8.2057905787500003E-4</v>
      </c>
      <c r="M909" t="s">
        <v>39</v>
      </c>
    </row>
    <row r="910" spans="2:13" x14ac:dyDescent="0.25">
      <c r="B910" t="s">
        <v>13</v>
      </c>
      <c r="C910" t="s">
        <v>46</v>
      </c>
      <c r="D910" t="s">
        <v>101</v>
      </c>
      <c r="E910">
        <v>2030</v>
      </c>
      <c r="F910" t="s">
        <v>24</v>
      </c>
      <c r="G910" t="s">
        <v>17</v>
      </c>
      <c r="H910" t="s">
        <v>18</v>
      </c>
      <c r="I910" s="8">
        <v>24502.270199999999</v>
      </c>
      <c r="J910" s="8">
        <v>22346.209082020301</v>
      </c>
      <c r="K910" s="8">
        <f>I910/1000000</f>
        <v>2.4502270199999999E-2</v>
      </c>
      <c r="L910" s="8">
        <f>J910/1000000</f>
        <v>2.2346209082020303E-2</v>
      </c>
      <c r="M910" t="s">
        <v>39</v>
      </c>
    </row>
    <row r="911" spans="2:13" x14ac:dyDescent="0.25">
      <c r="B911" t="s">
        <v>13</v>
      </c>
      <c r="C911" t="s">
        <v>14</v>
      </c>
      <c r="D911" t="s">
        <v>121</v>
      </c>
      <c r="E911">
        <v>2026</v>
      </c>
      <c r="F911" t="s">
        <v>24</v>
      </c>
      <c r="G911" t="s">
        <v>17</v>
      </c>
      <c r="H911" t="s">
        <v>18</v>
      </c>
      <c r="I911" s="8">
        <v>2007552.6784999999</v>
      </c>
      <c r="J911" s="8">
        <v>4027307.5260000001</v>
      </c>
      <c r="K911" s="8">
        <f>I911/1000000</f>
        <v>2.0075526784999997</v>
      </c>
      <c r="L911" s="8">
        <f>J911/1000000</f>
        <v>4.0273075260000004</v>
      </c>
      <c r="M911" t="s">
        <v>19</v>
      </c>
    </row>
    <row r="912" spans="2:13" x14ac:dyDescent="0.25">
      <c r="B912" t="s">
        <v>13</v>
      </c>
      <c r="C912" t="s">
        <v>14</v>
      </c>
      <c r="D912" t="s">
        <v>72</v>
      </c>
      <c r="E912">
        <v>2028</v>
      </c>
      <c r="F912" t="s">
        <v>24</v>
      </c>
      <c r="G912" t="s">
        <v>17</v>
      </c>
      <c r="H912" t="s">
        <v>18</v>
      </c>
      <c r="I912" s="8">
        <v>4177799.4130000002</v>
      </c>
      <c r="J912" s="8">
        <v>1945840.0851</v>
      </c>
      <c r="K912" s="8">
        <f>I912/1000000</f>
        <v>4.1777994129999998</v>
      </c>
      <c r="L912" s="8">
        <f>J912/1000000</f>
        <v>1.9458400850999999</v>
      </c>
      <c r="M912" t="s">
        <v>19</v>
      </c>
    </row>
    <row r="913" spans="2:13" x14ac:dyDescent="0.25">
      <c r="B913" t="s">
        <v>13</v>
      </c>
      <c r="C913" t="s">
        <v>14</v>
      </c>
      <c r="D913" t="s">
        <v>101</v>
      </c>
      <c r="E913">
        <v>2030</v>
      </c>
      <c r="F913" t="s">
        <v>24</v>
      </c>
      <c r="G913" t="s">
        <v>17</v>
      </c>
      <c r="H913" t="s">
        <v>18</v>
      </c>
      <c r="I913" s="8">
        <v>7273993.5051999995</v>
      </c>
      <c r="J913" s="8">
        <v>6497841.1545000002</v>
      </c>
      <c r="K913" s="8">
        <f>I913/1000000</f>
        <v>7.2739935052</v>
      </c>
      <c r="L913" s="8">
        <f>J913/1000000</f>
        <v>6.4978411545000005</v>
      </c>
      <c r="M913" t="s">
        <v>39</v>
      </c>
    </row>
    <row r="914" spans="2:13" x14ac:dyDescent="0.25">
      <c r="B914" t="s">
        <v>13</v>
      </c>
      <c r="C914" t="s">
        <v>14</v>
      </c>
      <c r="D914" t="s">
        <v>74</v>
      </c>
      <c r="E914">
        <v>2028</v>
      </c>
      <c r="F914" t="s">
        <v>24</v>
      </c>
      <c r="G914" t="s">
        <v>17</v>
      </c>
      <c r="H914" t="s">
        <v>18</v>
      </c>
      <c r="I914" s="8">
        <v>5258183.4670000002</v>
      </c>
      <c r="J914" s="8">
        <v>3243976.1441840502</v>
      </c>
      <c r="K914" s="8">
        <f>I914/1000000</f>
        <v>5.2581834670000003</v>
      </c>
      <c r="L914" s="8">
        <f>J914/1000000</f>
        <v>3.24397614418405</v>
      </c>
      <c r="M914" t="s">
        <v>39</v>
      </c>
    </row>
    <row r="915" spans="2:13" x14ac:dyDescent="0.25">
      <c r="B915" t="s">
        <v>13</v>
      </c>
      <c r="C915" t="s">
        <v>14</v>
      </c>
      <c r="D915" t="s">
        <v>52</v>
      </c>
      <c r="E915">
        <v>2028</v>
      </c>
      <c r="F915" t="s">
        <v>24</v>
      </c>
      <c r="G915" t="s">
        <v>17</v>
      </c>
      <c r="H915" t="s">
        <v>18</v>
      </c>
      <c r="I915" s="8">
        <v>4268648.5880000005</v>
      </c>
      <c r="J915" s="8">
        <v>3875119.376625</v>
      </c>
      <c r="K915" s="8">
        <f>I915/1000000</f>
        <v>4.2686485880000005</v>
      </c>
      <c r="L915" s="8">
        <f>J915/1000000</f>
        <v>3.8751193766249998</v>
      </c>
      <c r="M915" t="s">
        <v>19</v>
      </c>
    </row>
    <row r="916" spans="2:13" x14ac:dyDescent="0.25">
      <c r="B916" t="s">
        <v>13</v>
      </c>
      <c r="C916" t="s">
        <v>14</v>
      </c>
      <c r="D916" t="s">
        <v>52</v>
      </c>
      <c r="E916">
        <v>2030</v>
      </c>
      <c r="F916" t="s">
        <v>24</v>
      </c>
      <c r="G916" t="s">
        <v>17</v>
      </c>
      <c r="H916" t="s">
        <v>18</v>
      </c>
      <c r="I916" s="8">
        <v>2105120.1305999998</v>
      </c>
      <c r="J916" s="8">
        <v>1744056.3473437501</v>
      </c>
      <c r="K916" s="8">
        <f>I916/1000000</f>
        <v>2.1051201305999996</v>
      </c>
      <c r="L916" s="8">
        <f>J916/1000000</f>
        <v>1.74405634734375</v>
      </c>
      <c r="M916" t="s">
        <v>19</v>
      </c>
    </row>
    <row r="917" spans="2:13" x14ac:dyDescent="0.25">
      <c r="B917" t="s">
        <v>13</v>
      </c>
      <c r="C917" t="s">
        <v>46</v>
      </c>
      <c r="D917" t="s">
        <v>76</v>
      </c>
      <c r="E917">
        <v>2026</v>
      </c>
      <c r="F917" t="s">
        <v>24</v>
      </c>
      <c r="G917" t="s">
        <v>17</v>
      </c>
      <c r="H917" t="s">
        <v>18</v>
      </c>
      <c r="I917" s="8">
        <v>2815540.3311999999</v>
      </c>
      <c r="J917" s="8">
        <v>666150</v>
      </c>
      <c r="K917" s="8">
        <f>I917/1000000</f>
        <v>2.8155403311999998</v>
      </c>
      <c r="L917" s="8">
        <f>J917/1000000</f>
        <v>0.66615000000000002</v>
      </c>
      <c r="M917" t="s">
        <v>39</v>
      </c>
    </row>
    <row r="918" spans="2:13" x14ac:dyDescent="0.25">
      <c r="B918" t="s">
        <v>13</v>
      </c>
      <c r="C918" t="s">
        <v>14</v>
      </c>
      <c r="D918" t="s">
        <v>15</v>
      </c>
      <c r="E918">
        <v>2026</v>
      </c>
      <c r="F918" t="s">
        <v>25</v>
      </c>
      <c r="G918" t="s">
        <v>17</v>
      </c>
      <c r="H918" t="s">
        <v>18</v>
      </c>
      <c r="I918" s="8">
        <v>311202.52850000001</v>
      </c>
      <c r="J918" s="8">
        <v>102950</v>
      </c>
      <c r="K918" s="8">
        <f>I918/1000000</f>
        <v>0.31120252850000002</v>
      </c>
      <c r="L918" s="8">
        <f>J918/1000000</f>
        <v>0.10295</v>
      </c>
      <c r="M918" t="s">
        <v>19</v>
      </c>
    </row>
    <row r="919" spans="2:13" x14ac:dyDescent="0.25">
      <c r="B919" t="s">
        <v>13</v>
      </c>
      <c r="C919" t="s">
        <v>46</v>
      </c>
      <c r="D919" t="s">
        <v>52</v>
      </c>
      <c r="E919">
        <v>2029</v>
      </c>
      <c r="F919" t="s">
        <v>25</v>
      </c>
      <c r="G919" t="s">
        <v>17</v>
      </c>
      <c r="H919" t="s">
        <v>18</v>
      </c>
      <c r="I919" s="8">
        <v>155873.35500000001</v>
      </c>
      <c r="J919" s="8">
        <v>123861.20045658801</v>
      </c>
      <c r="K919" s="8">
        <f>I919/1000000</f>
        <v>0.15587335500000002</v>
      </c>
      <c r="L919" s="8">
        <f>J919/1000000</f>
        <v>0.12386120045658801</v>
      </c>
      <c r="M919" t="s">
        <v>19</v>
      </c>
    </row>
    <row r="920" spans="2:13" x14ac:dyDescent="0.25">
      <c r="B920" t="s">
        <v>13</v>
      </c>
      <c r="C920" t="s">
        <v>46</v>
      </c>
      <c r="D920" t="s">
        <v>52</v>
      </c>
      <c r="E920">
        <v>2030</v>
      </c>
      <c r="F920" t="s">
        <v>25</v>
      </c>
      <c r="G920" t="s">
        <v>17</v>
      </c>
      <c r="H920" t="s">
        <v>18</v>
      </c>
      <c r="I920" s="8">
        <v>150670.55480000001</v>
      </c>
      <c r="J920" s="8">
        <v>118643.49494961801</v>
      </c>
      <c r="K920" s="8">
        <f>I920/1000000</f>
        <v>0.15067055480000002</v>
      </c>
      <c r="L920" s="8">
        <f>J920/1000000</f>
        <v>0.11864349494961801</v>
      </c>
      <c r="M920" t="s">
        <v>19</v>
      </c>
    </row>
    <row r="921" spans="2:13" x14ac:dyDescent="0.25">
      <c r="B921" t="s">
        <v>13</v>
      </c>
      <c r="C921" t="s">
        <v>46</v>
      </c>
      <c r="D921" t="s">
        <v>52</v>
      </c>
      <c r="E921">
        <v>2027</v>
      </c>
      <c r="F921" t="s">
        <v>25</v>
      </c>
      <c r="G921" t="s">
        <v>17</v>
      </c>
      <c r="H921" t="s">
        <v>18</v>
      </c>
      <c r="I921" s="8">
        <v>151424.4461</v>
      </c>
      <c r="J921" s="8">
        <v>120599.10081448</v>
      </c>
      <c r="K921" s="8">
        <f>I921/1000000</f>
        <v>0.1514244461</v>
      </c>
      <c r="L921" s="8">
        <f>J921/1000000</f>
        <v>0.12059910081448</v>
      </c>
      <c r="M921" t="s">
        <v>19</v>
      </c>
    </row>
    <row r="922" spans="2:13" x14ac:dyDescent="0.25">
      <c r="B922" t="s">
        <v>13</v>
      </c>
      <c r="C922" t="s">
        <v>46</v>
      </c>
      <c r="D922" t="s">
        <v>52</v>
      </c>
      <c r="E922">
        <v>2028</v>
      </c>
      <c r="F922" t="s">
        <v>25</v>
      </c>
      <c r="G922" t="s">
        <v>17</v>
      </c>
      <c r="H922" t="s">
        <v>18</v>
      </c>
      <c r="I922" s="8">
        <v>153982.12359999999</v>
      </c>
      <c r="J922" s="8">
        <v>122398.883945647</v>
      </c>
      <c r="K922" s="8">
        <f>I922/1000000</f>
        <v>0.15398212359999999</v>
      </c>
      <c r="L922" s="8">
        <f>J922/1000000</f>
        <v>0.12239888394564701</v>
      </c>
      <c r="M922" t="s">
        <v>19</v>
      </c>
    </row>
    <row r="923" spans="2:13" x14ac:dyDescent="0.25">
      <c r="B923" t="s">
        <v>13</v>
      </c>
      <c r="C923" t="s">
        <v>46</v>
      </c>
      <c r="D923" t="s">
        <v>69</v>
      </c>
      <c r="E923">
        <v>2030</v>
      </c>
      <c r="F923" t="s">
        <v>25</v>
      </c>
      <c r="G923" t="s">
        <v>17</v>
      </c>
      <c r="H923" t="s">
        <v>18</v>
      </c>
      <c r="I923" s="8">
        <v>351885.43900000001</v>
      </c>
      <c r="J923" s="8">
        <v>153695.11277644901</v>
      </c>
      <c r="K923" s="8">
        <f>I923/1000000</f>
        <v>0.35188543900000002</v>
      </c>
      <c r="L923" s="8">
        <f>J923/1000000</f>
        <v>0.15369511277644901</v>
      </c>
      <c r="M923" t="s">
        <v>19</v>
      </c>
    </row>
    <row r="924" spans="2:13" x14ac:dyDescent="0.25">
      <c r="B924" t="s">
        <v>13</v>
      </c>
      <c r="C924" t="s">
        <v>46</v>
      </c>
      <c r="D924" t="s">
        <v>74</v>
      </c>
      <c r="E924">
        <v>2026</v>
      </c>
      <c r="F924" t="s">
        <v>25</v>
      </c>
      <c r="G924" t="s">
        <v>17</v>
      </c>
      <c r="H924" t="s">
        <v>18</v>
      </c>
      <c r="I924" s="8">
        <v>95178.055200000003</v>
      </c>
      <c r="J924" s="8">
        <v>56100</v>
      </c>
      <c r="K924" s="8">
        <f>I924/1000000</f>
        <v>9.51780552E-2</v>
      </c>
      <c r="L924" s="8">
        <f>J924/1000000</f>
        <v>5.6099999999999997E-2</v>
      </c>
      <c r="M924" t="s">
        <v>19</v>
      </c>
    </row>
    <row r="925" spans="2:13" x14ac:dyDescent="0.25">
      <c r="B925" t="s">
        <v>13</v>
      </c>
      <c r="C925" t="s">
        <v>46</v>
      </c>
      <c r="D925" t="s">
        <v>74</v>
      </c>
      <c r="E925">
        <v>2027</v>
      </c>
      <c r="F925" t="s">
        <v>25</v>
      </c>
      <c r="G925" t="s">
        <v>17</v>
      </c>
      <c r="H925" t="s">
        <v>18</v>
      </c>
      <c r="I925" s="8">
        <v>102495.6238</v>
      </c>
      <c r="J925" s="8">
        <v>61707.163423682403</v>
      </c>
      <c r="K925" s="8">
        <f>I925/1000000</f>
        <v>0.1024956238</v>
      </c>
      <c r="L925" s="8">
        <f>J925/1000000</f>
        <v>6.1707163423682404E-2</v>
      </c>
      <c r="M925" t="s">
        <v>19</v>
      </c>
    </row>
    <row r="926" spans="2:13" x14ac:dyDescent="0.25">
      <c r="B926" t="s">
        <v>13</v>
      </c>
      <c r="C926" t="s">
        <v>46</v>
      </c>
      <c r="D926" t="s">
        <v>74</v>
      </c>
      <c r="E926">
        <v>2028</v>
      </c>
      <c r="F926" t="s">
        <v>25</v>
      </c>
      <c r="G926" t="s">
        <v>17</v>
      </c>
      <c r="H926" t="s">
        <v>18</v>
      </c>
      <c r="I926" s="8">
        <v>94604.802899999995</v>
      </c>
      <c r="J926" s="8">
        <v>61404.017607712201</v>
      </c>
      <c r="K926" s="8">
        <f>I926/1000000</f>
        <v>9.4604802899999993E-2</v>
      </c>
      <c r="L926" s="8">
        <f>J926/1000000</f>
        <v>6.1404017607712198E-2</v>
      </c>
      <c r="M926" t="s">
        <v>19</v>
      </c>
    </row>
    <row r="927" spans="2:13" x14ac:dyDescent="0.25">
      <c r="B927" t="s">
        <v>13</v>
      </c>
      <c r="C927" t="s">
        <v>46</v>
      </c>
      <c r="D927" t="s">
        <v>74</v>
      </c>
      <c r="E927">
        <v>2029</v>
      </c>
      <c r="F927" t="s">
        <v>25</v>
      </c>
      <c r="G927" t="s">
        <v>17</v>
      </c>
      <c r="H927" t="s">
        <v>18</v>
      </c>
      <c r="I927" s="8">
        <v>106805.6489</v>
      </c>
      <c r="J927" s="8">
        <v>71459.368749999994</v>
      </c>
      <c r="K927" s="8">
        <f>I927/1000000</f>
        <v>0.10680564889999999</v>
      </c>
      <c r="L927" s="8">
        <f>J927/1000000</f>
        <v>7.1459368749999988E-2</v>
      </c>
      <c r="M927" t="s">
        <v>19</v>
      </c>
    </row>
    <row r="928" spans="2:13" x14ac:dyDescent="0.25">
      <c r="B928" t="s">
        <v>13</v>
      </c>
      <c r="C928" t="s">
        <v>46</v>
      </c>
      <c r="D928" t="s">
        <v>74</v>
      </c>
      <c r="E928">
        <v>2030</v>
      </c>
      <c r="F928" t="s">
        <v>25</v>
      </c>
      <c r="G928" t="s">
        <v>17</v>
      </c>
      <c r="H928" t="s">
        <v>18</v>
      </c>
      <c r="I928" s="8">
        <v>93266.675399999993</v>
      </c>
      <c r="J928" s="8">
        <v>62624.918979438698</v>
      </c>
      <c r="K928" s="8">
        <f>I928/1000000</f>
        <v>9.3266675399999999E-2</v>
      </c>
      <c r="L928" s="8">
        <f>J928/1000000</f>
        <v>6.2624918979438698E-2</v>
      </c>
      <c r="M928" t="s">
        <v>19</v>
      </c>
    </row>
    <row r="929" spans="2:13" x14ac:dyDescent="0.25">
      <c r="B929" t="s">
        <v>13</v>
      </c>
      <c r="C929" t="s">
        <v>46</v>
      </c>
      <c r="D929" t="s">
        <v>73</v>
      </c>
      <c r="E929">
        <v>2026</v>
      </c>
      <c r="F929" t="s">
        <v>25</v>
      </c>
      <c r="G929" t="s">
        <v>17</v>
      </c>
      <c r="H929" t="s">
        <v>18</v>
      </c>
      <c r="I929" s="8">
        <v>102025.4761</v>
      </c>
      <c r="J929" s="8">
        <v>106800</v>
      </c>
      <c r="K929" s="8">
        <f>I929/1000000</f>
        <v>0.1020254761</v>
      </c>
      <c r="L929" s="8">
        <f>J929/1000000</f>
        <v>0.10680000000000001</v>
      </c>
      <c r="M929" t="s">
        <v>19</v>
      </c>
    </row>
    <row r="930" spans="2:13" x14ac:dyDescent="0.25">
      <c r="B930" t="s">
        <v>13</v>
      </c>
      <c r="C930" t="s">
        <v>46</v>
      </c>
      <c r="D930" t="s">
        <v>73</v>
      </c>
      <c r="E930">
        <v>2027</v>
      </c>
      <c r="F930" t="s">
        <v>25</v>
      </c>
      <c r="G930" t="s">
        <v>17</v>
      </c>
      <c r="H930" t="s">
        <v>18</v>
      </c>
      <c r="I930" s="8">
        <v>104177.25229999999</v>
      </c>
      <c r="J930" s="8">
        <v>109389.718938829</v>
      </c>
      <c r="K930" s="8">
        <f>I930/1000000</f>
        <v>0.1041772523</v>
      </c>
      <c r="L930" s="8">
        <f>J930/1000000</f>
        <v>0.109389718938829</v>
      </c>
      <c r="M930" t="s">
        <v>19</v>
      </c>
    </row>
    <row r="931" spans="2:13" x14ac:dyDescent="0.25">
      <c r="B931" t="s">
        <v>13</v>
      </c>
      <c r="C931" t="s">
        <v>46</v>
      </c>
      <c r="D931" t="s">
        <v>73</v>
      </c>
      <c r="E931">
        <v>2028</v>
      </c>
      <c r="F931" t="s">
        <v>25</v>
      </c>
      <c r="G931" t="s">
        <v>17</v>
      </c>
      <c r="H931" t="s">
        <v>18</v>
      </c>
      <c r="I931" s="8">
        <v>116226.7789</v>
      </c>
      <c r="J931" s="8">
        <v>114163.723444209</v>
      </c>
      <c r="K931" s="8">
        <f>I931/1000000</f>
        <v>0.11622677890000001</v>
      </c>
      <c r="L931" s="8">
        <f>J931/1000000</f>
        <v>0.114163723444209</v>
      </c>
      <c r="M931" t="s">
        <v>19</v>
      </c>
    </row>
    <row r="932" spans="2:13" x14ac:dyDescent="0.25">
      <c r="B932" t="s">
        <v>13</v>
      </c>
      <c r="C932" t="s">
        <v>46</v>
      </c>
      <c r="D932" t="s">
        <v>73</v>
      </c>
      <c r="E932">
        <v>2029</v>
      </c>
      <c r="F932" t="s">
        <v>25</v>
      </c>
      <c r="G932" t="s">
        <v>17</v>
      </c>
      <c r="H932" t="s">
        <v>18</v>
      </c>
      <c r="I932" s="8">
        <v>73488.6005</v>
      </c>
      <c r="J932" s="8">
        <v>73103.412118382796</v>
      </c>
      <c r="K932" s="8">
        <f>I932/1000000</f>
        <v>7.3488600500000001E-2</v>
      </c>
      <c r="L932" s="8">
        <f>J932/1000000</f>
        <v>7.3103412118382796E-2</v>
      </c>
      <c r="M932" t="s">
        <v>19</v>
      </c>
    </row>
    <row r="933" spans="2:13" x14ac:dyDescent="0.25">
      <c r="B933" t="s">
        <v>13</v>
      </c>
      <c r="C933" t="s">
        <v>46</v>
      </c>
      <c r="D933" t="s">
        <v>70</v>
      </c>
      <c r="E933">
        <v>2026</v>
      </c>
      <c r="F933" t="s">
        <v>25</v>
      </c>
      <c r="G933" t="s">
        <v>17</v>
      </c>
      <c r="H933" t="s">
        <v>18</v>
      </c>
      <c r="I933" s="8">
        <v>101482.8343</v>
      </c>
      <c r="J933" s="8">
        <v>58800</v>
      </c>
      <c r="K933" s="8">
        <f>I933/1000000</f>
        <v>0.1014828343</v>
      </c>
      <c r="L933" s="8">
        <f>J933/1000000</f>
        <v>5.8799999999999998E-2</v>
      </c>
      <c r="M933" t="s">
        <v>19</v>
      </c>
    </row>
    <row r="934" spans="2:13" x14ac:dyDescent="0.25">
      <c r="B934" t="s">
        <v>13</v>
      </c>
      <c r="C934" t="s">
        <v>46</v>
      </c>
      <c r="D934" t="s">
        <v>70</v>
      </c>
      <c r="E934">
        <v>2027</v>
      </c>
      <c r="F934" t="s">
        <v>25</v>
      </c>
      <c r="G934" t="s">
        <v>17</v>
      </c>
      <c r="H934" t="s">
        <v>18</v>
      </c>
      <c r="I934" s="8">
        <v>82667.515899999999</v>
      </c>
      <c r="J934" s="8">
        <v>59176.922477577202</v>
      </c>
      <c r="K934" s="8">
        <f>I934/1000000</f>
        <v>8.2667515900000002E-2</v>
      </c>
      <c r="L934" s="8">
        <f>J934/1000000</f>
        <v>5.91769224775772E-2</v>
      </c>
      <c r="M934" t="s">
        <v>19</v>
      </c>
    </row>
    <row r="935" spans="2:13" x14ac:dyDescent="0.25">
      <c r="B935" t="s">
        <v>13</v>
      </c>
      <c r="C935" t="s">
        <v>46</v>
      </c>
      <c r="D935" t="s">
        <v>70</v>
      </c>
      <c r="E935">
        <v>2028</v>
      </c>
      <c r="F935" t="s">
        <v>25</v>
      </c>
      <c r="G935" t="s">
        <v>17</v>
      </c>
      <c r="H935" t="s">
        <v>18</v>
      </c>
      <c r="I935" s="8">
        <v>84999.044500000004</v>
      </c>
      <c r="J935" s="8">
        <v>60164.7956886666</v>
      </c>
      <c r="K935" s="8">
        <f>I935/1000000</f>
        <v>8.4999044500000009E-2</v>
      </c>
      <c r="L935" s="8">
        <f>J935/1000000</f>
        <v>6.0164795688666603E-2</v>
      </c>
      <c r="M935" t="s">
        <v>19</v>
      </c>
    </row>
    <row r="936" spans="2:13" x14ac:dyDescent="0.25">
      <c r="B936" t="s">
        <v>13</v>
      </c>
      <c r="C936" t="s">
        <v>46</v>
      </c>
      <c r="D936" t="s">
        <v>70</v>
      </c>
      <c r="E936">
        <v>2029</v>
      </c>
      <c r="F936" t="s">
        <v>25</v>
      </c>
      <c r="G936" t="s">
        <v>17</v>
      </c>
      <c r="H936" t="s">
        <v>18</v>
      </c>
      <c r="I936" s="8">
        <v>48381.223899999997</v>
      </c>
      <c r="J936" s="8">
        <v>30426.786780577098</v>
      </c>
      <c r="K936" s="8">
        <f>I936/1000000</f>
        <v>4.8381223899999999E-2</v>
      </c>
      <c r="L936" s="8">
        <f>J936/1000000</f>
        <v>3.0426786780577097E-2</v>
      </c>
      <c r="M936" t="s">
        <v>19</v>
      </c>
    </row>
    <row r="937" spans="2:13" x14ac:dyDescent="0.25">
      <c r="B937" t="s">
        <v>13</v>
      </c>
      <c r="C937" t="s">
        <v>46</v>
      </c>
      <c r="D937" t="s">
        <v>38</v>
      </c>
      <c r="E937">
        <v>2026</v>
      </c>
      <c r="F937" t="s">
        <v>25</v>
      </c>
      <c r="G937" t="s">
        <v>17</v>
      </c>
      <c r="H937" t="s">
        <v>18</v>
      </c>
      <c r="I937" s="8">
        <v>33327.209499999997</v>
      </c>
      <c r="J937" s="8">
        <v>39000</v>
      </c>
      <c r="K937" s="8">
        <f>I937/1000000</f>
        <v>3.3327209499999996E-2</v>
      </c>
      <c r="L937" s="8">
        <f>J937/1000000</f>
        <v>3.9E-2</v>
      </c>
      <c r="M937" t="s">
        <v>39</v>
      </c>
    </row>
    <row r="938" spans="2:13" x14ac:dyDescent="0.25">
      <c r="B938" t="s">
        <v>13</v>
      </c>
      <c r="C938" t="s">
        <v>46</v>
      </c>
      <c r="D938" t="s">
        <v>38</v>
      </c>
      <c r="E938">
        <v>2027</v>
      </c>
      <c r="F938" t="s">
        <v>25</v>
      </c>
      <c r="G938" t="s">
        <v>17</v>
      </c>
      <c r="H938" t="s">
        <v>18</v>
      </c>
      <c r="I938" s="8">
        <v>47536.568099999997</v>
      </c>
      <c r="J938" s="8">
        <v>53335.867635836403</v>
      </c>
      <c r="K938" s="8">
        <f>I938/1000000</f>
        <v>4.7536568099999996E-2</v>
      </c>
      <c r="L938" s="8">
        <f>J938/1000000</f>
        <v>5.33358676358364E-2</v>
      </c>
      <c r="M938" t="s">
        <v>39</v>
      </c>
    </row>
    <row r="939" spans="2:13" x14ac:dyDescent="0.25">
      <c r="B939" t="s">
        <v>13</v>
      </c>
      <c r="C939" t="s">
        <v>46</v>
      </c>
      <c r="D939" t="s">
        <v>38</v>
      </c>
      <c r="E939">
        <v>2028</v>
      </c>
      <c r="F939" t="s">
        <v>25</v>
      </c>
      <c r="G939" t="s">
        <v>17</v>
      </c>
      <c r="H939" t="s">
        <v>18</v>
      </c>
      <c r="I939" s="8">
        <v>53130.463000000003</v>
      </c>
      <c r="J939" s="8">
        <v>55217.653041851401</v>
      </c>
      <c r="K939" s="8">
        <f>I939/1000000</f>
        <v>5.3130463000000003E-2</v>
      </c>
      <c r="L939" s="8">
        <f>J939/1000000</f>
        <v>5.5217653041851403E-2</v>
      </c>
      <c r="M939" t="s">
        <v>39</v>
      </c>
    </row>
    <row r="940" spans="2:13" x14ac:dyDescent="0.25">
      <c r="B940" t="s">
        <v>13</v>
      </c>
      <c r="C940" t="s">
        <v>46</v>
      </c>
      <c r="D940" t="s">
        <v>38</v>
      </c>
      <c r="E940">
        <v>2029</v>
      </c>
      <c r="F940" t="s">
        <v>25</v>
      </c>
      <c r="G940" t="s">
        <v>17</v>
      </c>
      <c r="H940" t="s">
        <v>18</v>
      </c>
      <c r="I940" s="8">
        <v>62225.480300000003</v>
      </c>
      <c r="J940" s="8">
        <v>57624.060182720197</v>
      </c>
      <c r="K940" s="8">
        <f>I940/1000000</f>
        <v>6.2225480300000004E-2</v>
      </c>
      <c r="L940" s="8">
        <f>J940/1000000</f>
        <v>5.7624060182720198E-2</v>
      </c>
      <c r="M940" t="s">
        <v>39</v>
      </c>
    </row>
    <row r="941" spans="2:13" x14ac:dyDescent="0.25">
      <c r="B941" t="s">
        <v>13</v>
      </c>
      <c r="C941" t="s">
        <v>46</v>
      </c>
      <c r="D941" t="s">
        <v>38</v>
      </c>
      <c r="E941">
        <v>2030</v>
      </c>
      <c r="F941" t="s">
        <v>25</v>
      </c>
      <c r="G941" t="s">
        <v>17</v>
      </c>
      <c r="H941" t="s">
        <v>18</v>
      </c>
      <c r="I941" s="8">
        <v>67625.669699999999</v>
      </c>
      <c r="J941" s="8">
        <v>62624.918979438698</v>
      </c>
      <c r="K941" s="8">
        <f>I941/1000000</f>
        <v>6.7625669700000002E-2</v>
      </c>
      <c r="L941" s="8">
        <f>J941/1000000</f>
        <v>6.2624918979438698E-2</v>
      </c>
      <c r="M941" t="s">
        <v>39</v>
      </c>
    </row>
    <row r="942" spans="2:13" x14ac:dyDescent="0.25">
      <c r="B942" t="s">
        <v>13</v>
      </c>
      <c r="C942" t="s">
        <v>46</v>
      </c>
      <c r="D942" t="s">
        <v>15</v>
      </c>
      <c r="E942">
        <v>2027</v>
      </c>
      <c r="F942" t="s">
        <v>25</v>
      </c>
      <c r="G942" t="s">
        <v>17</v>
      </c>
      <c r="H942" t="s">
        <v>18</v>
      </c>
      <c r="I942" s="8">
        <v>49430.729599999999</v>
      </c>
      <c r="J942" s="8">
        <v>16341.071145709</v>
      </c>
      <c r="K942" s="8">
        <f>I942/1000000</f>
        <v>4.9430729600000001E-2</v>
      </c>
      <c r="L942" s="8">
        <f>J942/1000000</f>
        <v>1.6341071145708999E-2</v>
      </c>
      <c r="M942" t="s">
        <v>19</v>
      </c>
    </row>
    <row r="943" spans="2:13" x14ac:dyDescent="0.25">
      <c r="B943" t="s">
        <v>13</v>
      </c>
      <c r="C943" t="s">
        <v>46</v>
      </c>
      <c r="D943" t="s">
        <v>15</v>
      </c>
      <c r="E943">
        <v>2028</v>
      </c>
      <c r="F943" t="s">
        <v>25</v>
      </c>
      <c r="G943" t="s">
        <v>17</v>
      </c>
      <c r="H943" t="s">
        <v>18</v>
      </c>
      <c r="I943" s="8">
        <v>49657.659299999999</v>
      </c>
      <c r="J943" s="8">
        <v>16513.6099078519</v>
      </c>
      <c r="K943" s="8">
        <f>I943/1000000</f>
        <v>4.9657659299999997E-2</v>
      </c>
      <c r="L943" s="8">
        <f>J943/1000000</f>
        <v>1.65136099078519E-2</v>
      </c>
      <c r="M943" t="s">
        <v>19</v>
      </c>
    </row>
    <row r="944" spans="2:13" x14ac:dyDescent="0.25">
      <c r="B944" t="s">
        <v>13</v>
      </c>
      <c r="C944" t="s">
        <v>46</v>
      </c>
      <c r="D944" t="s">
        <v>15</v>
      </c>
      <c r="E944">
        <v>2029</v>
      </c>
      <c r="F944" t="s">
        <v>25</v>
      </c>
      <c r="G944" t="s">
        <v>17</v>
      </c>
      <c r="H944" t="s">
        <v>18</v>
      </c>
      <c r="I944" s="8">
        <v>50184.569900000002</v>
      </c>
      <c r="J944" s="8">
        <v>16700.401872085</v>
      </c>
      <c r="K944" s="8">
        <f>I944/1000000</f>
        <v>5.0184569900000003E-2</v>
      </c>
      <c r="L944" s="8">
        <f>J944/1000000</f>
        <v>1.6700401872085002E-2</v>
      </c>
      <c r="M944" t="s">
        <v>19</v>
      </c>
    </row>
    <row r="945" spans="2:13" x14ac:dyDescent="0.25">
      <c r="B945" t="s">
        <v>13</v>
      </c>
      <c r="C945" t="s">
        <v>46</v>
      </c>
      <c r="D945" t="s">
        <v>15</v>
      </c>
      <c r="E945">
        <v>2030</v>
      </c>
      <c r="F945" t="s">
        <v>25</v>
      </c>
      <c r="G945" t="s">
        <v>17</v>
      </c>
      <c r="H945" t="s">
        <v>18</v>
      </c>
      <c r="I945" s="8">
        <v>46143.0501</v>
      </c>
      <c r="J945" s="8">
        <v>15355.4664640641</v>
      </c>
      <c r="K945" s="8">
        <f>I945/1000000</f>
        <v>4.6143050099999999E-2</v>
      </c>
      <c r="L945" s="8">
        <f>J945/1000000</f>
        <v>1.53554664640641E-2</v>
      </c>
      <c r="M945" t="s">
        <v>19</v>
      </c>
    </row>
    <row r="946" spans="2:13" x14ac:dyDescent="0.25">
      <c r="B946" t="s">
        <v>13</v>
      </c>
      <c r="C946" t="s">
        <v>46</v>
      </c>
      <c r="D946" t="s">
        <v>100</v>
      </c>
      <c r="E946">
        <v>2026</v>
      </c>
      <c r="F946" t="s">
        <v>25</v>
      </c>
      <c r="G946" t="s">
        <v>17</v>
      </c>
      <c r="H946" t="s">
        <v>18</v>
      </c>
      <c r="I946" s="8">
        <v>229737.02960000001</v>
      </c>
      <c r="J946" s="8">
        <v>107900</v>
      </c>
      <c r="K946" s="8">
        <f>I946/1000000</f>
        <v>0.2297370296</v>
      </c>
      <c r="L946" s="8">
        <f>J946/1000000</f>
        <v>0.1079</v>
      </c>
      <c r="M946" t="s">
        <v>19</v>
      </c>
    </row>
    <row r="947" spans="2:13" x14ac:dyDescent="0.25">
      <c r="B947" t="s">
        <v>13</v>
      </c>
      <c r="C947" t="s">
        <v>46</v>
      </c>
      <c r="D947" t="s">
        <v>100</v>
      </c>
      <c r="E947">
        <v>2029</v>
      </c>
      <c r="F947" t="s">
        <v>25</v>
      </c>
      <c r="G947" t="s">
        <v>17</v>
      </c>
      <c r="H947" t="s">
        <v>18</v>
      </c>
      <c r="I947" s="8">
        <v>283147.42790000001</v>
      </c>
      <c r="J947" s="8">
        <v>124812.111389714</v>
      </c>
      <c r="K947" s="8">
        <f>I947/1000000</f>
        <v>0.28314742790000003</v>
      </c>
      <c r="L947" s="8">
        <f>J947/1000000</f>
        <v>0.124812111389714</v>
      </c>
      <c r="M947" t="s">
        <v>19</v>
      </c>
    </row>
    <row r="948" spans="2:13" x14ac:dyDescent="0.25">
      <c r="B948" t="s">
        <v>13</v>
      </c>
      <c r="C948" t="s">
        <v>46</v>
      </c>
      <c r="D948" t="s">
        <v>100</v>
      </c>
      <c r="E948">
        <v>2030</v>
      </c>
      <c r="F948" t="s">
        <v>25</v>
      </c>
      <c r="G948" t="s">
        <v>17</v>
      </c>
      <c r="H948" t="s">
        <v>18</v>
      </c>
      <c r="I948" s="8">
        <v>247818.4688</v>
      </c>
      <c r="J948" s="8">
        <v>110210.6383676</v>
      </c>
      <c r="K948" s="8">
        <f>I948/1000000</f>
        <v>0.2478184688</v>
      </c>
      <c r="L948" s="8">
        <f>J948/1000000</f>
        <v>0.11021063836759999</v>
      </c>
      <c r="M948" t="s">
        <v>19</v>
      </c>
    </row>
    <row r="949" spans="2:13" x14ac:dyDescent="0.25">
      <c r="B949" t="s">
        <v>13</v>
      </c>
      <c r="C949" t="s">
        <v>46</v>
      </c>
      <c r="D949" t="s">
        <v>100</v>
      </c>
      <c r="E949">
        <v>2027</v>
      </c>
      <c r="F949" t="s">
        <v>25</v>
      </c>
      <c r="G949" t="s">
        <v>17</v>
      </c>
      <c r="H949" t="s">
        <v>18</v>
      </c>
      <c r="I949" s="8">
        <v>235656.01139999999</v>
      </c>
      <c r="J949" s="8">
        <v>109649.972540021</v>
      </c>
      <c r="K949" s="8">
        <f>I949/1000000</f>
        <v>0.23565601139999998</v>
      </c>
      <c r="L949" s="8">
        <f>J949/1000000</f>
        <v>0.109649972540021</v>
      </c>
      <c r="M949" t="s">
        <v>19</v>
      </c>
    </row>
    <row r="950" spans="2:13" x14ac:dyDescent="0.25">
      <c r="B950" t="s">
        <v>13</v>
      </c>
      <c r="C950" t="s">
        <v>46</v>
      </c>
      <c r="D950" t="s">
        <v>100</v>
      </c>
      <c r="E950">
        <v>2028</v>
      </c>
      <c r="F950" t="s">
        <v>25</v>
      </c>
      <c r="G950" t="s">
        <v>17</v>
      </c>
      <c r="H950" t="s">
        <v>18</v>
      </c>
      <c r="I950" s="8">
        <v>237184.03570000001</v>
      </c>
      <c r="J950" s="8">
        <v>111427.80290699399</v>
      </c>
      <c r="K950" s="8">
        <f>I950/1000000</f>
        <v>0.23718403570000002</v>
      </c>
      <c r="L950" s="8">
        <f>J950/1000000</f>
        <v>0.111427802906994</v>
      </c>
      <c r="M950" t="s">
        <v>19</v>
      </c>
    </row>
    <row r="951" spans="2:13" x14ac:dyDescent="0.25">
      <c r="B951" t="s">
        <v>13</v>
      </c>
      <c r="C951" t="s">
        <v>46</v>
      </c>
      <c r="D951" t="s">
        <v>72</v>
      </c>
      <c r="E951">
        <v>2030</v>
      </c>
      <c r="F951" t="s">
        <v>25</v>
      </c>
      <c r="G951" t="s">
        <v>17</v>
      </c>
      <c r="H951" t="s">
        <v>18</v>
      </c>
      <c r="I951" s="8">
        <v>373130.87310000003</v>
      </c>
      <c r="J951" s="8">
        <v>173737.43247505801</v>
      </c>
      <c r="K951" s="8">
        <f>I951/1000000</f>
        <v>0.37313087310000004</v>
      </c>
      <c r="L951" s="8">
        <f>J951/1000000</f>
        <v>0.17373743247505802</v>
      </c>
      <c r="M951" t="s">
        <v>19</v>
      </c>
    </row>
    <row r="952" spans="2:13" x14ac:dyDescent="0.25">
      <c r="B952" t="s">
        <v>13</v>
      </c>
      <c r="C952" t="s">
        <v>46</v>
      </c>
      <c r="D952" t="s">
        <v>72</v>
      </c>
      <c r="E952">
        <v>2026</v>
      </c>
      <c r="F952" t="s">
        <v>25</v>
      </c>
      <c r="G952" t="s">
        <v>17</v>
      </c>
      <c r="H952" t="s">
        <v>18</v>
      </c>
      <c r="I952" s="8">
        <v>494473.41720000003</v>
      </c>
      <c r="J952" s="8">
        <v>173200</v>
      </c>
      <c r="K952" s="8">
        <f>I952/1000000</f>
        <v>0.49447341720000004</v>
      </c>
      <c r="L952" s="8">
        <f>J952/1000000</f>
        <v>0.17319999999999999</v>
      </c>
      <c r="M952" t="s">
        <v>19</v>
      </c>
    </row>
    <row r="953" spans="2:13" x14ac:dyDescent="0.25">
      <c r="B953" t="s">
        <v>13</v>
      </c>
      <c r="C953" t="s">
        <v>46</v>
      </c>
      <c r="D953" t="s">
        <v>72</v>
      </c>
      <c r="E953">
        <v>2027</v>
      </c>
      <c r="F953" t="s">
        <v>25</v>
      </c>
      <c r="G953" t="s">
        <v>17</v>
      </c>
      <c r="H953" t="s">
        <v>18</v>
      </c>
      <c r="I953" s="8">
        <v>431605.3591</v>
      </c>
      <c r="J953" s="8">
        <v>175807.76759973101</v>
      </c>
      <c r="K953" s="8">
        <f>I953/1000000</f>
        <v>0.43160535909999997</v>
      </c>
      <c r="L953" s="8">
        <f>J953/1000000</f>
        <v>0.17580776759973102</v>
      </c>
      <c r="M953" t="s">
        <v>19</v>
      </c>
    </row>
    <row r="954" spans="2:13" x14ac:dyDescent="0.25">
      <c r="B954" t="s">
        <v>13</v>
      </c>
      <c r="C954" t="s">
        <v>46</v>
      </c>
      <c r="D954" t="s">
        <v>72</v>
      </c>
      <c r="E954">
        <v>2028</v>
      </c>
      <c r="F954" t="s">
        <v>25</v>
      </c>
      <c r="G954" t="s">
        <v>17</v>
      </c>
      <c r="H954" t="s">
        <v>18</v>
      </c>
      <c r="I954" s="8">
        <v>436231.65159999998</v>
      </c>
      <c r="J954" s="8">
        <v>178654.45682917701</v>
      </c>
      <c r="K954" s="8">
        <f>I954/1000000</f>
        <v>0.43623165159999999</v>
      </c>
      <c r="L954" s="8">
        <f>J954/1000000</f>
        <v>0.17865445682917702</v>
      </c>
      <c r="M954" t="s">
        <v>19</v>
      </c>
    </row>
    <row r="955" spans="2:13" x14ac:dyDescent="0.25">
      <c r="B955" t="s">
        <v>13</v>
      </c>
      <c r="C955" t="s">
        <v>46</v>
      </c>
      <c r="D955" t="s">
        <v>76</v>
      </c>
      <c r="E955">
        <v>2027</v>
      </c>
      <c r="F955" t="s">
        <v>25</v>
      </c>
      <c r="G955" t="s">
        <v>17</v>
      </c>
      <c r="H955" t="s">
        <v>18</v>
      </c>
      <c r="I955" s="8">
        <v>352745.20799999998</v>
      </c>
      <c r="J955" s="8">
        <v>108191.55803703101</v>
      </c>
      <c r="K955" s="8">
        <f>I955/1000000</f>
        <v>0.35274520799999998</v>
      </c>
      <c r="L955" s="8">
        <f>J955/1000000</f>
        <v>0.10819155803703101</v>
      </c>
      <c r="M955" t="s">
        <v>39</v>
      </c>
    </row>
    <row r="956" spans="2:13" x14ac:dyDescent="0.25">
      <c r="B956" t="s">
        <v>13</v>
      </c>
      <c r="C956" t="s">
        <v>46</v>
      </c>
      <c r="D956" t="s">
        <v>76</v>
      </c>
      <c r="E956">
        <v>2028</v>
      </c>
      <c r="F956" t="s">
        <v>25</v>
      </c>
      <c r="G956" t="s">
        <v>17</v>
      </c>
      <c r="H956" t="s">
        <v>18</v>
      </c>
      <c r="I956" s="8">
        <v>387862.86410000001</v>
      </c>
      <c r="J956" s="8">
        <v>120621.88572529001</v>
      </c>
      <c r="K956" s="8">
        <f>I956/1000000</f>
        <v>0.38786286409999998</v>
      </c>
      <c r="L956" s="8">
        <f>J956/1000000</f>
        <v>0.12062188572529001</v>
      </c>
      <c r="M956" t="s">
        <v>39</v>
      </c>
    </row>
    <row r="957" spans="2:13" x14ac:dyDescent="0.25">
      <c r="B957" t="s">
        <v>13</v>
      </c>
      <c r="C957" t="s">
        <v>46</v>
      </c>
      <c r="D957" t="s">
        <v>76</v>
      </c>
      <c r="E957">
        <v>2029</v>
      </c>
      <c r="F957" t="s">
        <v>25</v>
      </c>
      <c r="G957" t="s">
        <v>17</v>
      </c>
      <c r="H957" t="s">
        <v>18</v>
      </c>
      <c r="I957" s="8">
        <v>357869.37410000002</v>
      </c>
      <c r="J957" s="8">
        <v>111462.062241892</v>
      </c>
      <c r="K957" s="8">
        <f>I957/1000000</f>
        <v>0.35786937410000003</v>
      </c>
      <c r="L957" s="8">
        <f>J957/1000000</f>
        <v>0.11146206224189199</v>
      </c>
      <c r="M957" t="s">
        <v>39</v>
      </c>
    </row>
    <row r="958" spans="2:13" x14ac:dyDescent="0.25">
      <c r="B958" t="s">
        <v>13</v>
      </c>
      <c r="C958" t="s">
        <v>46</v>
      </c>
      <c r="D958" t="s">
        <v>76</v>
      </c>
      <c r="E958">
        <v>2030</v>
      </c>
      <c r="F958" t="s">
        <v>25</v>
      </c>
      <c r="G958" t="s">
        <v>17</v>
      </c>
      <c r="H958" t="s">
        <v>18</v>
      </c>
      <c r="I958" s="8">
        <v>361650.2034</v>
      </c>
      <c r="J958" s="8">
        <v>112639.64004364501</v>
      </c>
      <c r="K958" s="8">
        <f>I958/1000000</f>
        <v>0.36165020339999998</v>
      </c>
      <c r="L958" s="8">
        <f>J958/1000000</f>
        <v>0.112639640043645</v>
      </c>
      <c r="M958" t="s">
        <v>39</v>
      </c>
    </row>
    <row r="959" spans="2:13" x14ac:dyDescent="0.25">
      <c r="B959" t="s">
        <v>13</v>
      </c>
      <c r="C959" t="s">
        <v>46</v>
      </c>
      <c r="D959" t="s">
        <v>76</v>
      </c>
      <c r="E959">
        <v>2026</v>
      </c>
      <c r="F959" t="s">
        <v>25</v>
      </c>
      <c r="G959" t="s">
        <v>17</v>
      </c>
      <c r="H959" t="s">
        <v>18</v>
      </c>
      <c r="I959" s="8">
        <v>724321.12340000004</v>
      </c>
      <c r="J959" s="8">
        <v>171400</v>
      </c>
      <c r="K959" s="8">
        <f>I959/1000000</f>
        <v>0.72432112339999999</v>
      </c>
      <c r="L959" s="8">
        <f>J959/1000000</f>
        <v>0.1714</v>
      </c>
      <c r="M959" t="s">
        <v>39</v>
      </c>
    </row>
    <row r="960" spans="2:13" x14ac:dyDescent="0.25">
      <c r="B960" t="s">
        <v>13</v>
      </c>
      <c r="C960" t="s">
        <v>46</v>
      </c>
      <c r="D960" t="s">
        <v>102</v>
      </c>
      <c r="E960">
        <v>2029</v>
      </c>
      <c r="F960" t="s">
        <v>25</v>
      </c>
      <c r="G960" t="s">
        <v>17</v>
      </c>
      <c r="H960" t="s">
        <v>18</v>
      </c>
      <c r="I960" s="8">
        <v>5708.8579</v>
      </c>
      <c r="J960" s="8">
        <v>16877.922721148101</v>
      </c>
      <c r="K960" s="8">
        <f>I960/1000000</f>
        <v>5.7088579000000002E-3</v>
      </c>
      <c r="L960" s="8">
        <f>J960/1000000</f>
        <v>1.68779227211481E-2</v>
      </c>
      <c r="M960" t="s">
        <v>19</v>
      </c>
    </row>
    <row r="961" spans="2:13" x14ac:dyDescent="0.25">
      <c r="B961" t="s">
        <v>13</v>
      </c>
      <c r="C961" t="s">
        <v>46</v>
      </c>
      <c r="D961" t="s">
        <v>102</v>
      </c>
      <c r="E961">
        <v>2030</v>
      </c>
      <c r="F961" t="s">
        <v>25</v>
      </c>
      <c r="G961" t="s">
        <v>17</v>
      </c>
      <c r="H961" t="s">
        <v>18</v>
      </c>
      <c r="I961" s="8">
        <v>5253.1747999999998</v>
      </c>
      <c r="J961" s="8">
        <v>15530.720939514</v>
      </c>
      <c r="K961" s="8">
        <f>I961/1000000</f>
        <v>5.2531747999999996E-3</v>
      </c>
      <c r="L961" s="8">
        <f>J961/1000000</f>
        <v>1.5530720939513999E-2</v>
      </c>
      <c r="M961" t="s">
        <v>19</v>
      </c>
    </row>
    <row r="962" spans="2:13" x14ac:dyDescent="0.25">
      <c r="B962" t="s">
        <v>13</v>
      </c>
      <c r="C962" t="s">
        <v>46</v>
      </c>
      <c r="D962" t="s">
        <v>69</v>
      </c>
      <c r="E962">
        <v>2029</v>
      </c>
      <c r="F962" t="s">
        <v>25</v>
      </c>
      <c r="G962" t="s">
        <v>17</v>
      </c>
      <c r="H962" t="s">
        <v>18</v>
      </c>
      <c r="I962" s="8">
        <v>166979.07980000001</v>
      </c>
      <c r="J962" s="8">
        <v>73103.412118382796</v>
      </c>
      <c r="K962" s="8">
        <f>I962/1000000</f>
        <v>0.16697907980000001</v>
      </c>
      <c r="L962" s="8">
        <f>J962/1000000</f>
        <v>7.3103412118382796E-2</v>
      </c>
      <c r="M962" t="s">
        <v>19</v>
      </c>
    </row>
    <row r="963" spans="2:13" x14ac:dyDescent="0.25">
      <c r="B963" t="s">
        <v>13</v>
      </c>
      <c r="C963" t="s">
        <v>46</v>
      </c>
      <c r="D963" t="s">
        <v>72</v>
      </c>
      <c r="E963">
        <v>2029</v>
      </c>
      <c r="F963" t="s">
        <v>25</v>
      </c>
      <c r="G963" t="s">
        <v>17</v>
      </c>
      <c r="H963" t="s">
        <v>18</v>
      </c>
      <c r="I963" s="8">
        <v>393878.97169999999</v>
      </c>
      <c r="J963" s="8">
        <v>183398.175245297</v>
      </c>
      <c r="K963" s="8">
        <f>I963/1000000</f>
        <v>0.39387897169999997</v>
      </c>
      <c r="L963" s="8">
        <f>J963/1000000</f>
        <v>0.183398175245297</v>
      </c>
      <c r="M963" t="s">
        <v>19</v>
      </c>
    </row>
    <row r="964" spans="2:13" x14ac:dyDescent="0.25">
      <c r="B964" t="s">
        <v>13</v>
      </c>
      <c r="C964" t="s">
        <v>46</v>
      </c>
      <c r="D964" t="s">
        <v>15</v>
      </c>
      <c r="E964">
        <v>2026</v>
      </c>
      <c r="F964" t="s">
        <v>25</v>
      </c>
      <c r="G964" t="s">
        <v>17</v>
      </c>
      <c r="H964" t="s">
        <v>18</v>
      </c>
      <c r="I964" s="8">
        <v>93439.925000000003</v>
      </c>
      <c r="J964" s="8">
        <v>30890</v>
      </c>
      <c r="K964" s="8">
        <f>I964/1000000</f>
        <v>9.3439925000000007E-2</v>
      </c>
      <c r="L964" s="8">
        <f>J964/1000000</f>
        <v>3.0890000000000001E-2</v>
      </c>
      <c r="M964" t="s">
        <v>19</v>
      </c>
    </row>
    <row r="965" spans="2:13" x14ac:dyDescent="0.25">
      <c r="B965" t="s">
        <v>13</v>
      </c>
      <c r="C965" t="s">
        <v>46</v>
      </c>
      <c r="D965" t="s">
        <v>102</v>
      </c>
      <c r="E965">
        <v>2028</v>
      </c>
      <c r="F965" t="s">
        <v>25</v>
      </c>
      <c r="G965" t="s">
        <v>17</v>
      </c>
      <c r="H965" t="s">
        <v>18</v>
      </c>
      <c r="I965" s="8">
        <v>4875.4296999999997</v>
      </c>
      <c r="J965" s="8">
        <v>10928.0892628364</v>
      </c>
      <c r="K965" s="8">
        <f>I965/1000000</f>
        <v>4.8754296999999995E-3</v>
      </c>
      <c r="L965" s="8">
        <f>J965/1000000</f>
        <v>1.09280892628364E-2</v>
      </c>
      <c r="M965" t="s">
        <v>19</v>
      </c>
    </row>
    <row r="966" spans="2:13" x14ac:dyDescent="0.25">
      <c r="B966" t="s">
        <v>13</v>
      </c>
      <c r="C966" t="s">
        <v>14</v>
      </c>
      <c r="D966" t="s">
        <v>52</v>
      </c>
      <c r="E966">
        <v>2027</v>
      </c>
      <c r="F966" t="s">
        <v>25</v>
      </c>
      <c r="G966" t="s">
        <v>17</v>
      </c>
      <c r="H966" t="s">
        <v>18</v>
      </c>
      <c r="I966" s="8">
        <v>258802.3009</v>
      </c>
      <c r="J966" s="8">
        <v>243957.02976562499</v>
      </c>
      <c r="K966" s="8">
        <f>I966/1000000</f>
        <v>0.2588023009</v>
      </c>
      <c r="L966" s="8">
        <f>J966/1000000</f>
        <v>0.243957029765625</v>
      </c>
      <c r="M966" t="s">
        <v>19</v>
      </c>
    </row>
    <row r="967" spans="2:13" x14ac:dyDescent="0.25">
      <c r="B967" t="s">
        <v>13</v>
      </c>
      <c r="C967" t="s">
        <v>14</v>
      </c>
      <c r="D967" t="s">
        <v>52</v>
      </c>
      <c r="E967">
        <v>2030</v>
      </c>
      <c r="F967" t="s">
        <v>25</v>
      </c>
      <c r="G967" t="s">
        <v>17</v>
      </c>
      <c r="H967" t="s">
        <v>18</v>
      </c>
      <c r="I967" s="8">
        <v>285951.18109999999</v>
      </c>
      <c r="J967" s="8">
        <v>236905.70681249999</v>
      </c>
      <c r="K967" s="8">
        <f>I967/1000000</f>
        <v>0.28595118110000001</v>
      </c>
      <c r="L967" s="8">
        <f>J967/1000000</f>
        <v>0.23690570681250001</v>
      </c>
      <c r="M967" t="s">
        <v>19</v>
      </c>
    </row>
    <row r="968" spans="2:13" x14ac:dyDescent="0.25">
      <c r="B968" t="s">
        <v>13</v>
      </c>
      <c r="C968" t="s">
        <v>14</v>
      </c>
      <c r="D968" t="s">
        <v>15</v>
      </c>
      <c r="E968">
        <v>2027</v>
      </c>
      <c r="F968" t="s">
        <v>26</v>
      </c>
      <c r="G968" t="s">
        <v>17</v>
      </c>
      <c r="H968" t="s">
        <v>18</v>
      </c>
      <c r="I968" s="8">
        <v>1426051.8755999999</v>
      </c>
      <c r="J968" s="8">
        <v>471756.6</v>
      </c>
      <c r="K968" s="8">
        <f>I968/1000000</f>
        <v>1.4260518756</v>
      </c>
      <c r="L968" s="8">
        <f>J968/1000000</f>
        <v>0.47175659999999997</v>
      </c>
      <c r="M968" t="s">
        <v>19</v>
      </c>
    </row>
    <row r="969" spans="2:13" x14ac:dyDescent="0.25">
      <c r="B969" t="s">
        <v>13</v>
      </c>
      <c r="C969" t="s">
        <v>46</v>
      </c>
      <c r="D969" t="s">
        <v>73</v>
      </c>
      <c r="E969">
        <v>2026</v>
      </c>
      <c r="F969" t="s">
        <v>26</v>
      </c>
      <c r="G969" t="s">
        <v>17</v>
      </c>
      <c r="H969" t="s">
        <v>18</v>
      </c>
      <c r="I969" s="8">
        <v>417132.16210000002</v>
      </c>
      <c r="J969" s="8">
        <v>296756.20845839998</v>
      </c>
      <c r="K969" s="8">
        <f>I969/1000000</f>
        <v>0.41713216210000004</v>
      </c>
      <c r="L969" s="8">
        <f>J969/1000000</f>
        <v>0.29675620845840001</v>
      </c>
      <c r="M969" t="s">
        <v>19</v>
      </c>
    </row>
    <row r="970" spans="2:13" x14ac:dyDescent="0.25">
      <c r="B970" t="s">
        <v>13</v>
      </c>
      <c r="C970" t="s">
        <v>46</v>
      </c>
      <c r="D970" t="s">
        <v>73</v>
      </c>
      <c r="E970">
        <v>2027</v>
      </c>
      <c r="F970" t="s">
        <v>26</v>
      </c>
      <c r="G970" t="s">
        <v>17</v>
      </c>
      <c r="H970" t="s">
        <v>18</v>
      </c>
      <c r="I970" s="8">
        <v>605496.37199999997</v>
      </c>
      <c r="J970" s="8">
        <v>434284.72260992002</v>
      </c>
      <c r="K970" s="8">
        <f>I970/1000000</f>
        <v>0.60549637199999995</v>
      </c>
      <c r="L970" s="8">
        <f>J970/1000000</f>
        <v>0.43428472260992002</v>
      </c>
      <c r="M970" t="s">
        <v>19</v>
      </c>
    </row>
    <row r="971" spans="2:13" x14ac:dyDescent="0.25">
      <c r="B971" t="s">
        <v>13</v>
      </c>
      <c r="C971" t="s">
        <v>46</v>
      </c>
      <c r="D971" t="s">
        <v>73</v>
      </c>
      <c r="E971">
        <v>2028</v>
      </c>
      <c r="F971" t="s">
        <v>26</v>
      </c>
      <c r="G971" t="s">
        <v>17</v>
      </c>
      <c r="H971" t="s">
        <v>18</v>
      </c>
      <c r="I971" s="8">
        <v>587435.97290000005</v>
      </c>
      <c r="J971" s="8">
        <v>421552.20026906999</v>
      </c>
      <c r="K971" s="8">
        <f>I971/1000000</f>
        <v>0.58743597290000005</v>
      </c>
      <c r="L971" s="8">
        <f>J971/1000000</f>
        <v>0.42155220026906998</v>
      </c>
      <c r="M971" t="s">
        <v>19</v>
      </c>
    </row>
    <row r="972" spans="2:13" x14ac:dyDescent="0.25">
      <c r="B972" t="s">
        <v>13</v>
      </c>
      <c r="C972" t="s">
        <v>46</v>
      </c>
      <c r="D972" t="s">
        <v>73</v>
      </c>
      <c r="E972">
        <v>2029</v>
      </c>
      <c r="F972" t="s">
        <v>26</v>
      </c>
      <c r="G972" t="s">
        <v>17</v>
      </c>
      <c r="H972" t="s">
        <v>18</v>
      </c>
      <c r="I972" s="8">
        <v>571419.15249999997</v>
      </c>
      <c r="J972" s="8">
        <v>410058.34655361099</v>
      </c>
      <c r="K972" s="8">
        <f>I972/1000000</f>
        <v>0.57141915249999997</v>
      </c>
      <c r="L972" s="8">
        <f>J972/1000000</f>
        <v>0.41005834655361101</v>
      </c>
      <c r="M972" t="s">
        <v>19</v>
      </c>
    </row>
    <row r="973" spans="2:13" x14ac:dyDescent="0.25">
      <c r="B973" t="s">
        <v>13</v>
      </c>
      <c r="C973" t="s">
        <v>46</v>
      </c>
      <c r="D973" t="s">
        <v>73</v>
      </c>
      <c r="E973">
        <v>2030</v>
      </c>
      <c r="F973" t="s">
        <v>26</v>
      </c>
      <c r="G973" t="s">
        <v>17</v>
      </c>
      <c r="H973" t="s">
        <v>18</v>
      </c>
      <c r="I973" s="8">
        <v>274286.20270000002</v>
      </c>
      <c r="J973" s="8">
        <v>196831.615609628</v>
      </c>
      <c r="K973" s="8">
        <f>I973/1000000</f>
        <v>0.27428620270000004</v>
      </c>
      <c r="L973" s="8">
        <f>J973/1000000</f>
        <v>0.196831615609628</v>
      </c>
      <c r="M973" t="s">
        <v>19</v>
      </c>
    </row>
    <row r="974" spans="2:13" x14ac:dyDescent="0.25">
      <c r="B974" t="s">
        <v>13</v>
      </c>
      <c r="C974" t="s">
        <v>46</v>
      </c>
      <c r="D974" t="s">
        <v>70</v>
      </c>
      <c r="E974">
        <v>2026</v>
      </c>
      <c r="F974" t="s">
        <v>26</v>
      </c>
      <c r="G974" t="s">
        <v>17</v>
      </c>
      <c r="H974" t="s">
        <v>18</v>
      </c>
      <c r="I974" s="8">
        <v>358598.90539999999</v>
      </c>
      <c r="J974" s="8">
        <v>207775.19440000001</v>
      </c>
      <c r="K974" s="8">
        <f>I974/1000000</f>
        <v>0.3585989054</v>
      </c>
      <c r="L974" s="8">
        <f>J974/1000000</f>
        <v>0.2077751944</v>
      </c>
      <c r="M974" t="s">
        <v>19</v>
      </c>
    </row>
    <row r="975" spans="2:13" x14ac:dyDescent="0.25">
      <c r="B975" t="s">
        <v>13</v>
      </c>
      <c r="C975" t="s">
        <v>46</v>
      </c>
      <c r="D975" t="s">
        <v>70</v>
      </c>
      <c r="E975">
        <v>2027</v>
      </c>
      <c r="F975" t="s">
        <v>26</v>
      </c>
      <c r="G975" t="s">
        <v>17</v>
      </c>
      <c r="H975" t="s">
        <v>18</v>
      </c>
      <c r="I975" s="8">
        <v>308314.74729999999</v>
      </c>
      <c r="J975" s="8">
        <v>220704.804</v>
      </c>
      <c r="K975" s="8">
        <f>I975/1000000</f>
        <v>0.30831474729999997</v>
      </c>
      <c r="L975" s="8">
        <f>J975/1000000</f>
        <v>0.220704804</v>
      </c>
      <c r="M975" t="s">
        <v>19</v>
      </c>
    </row>
    <row r="976" spans="2:13" x14ac:dyDescent="0.25">
      <c r="B976" t="s">
        <v>13</v>
      </c>
      <c r="C976" t="s">
        <v>46</v>
      </c>
      <c r="D976" t="s">
        <v>70</v>
      </c>
      <c r="E976">
        <v>2029</v>
      </c>
      <c r="F976" t="s">
        <v>26</v>
      </c>
      <c r="G976" t="s">
        <v>17</v>
      </c>
      <c r="H976" t="s">
        <v>18</v>
      </c>
      <c r="I976" s="8">
        <v>730959.39569999999</v>
      </c>
      <c r="J976" s="8">
        <v>459697.87223719503</v>
      </c>
      <c r="K976" s="8">
        <f>I976/1000000</f>
        <v>0.73095939570000001</v>
      </c>
      <c r="L976" s="8">
        <f>J976/1000000</f>
        <v>0.45969787223719505</v>
      </c>
      <c r="M976" t="s">
        <v>19</v>
      </c>
    </row>
    <row r="977" spans="2:13" x14ac:dyDescent="0.25">
      <c r="B977" t="s">
        <v>13</v>
      </c>
      <c r="C977" t="s">
        <v>46</v>
      </c>
      <c r="D977" t="s">
        <v>70</v>
      </c>
      <c r="E977">
        <v>2030</v>
      </c>
      <c r="F977" t="s">
        <v>26</v>
      </c>
      <c r="G977" t="s">
        <v>17</v>
      </c>
      <c r="H977" t="s">
        <v>18</v>
      </c>
      <c r="I977" s="8">
        <v>278746.2501</v>
      </c>
      <c r="J977" s="8">
        <v>175148.19342107</v>
      </c>
      <c r="K977" s="8">
        <f>I977/1000000</f>
        <v>0.27874625009999998</v>
      </c>
      <c r="L977" s="8">
        <f>J977/1000000</f>
        <v>0.17514819342106999</v>
      </c>
      <c r="M977" t="s">
        <v>19</v>
      </c>
    </row>
    <row r="978" spans="2:13" x14ac:dyDescent="0.25">
      <c r="B978" t="s">
        <v>13</v>
      </c>
      <c r="C978" t="s">
        <v>46</v>
      </c>
      <c r="D978" t="s">
        <v>15</v>
      </c>
      <c r="E978">
        <v>2028</v>
      </c>
      <c r="F978" t="s">
        <v>26</v>
      </c>
      <c r="G978" t="s">
        <v>17</v>
      </c>
      <c r="H978" t="s">
        <v>18</v>
      </c>
      <c r="I978" s="8">
        <v>227149.35440000001</v>
      </c>
      <c r="J978" s="8">
        <v>75590.674773530904</v>
      </c>
      <c r="K978" s="8">
        <f>I978/1000000</f>
        <v>0.2271493544</v>
      </c>
      <c r="L978" s="8">
        <f>J978/1000000</f>
        <v>7.5590674773530903E-2</v>
      </c>
      <c r="M978" t="s">
        <v>19</v>
      </c>
    </row>
    <row r="979" spans="2:13" x14ac:dyDescent="0.25">
      <c r="B979" t="s">
        <v>13</v>
      </c>
      <c r="C979" t="s">
        <v>46</v>
      </c>
      <c r="D979" t="s">
        <v>15</v>
      </c>
      <c r="E979">
        <v>2029</v>
      </c>
      <c r="F979" t="s">
        <v>26</v>
      </c>
      <c r="G979" t="s">
        <v>17</v>
      </c>
      <c r="H979" t="s">
        <v>18</v>
      </c>
      <c r="I979" s="8">
        <v>217411.18280000001</v>
      </c>
      <c r="J979" s="8">
        <v>72350.009767331299</v>
      </c>
      <c r="K979" s="8">
        <f>I979/1000000</f>
        <v>0.21741118280000002</v>
      </c>
      <c r="L979" s="8">
        <f>J979/1000000</f>
        <v>7.2350009767331303E-2</v>
      </c>
      <c r="M979" t="s">
        <v>19</v>
      </c>
    </row>
    <row r="980" spans="2:13" x14ac:dyDescent="0.25">
      <c r="B980" t="s">
        <v>13</v>
      </c>
      <c r="C980" t="s">
        <v>46</v>
      </c>
      <c r="D980" t="s">
        <v>15</v>
      </c>
      <c r="E980">
        <v>2030</v>
      </c>
      <c r="F980" t="s">
        <v>26</v>
      </c>
      <c r="G980" t="s">
        <v>17</v>
      </c>
      <c r="H980" t="s">
        <v>18</v>
      </c>
      <c r="I980" s="8">
        <v>206438.9889</v>
      </c>
      <c r="J980" s="8">
        <v>68698.687309523506</v>
      </c>
      <c r="K980" s="8">
        <f>I980/1000000</f>
        <v>0.20643898890000001</v>
      </c>
      <c r="L980" s="8">
        <f>J980/1000000</f>
        <v>6.8698687309523512E-2</v>
      </c>
      <c r="M980" t="s">
        <v>19</v>
      </c>
    </row>
    <row r="981" spans="2:13" x14ac:dyDescent="0.25">
      <c r="B981" t="s">
        <v>13</v>
      </c>
      <c r="C981" t="s">
        <v>46</v>
      </c>
      <c r="D981" t="s">
        <v>100</v>
      </c>
      <c r="E981">
        <v>2026</v>
      </c>
      <c r="F981" t="s">
        <v>26</v>
      </c>
      <c r="G981" t="s">
        <v>17</v>
      </c>
      <c r="H981" t="s">
        <v>18</v>
      </c>
      <c r="I981" s="8">
        <v>907240.44440000004</v>
      </c>
      <c r="J981" s="8">
        <v>354667.88287999999</v>
      </c>
      <c r="K981" s="8">
        <f>I981/1000000</f>
        <v>0.90724044440000007</v>
      </c>
      <c r="L981" s="8">
        <f>J981/1000000</f>
        <v>0.35466788288000001</v>
      </c>
      <c r="M981" t="s">
        <v>19</v>
      </c>
    </row>
    <row r="982" spans="2:13" x14ac:dyDescent="0.25">
      <c r="B982" t="s">
        <v>13</v>
      </c>
      <c r="C982" t="s">
        <v>46</v>
      </c>
      <c r="D982" t="s">
        <v>100</v>
      </c>
      <c r="E982">
        <v>2029</v>
      </c>
      <c r="F982" t="s">
        <v>26</v>
      </c>
      <c r="G982" t="s">
        <v>17</v>
      </c>
      <c r="H982" t="s">
        <v>18</v>
      </c>
      <c r="I982" s="8">
        <v>667718.60950000002</v>
      </c>
      <c r="J982" s="8">
        <v>294332.07311038801</v>
      </c>
      <c r="K982" s="8">
        <f>I982/1000000</f>
        <v>0.66771860950000006</v>
      </c>
      <c r="L982" s="8">
        <f>J982/1000000</f>
        <v>0.294332073110388</v>
      </c>
      <c r="M982" t="s">
        <v>19</v>
      </c>
    </row>
    <row r="983" spans="2:13" x14ac:dyDescent="0.25">
      <c r="B983" t="s">
        <v>13</v>
      </c>
      <c r="C983" t="s">
        <v>46</v>
      </c>
      <c r="D983" t="s">
        <v>100</v>
      </c>
      <c r="E983">
        <v>2030</v>
      </c>
      <c r="F983" t="s">
        <v>26</v>
      </c>
      <c r="G983" t="s">
        <v>17</v>
      </c>
      <c r="H983" t="s">
        <v>18</v>
      </c>
      <c r="I983" s="8">
        <v>636147.59100000001</v>
      </c>
      <c r="J983" s="8">
        <v>282909.63312106399</v>
      </c>
      <c r="K983" s="8">
        <f>I983/1000000</f>
        <v>0.63614759100000007</v>
      </c>
      <c r="L983" s="8">
        <f>J983/1000000</f>
        <v>0.28290963312106399</v>
      </c>
      <c r="M983" t="s">
        <v>19</v>
      </c>
    </row>
    <row r="984" spans="2:13" x14ac:dyDescent="0.25">
      <c r="B984" t="s">
        <v>13</v>
      </c>
      <c r="C984" t="s">
        <v>46</v>
      </c>
      <c r="D984" t="s">
        <v>100</v>
      </c>
      <c r="E984">
        <v>2027</v>
      </c>
      <c r="F984" t="s">
        <v>26</v>
      </c>
      <c r="G984" t="s">
        <v>17</v>
      </c>
      <c r="H984" t="s">
        <v>18</v>
      </c>
      <c r="I984" s="8">
        <v>672207.11129999999</v>
      </c>
      <c r="J984" s="8">
        <v>312775.77377760003</v>
      </c>
      <c r="K984" s="8">
        <f>I984/1000000</f>
        <v>0.67220711129999999</v>
      </c>
      <c r="L984" s="8">
        <f>J984/1000000</f>
        <v>0.31277577377760002</v>
      </c>
      <c r="M984" t="s">
        <v>19</v>
      </c>
    </row>
    <row r="985" spans="2:13" x14ac:dyDescent="0.25">
      <c r="B985" t="s">
        <v>13</v>
      </c>
      <c r="C985" t="s">
        <v>46</v>
      </c>
      <c r="D985" t="s">
        <v>100</v>
      </c>
      <c r="E985">
        <v>2028</v>
      </c>
      <c r="F985" t="s">
        <v>26</v>
      </c>
      <c r="G985" t="s">
        <v>17</v>
      </c>
      <c r="H985" t="s">
        <v>18</v>
      </c>
      <c r="I985" s="8">
        <v>640807.53709999996</v>
      </c>
      <c r="J985" s="8">
        <v>301047.98463791999</v>
      </c>
      <c r="K985" s="8">
        <f>I985/1000000</f>
        <v>0.64080753709999994</v>
      </c>
      <c r="L985" s="8">
        <f>J985/1000000</f>
        <v>0.30104798463791999</v>
      </c>
      <c r="M985" t="s">
        <v>19</v>
      </c>
    </row>
    <row r="986" spans="2:13" x14ac:dyDescent="0.25">
      <c r="B986" t="s">
        <v>13</v>
      </c>
      <c r="C986" t="s">
        <v>46</v>
      </c>
      <c r="D986" t="s">
        <v>72</v>
      </c>
      <c r="E986">
        <v>2026</v>
      </c>
      <c r="F986" t="s">
        <v>26</v>
      </c>
      <c r="G986" t="s">
        <v>17</v>
      </c>
      <c r="H986" t="s">
        <v>18</v>
      </c>
      <c r="I986" s="8">
        <v>1789067.6902000001</v>
      </c>
      <c r="J986" s="8">
        <v>503641.9759584</v>
      </c>
      <c r="K986" s="8">
        <f>I986/1000000</f>
        <v>1.7890676902</v>
      </c>
      <c r="L986" s="8">
        <f>J986/1000000</f>
        <v>0.50364197595839999</v>
      </c>
      <c r="M986" t="s">
        <v>19</v>
      </c>
    </row>
    <row r="987" spans="2:13" x14ac:dyDescent="0.25">
      <c r="B987" t="s">
        <v>13</v>
      </c>
      <c r="C987" t="s">
        <v>46</v>
      </c>
      <c r="D987" t="s">
        <v>72</v>
      </c>
      <c r="E987">
        <v>2027</v>
      </c>
      <c r="F987" t="s">
        <v>26</v>
      </c>
      <c r="G987" t="s">
        <v>17</v>
      </c>
      <c r="H987" t="s">
        <v>18</v>
      </c>
      <c r="I987" s="8">
        <v>1546767.1414999999</v>
      </c>
      <c r="J987" s="8">
        <v>435431.74120991997</v>
      </c>
      <c r="K987" s="8">
        <f>I987/1000000</f>
        <v>1.5467671414999999</v>
      </c>
      <c r="L987" s="8">
        <f>J987/1000000</f>
        <v>0.43543174120991995</v>
      </c>
      <c r="M987" t="s">
        <v>19</v>
      </c>
    </row>
    <row r="988" spans="2:13" x14ac:dyDescent="0.25">
      <c r="B988" t="s">
        <v>13</v>
      </c>
      <c r="C988" t="s">
        <v>46</v>
      </c>
      <c r="D988" t="s">
        <v>72</v>
      </c>
      <c r="E988">
        <v>2028</v>
      </c>
      <c r="F988" t="s">
        <v>26</v>
      </c>
      <c r="G988" t="s">
        <v>17</v>
      </c>
      <c r="H988" t="s">
        <v>18</v>
      </c>
      <c r="I988" s="8">
        <v>1468402.5508999999</v>
      </c>
      <c r="J988" s="8">
        <v>418992.81149606401</v>
      </c>
      <c r="K988" s="8">
        <f>I988/1000000</f>
        <v>1.4684025508999998</v>
      </c>
      <c r="L988" s="8">
        <f>J988/1000000</f>
        <v>0.41899281149606399</v>
      </c>
      <c r="M988" t="s">
        <v>19</v>
      </c>
    </row>
    <row r="989" spans="2:13" x14ac:dyDescent="0.25">
      <c r="B989" t="s">
        <v>13</v>
      </c>
      <c r="C989" t="s">
        <v>46</v>
      </c>
      <c r="D989" t="s">
        <v>72</v>
      </c>
      <c r="E989">
        <v>2029</v>
      </c>
      <c r="F989" t="s">
        <v>26</v>
      </c>
      <c r="G989" t="s">
        <v>17</v>
      </c>
      <c r="H989" t="s">
        <v>18</v>
      </c>
      <c r="I989" s="8">
        <v>904014.96719999996</v>
      </c>
      <c r="J989" s="8">
        <v>410058.34655361099</v>
      </c>
      <c r="K989" s="8">
        <f>I989/1000000</f>
        <v>0.90401496719999996</v>
      </c>
      <c r="L989" s="8">
        <f>J989/1000000</f>
        <v>0.41005834655361101</v>
      </c>
      <c r="M989" t="s">
        <v>19</v>
      </c>
    </row>
    <row r="990" spans="2:13" x14ac:dyDescent="0.25">
      <c r="B990" t="s">
        <v>13</v>
      </c>
      <c r="C990" t="s">
        <v>46</v>
      </c>
      <c r="D990" t="s">
        <v>72</v>
      </c>
      <c r="E990">
        <v>2030</v>
      </c>
      <c r="F990" t="s">
        <v>26</v>
      </c>
      <c r="G990" t="s">
        <v>17</v>
      </c>
      <c r="H990" t="s">
        <v>18</v>
      </c>
      <c r="I990" s="8">
        <v>869519.85880000005</v>
      </c>
      <c r="J990" s="8">
        <v>394411.47382767498</v>
      </c>
      <c r="K990" s="8">
        <f>I990/1000000</f>
        <v>0.86951985880000005</v>
      </c>
      <c r="L990" s="8">
        <f>J990/1000000</f>
        <v>0.394411473827675</v>
      </c>
      <c r="M990" t="s">
        <v>19</v>
      </c>
    </row>
    <row r="991" spans="2:13" x14ac:dyDescent="0.25">
      <c r="B991" t="s">
        <v>13</v>
      </c>
      <c r="C991" t="s">
        <v>46</v>
      </c>
      <c r="D991" t="s">
        <v>69</v>
      </c>
      <c r="E991">
        <v>2030</v>
      </c>
      <c r="F991" t="s">
        <v>26</v>
      </c>
      <c r="G991" t="s">
        <v>17</v>
      </c>
      <c r="H991" t="s">
        <v>18</v>
      </c>
      <c r="I991" s="8">
        <v>530181.66339999996</v>
      </c>
      <c r="J991" s="8">
        <v>231570.62356597101</v>
      </c>
      <c r="K991" s="8">
        <f>I991/1000000</f>
        <v>0.53018166339999995</v>
      </c>
      <c r="L991" s="8">
        <f>J991/1000000</f>
        <v>0.231570623565971</v>
      </c>
      <c r="M991" t="s">
        <v>19</v>
      </c>
    </row>
    <row r="992" spans="2:13" x14ac:dyDescent="0.25">
      <c r="B992" t="s">
        <v>13</v>
      </c>
      <c r="C992" t="s">
        <v>46</v>
      </c>
      <c r="D992" t="s">
        <v>70</v>
      </c>
      <c r="E992">
        <v>2028</v>
      </c>
      <c r="F992" t="s">
        <v>26</v>
      </c>
      <c r="G992" t="s">
        <v>17</v>
      </c>
      <c r="H992" t="s">
        <v>18</v>
      </c>
      <c r="I992" s="8">
        <v>233052.55489999999</v>
      </c>
      <c r="J992" s="8">
        <v>164961.3762</v>
      </c>
      <c r="K992" s="8">
        <f>I992/1000000</f>
        <v>0.23305255489999999</v>
      </c>
      <c r="L992" s="8">
        <f>J992/1000000</f>
        <v>0.16496137620000001</v>
      </c>
      <c r="M992" t="s">
        <v>19</v>
      </c>
    </row>
    <row r="993" spans="2:13" x14ac:dyDescent="0.25">
      <c r="B993" t="s">
        <v>13</v>
      </c>
      <c r="C993" t="s">
        <v>46</v>
      </c>
      <c r="D993" t="s">
        <v>15</v>
      </c>
      <c r="E993">
        <v>2027</v>
      </c>
      <c r="F993" t="s">
        <v>26</v>
      </c>
      <c r="G993" t="s">
        <v>17</v>
      </c>
      <c r="H993" t="s">
        <v>18</v>
      </c>
      <c r="I993" s="8">
        <v>296235.25349999999</v>
      </c>
      <c r="J993" s="8">
        <v>97998.493862500007</v>
      </c>
      <c r="K993" s="8">
        <f>I993/1000000</f>
        <v>0.29623525350000002</v>
      </c>
      <c r="L993" s="8">
        <f>J993/1000000</f>
        <v>9.7998493862500008E-2</v>
      </c>
      <c r="M993" t="s">
        <v>19</v>
      </c>
    </row>
    <row r="994" spans="2:13" x14ac:dyDescent="0.25">
      <c r="B994" t="s">
        <v>13</v>
      </c>
      <c r="C994" t="s">
        <v>46</v>
      </c>
      <c r="D994" t="s">
        <v>102</v>
      </c>
      <c r="E994">
        <v>2030</v>
      </c>
      <c r="F994" t="s">
        <v>26</v>
      </c>
      <c r="G994" t="s">
        <v>17</v>
      </c>
      <c r="H994" t="s">
        <v>18</v>
      </c>
      <c r="I994" s="8">
        <v>1601.0884000000001</v>
      </c>
      <c r="J994" s="8">
        <v>4733.5292941439002</v>
      </c>
      <c r="K994" s="8">
        <f>I994/1000000</f>
        <v>1.6010884E-3</v>
      </c>
      <c r="L994" s="8">
        <f>J994/1000000</f>
        <v>4.7335292941439004E-3</v>
      </c>
      <c r="M994" t="s">
        <v>19</v>
      </c>
    </row>
    <row r="995" spans="2:13" x14ac:dyDescent="0.25">
      <c r="B995" t="s">
        <v>13</v>
      </c>
      <c r="C995" t="s">
        <v>46</v>
      </c>
      <c r="D995" t="s">
        <v>108</v>
      </c>
      <c r="E995">
        <v>2030</v>
      </c>
      <c r="F995" t="s">
        <v>26</v>
      </c>
      <c r="G995" t="s">
        <v>17</v>
      </c>
      <c r="H995" t="s">
        <v>18</v>
      </c>
      <c r="I995" s="8">
        <v>611861.42229999998</v>
      </c>
      <c r="J995" s="8">
        <v>164552.18509595099</v>
      </c>
      <c r="K995" s="8">
        <f>I995/1000000</f>
        <v>0.61186142229999996</v>
      </c>
      <c r="L995" s="8">
        <f>J995/1000000</f>
        <v>0.16455218509595099</v>
      </c>
      <c r="M995" t="s">
        <v>39</v>
      </c>
    </row>
    <row r="996" spans="2:13" x14ac:dyDescent="0.25">
      <c r="B996" t="s">
        <v>13</v>
      </c>
      <c r="C996" t="s">
        <v>14</v>
      </c>
      <c r="D996" t="s">
        <v>52</v>
      </c>
      <c r="E996">
        <v>2026</v>
      </c>
      <c r="F996" t="s">
        <v>26</v>
      </c>
      <c r="G996" t="s">
        <v>17</v>
      </c>
      <c r="H996" t="s">
        <v>18</v>
      </c>
      <c r="I996" s="8">
        <v>1175452.4516</v>
      </c>
      <c r="J996" s="8">
        <v>1162910.3805</v>
      </c>
      <c r="K996" s="8">
        <f>I996/1000000</f>
        <v>1.1754524516</v>
      </c>
      <c r="L996" s="8">
        <f>J996/1000000</f>
        <v>1.1629103805000001</v>
      </c>
      <c r="M996" t="s">
        <v>19</v>
      </c>
    </row>
    <row r="997" spans="2:13" x14ac:dyDescent="0.25">
      <c r="B997" t="s">
        <v>13</v>
      </c>
      <c r="C997" t="s">
        <v>14</v>
      </c>
      <c r="D997" t="s">
        <v>52</v>
      </c>
      <c r="E997">
        <v>2028</v>
      </c>
      <c r="F997" t="s">
        <v>26</v>
      </c>
      <c r="G997" t="s">
        <v>17</v>
      </c>
      <c r="H997" t="s">
        <v>18</v>
      </c>
      <c r="I997" s="8">
        <v>1188710.9101</v>
      </c>
      <c r="J997" s="8">
        <v>1079122.9556249999</v>
      </c>
      <c r="K997" s="8">
        <f>I997/1000000</f>
        <v>1.1887109101</v>
      </c>
      <c r="L997" s="8">
        <f>J997/1000000</f>
        <v>1.0791229556249999</v>
      </c>
      <c r="M997" t="s">
        <v>19</v>
      </c>
    </row>
    <row r="998" spans="2:13" x14ac:dyDescent="0.25">
      <c r="B998" t="s">
        <v>13</v>
      </c>
      <c r="C998" t="s">
        <v>46</v>
      </c>
      <c r="D998" t="s">
        <v>69</v>
      </c>
      <c r="E998">
        <v>2026</v>
      </c>
      <c r="F998" t="s">
        <v>88</v>
      </c>
      <c r="G998" t="s">
        <v>17</v>
      </c>
      <c r="H998" t="s">
        <v>18</v>
      </c>
      <c r="I998" s="8">
        <v>350220.26669999998</v>
      </c>
      <c r="J998" s="8">
        <v>112400</v>
      </c>
      <c r="K998" s="8">
        <f>I998/1000000</f>
        <v>0.3502202667</v>
      </c>
      <c r="L998" s="8">
        <f>J998/1000000</f>
        <v>0.1124</v>
      </c>
      <c r="M998" t="s">
        <v>19</v>
      </c>
    </row>
    <row r="999" spans="2:13" x14ac:dyDescent="0.25">
      <c r="B999" t="s">
        <v>13</v>
      </c>
      <c r="C999" t="s">
        <v>46</v>
      </c>
      <c r="D999" t="s">
        <v>69</v>
      </c>
      <c r="E999">
        <v>2027</v>
      </c>
      <c r="F999" t="s">
        <v>88</v>
      </c>
      <c r="G999" t="s">
        <v>17</v>
      </c>
      <c r="H999" t="s">
        <v>18</v>
      </c>
      <c r="I999" s="8">
        <v>742114.00349999999</v>
      </c>
      <c r="J999" s="8">
        <v>45000</v>
      </c>
      <c r="K999" s="8">
        <f>I999/1000000</f>
        <v>0.74211400350000001</v>
      </c>
      <c r="L999" s="8">
        <f>J999/1000000</f>
        <v>4.4999999999999998E-2</v>
      </c>
      <c r="M999" t="s">
        <v>19</v>
      </c>
    </row>
    <row r="1000" spans="2:13" x14ac:dyDescent="0.25">
      <c r="B1000" t="s">
        <v>13</v>
      </c>
      <c r="C1000" t="s">
        <v>14</v>
      </c>
      <c r="D1000" t="s">
        <v>15</v>
      </c>
      <c r="E1000">
        <v>2026</v>
      </c>
      <c r="F1000" t="s">
        <v>36</v>
      </c>
      <c r="G1000" t="s">
        <v>17</v>
      </c>
      <c r="H1000" t="s">
        <v>18</v>
      </c>
      <c r="I1000" s="8">
        <v>57097105</v>
      </c>
      <c r="J1000" s="8">
        <v>12112250</v>
      </c>
      <c r="K1000" s="8">
        <f>I1000/1000000</f>
        <v>57.097104999999999</v>
      </c>
      <c r="L1000" s="8">
        <f>J1000/1000000</f>
        <v>12.11225</v>
      </c>
      <c r="M1000" t="s">
        <v>37</v>
      </c>
    </row>
    <row r="1001" spans="2:13" x14ac:dyDescent="0.25">
      <c r="B1001" t="s">
        <v>13</v>
      </c>
      <c r="C1001" t="s">
        <v>46</v>
      </c>
      <c r="D1001" t="s">
        <v>101</v>
      </c>
      <c r="E1001">
        <v>2027</v>
      </c>
      <c r="F1001" t="s">
        <v>36</v>
      </c>
      <c r="G1001" t="s">
        <v>17</v>
      </c>
      <c r="H1001" t="s">
        <v>18</v>
      </c>
      <c r="I1001" s="8">
        <v>9937042.4708999991</v>
      </c>
      <c r="J1001" s="8">
        <v>8989572.0963682104</v>
      </c>
      <c r="K1001" s="8">
        <f>I1001/1000000</f>
        <v>9.9370424708999998</v>
      </c>
      <c r="L1001" s="8">
        <f>J1001/1000000</f>
        <v>8.9895720963682102</v>
      </c>
      <c r="M1001" t="s">
        <v>37</v>
      </c>
    </row>
    <row r="1002" spans="2:13" x14ac:dyDescent="0.25">
      <c r="B1002" t="s">
        <v>13</v>
      </c>
      <c r="C1002" t="s">
        <v>46</v>
      </c>
      <c r="D1002" t="s">
        <v>76</v>
      </c>
      <c r="E1002">
        <v>2027</v>
      </c>
      <c r="F1002" t="s">
        <v>78</v>
      </c>
      <c r="G1002" t="s">
        <v>17</v>
      </c>
      <c r="H1002" t="s">
        <v>18</v>
      </c>
      <c r="I1002" s="8">
        <v>1329280.8221</v>
      </c>
      <c r="J1002" s="8">
        <v>411051.57986040198</v>
      </c>
      <c r="K1002" s="8">
        <f>I1002/1000000</f>
        <v>1.3292808221000001</v>
      </c>
      <c r="L1002" s="8">
        <f>J1002/1000000</f>
        <v>0.41105157986040197</v>
      </c>
      <c r="M1002" t="s">
        <v>39</v>
      </c>
    </row>
    <row r="1003" spans="2:13" x14ac:dyDescent="0.25">
      <c r="B1003" t="s">
        <v>13</v>
      </c>
      <c r="C1003" t="s">
        <v>46</v>
      </c>
      <c r="D1003" t="s">
        <v>76</v>
      </c>
      <c r="E1003">
        <v>2028</v>
      </c>
      <c r="F1003" t="s">
        <v>78</v>
      </c>
      <c r="G1003" t="s">
        <v>17</v>
      </c>
      <c r="H1003" t="s">
        <v>18</v>
      </c>
      <c r="I1003" s="8">
        <v>903061.62459999998</v>
      </c>
      <c r="J1003" s="8">
        <v>283179.82870031998</v>
      </c>
      <c r="K1003" s="8">
        <f>I1003/1000000</f>
        <v>0.90306162459999995</v>
      </c>
      <c r="L1003" s="8">
        <f>J1003/1000000</f>
        <v>0.28317982870031999</v>
      </c>
      <c r="M1003" t="s">
        <v>39</v>
      </c>
    </row>
    <row r="1004" spans="2:13" x14ac:dyDescent="0.25">
      <c r="B1004" t="s">
        <v>13</v>
      </c>
      <c r="C1004" t="s">
        <v>46</v>
      </c>
      <c r="D1004" t="s">
        <v>76</v>
      </c>
      <c r="E1004">
        <v>2029</v>
      </c>
      <c r="F1004" t="s">
        <v>78</v>
      </c>
      <c r="G1004" t="s">
        <v>17</v>
      </c>
      <c r="H1004" t="s">
        <v>18</v>
      </c>
      <c r="I1004" s="8">
        <v>505763.38789999997</v>
      </c>
      <c r="J1004" s="8">
        <v>158596.03116164199</v>
      </c>
      <c r="K1004" s="8">
        <f>I1004/1000000</f>
        <v>0.50576338789999997</v>
      </c>
      <c r="L1004" s="8">
        <f>J1004/1000000</f>
        <v>0.158596031161642</v>
      </c>
      <c r="M1004" t="s">
        <v>39</v>
      </c>
    </row>
    <row r="1005" spans="2:13" x14ac:dyDescent="0.25">
      <c r="B1005" t="s">
        <v>13</v>
      </c>
      <c r="C1005" t="s">
        <v>46</v>
      </c>
      <c r="D1005" t="s">
        <v>76</v>
      </c>
      <c r="E1005">
        <v>2030</v>
      </c>
      <c r="F1005" t="s">
        <v>78</v>
      </c>
      <c r="G1005" t="s">
        <v>17</v>
      </c>
      <c r="H1005" t="s">
        <v>18</v>
      </c>
      <c r="I1005" s="8">
        <v>522532.31819999998</v>
      </c>
      <c r="J1005" s="8">
        <v>163854.39079826401</v>
      </c>
      <c r="K1005" s="8">
        <f>I1005/1000000</f>
        <v>0.52253231820000001</v>
      </c>
      <c r="L1005" s="8">
        <f>J1005/1000000</f>
        <v>0.163854390798264</v>
      </c>
      <c r="M1005" t="s">
        <v>39</v>
      </c>
    </row>
    <row r="1006" spans="2:13" x14ac:dyDescent="0.25">
      <c r="B1006" t="s">
        <v>13</v>
      </c>
      <c r="C1006" t="s">
        <v>46</v>
      </c>
      <c r="D1006" t="s">
        <v>74</v>
      </c>
      <c r="E1006">
        <v>2026</v>
      </c>
      <c r="F1006" t="s">
        <v>78</v>
      </c>
      <c r="G1006" t="s">
        <v>17</v>
      </c>
      <c r="H1006" t="s">
        <v>18</v>
      </c>
      <c r="I1006" s="8">
        <v>109570.57150000001</v>
      </c>
      <c r="J1006" s="8">
        <v>64900</v>
      </c>
      <c r="K1006" s="8">
        <f>I1006/1000000</f>
        <v>0.10957057150000001</v>
      </c>
      <c r="L1006" s="8">
        <f>J1006/1000000</f>
        <v>6.4899999999999999E-2</v>
      </c>
      <c r="M1006" t="s">
        <v>19</v>
      </c>
    </row>
    <row r="1007" spans="2:13" x14ac:dyDescent="0.25">
      <c r="B1007" t="s">
        <v>13</v>
      </c>
      <c r="C1007" t="s">
        <v>46</v>
      </c>
      <c r="D1007" t="s">
        <v>74</v>
      </c>
      <c r="E1007">
        <v>2027</v>
      </c>
      <c r="F1007" t="s">
        <v>78</v>
      </c>
      <c r="G1007" t="s">
        <v>17</v>
      </c>
      <c r="H1007" t="s">
        <v>18</v>
      </c>
      <c r="I1007" s="8">
        <v>93464.321800000005</v>
      </c>
      <c r="J1007" s="8">
        <v>56498.585161752002</v>
      </c>
      <c r="K1007" s="8">
        <f>I1007/1000000</f>
        <v>9.34643218E-2</v>
      </c>
      <c r="L1007" s="8">
        <f>J1007/1000000</f>
        <v>5.6498585161752005E-2</v>
      </c>
      <c r="M1007" t="s">
        <v>19</v>
      </c>
    </row>
    <row r="1008" spans="2:13" x14ac:dyDescent="0.25">
      <c r="B1008" t="s">
        <v>13</v>
      </c>
      <c r="C1008" t="s">
        <v>46</v>
      </c>
      <c r="D1008" t="s">
        <v>74</v>
      </c>
      <c r="E1008">
        <v>2028</v>
      </c>
      <c r="F1008" t="s">
        <v>78</v>
      </c>
      <c r="G1008" t="s">
        <v>17</v>
      </c>
      <c r="H1008" t="s">
        <v>18</v>
      </c>
      <c r="I1008" s="8">
        <v>70049.533800000005</v>
      </c>
      <c r="J1008" s="8">
        <v>45682.001587331702</v>
      </c>
      <c r="K1008" s="8">
        <f>I1008/1000000</f>
        <v>7.0049533800000008E-2</v>
      </c>
      <c r="L1008" s="8">
        <f>J1008/1000000</f>
        <v>4.5682001587331704E-2</v>
      </c>
      <c r="M1008" t="s">
        <v>19</v>
      </c>
    </row>
    <row r="1009" spans="2:13" x14ac:dyDescent="0.25">
      <c r="B1009" t="s">
        <v>13</v>
      </c>
      <c r="C1009" t="s">
        <v>46</v>
      </c>
      <c r="D1009" t="s">
        <v>74</v>
      </c>
      <c r="E1009">
        <v>2029</v>
      </c>
      <c r="F1009" t="s">
        <v>78</v>
      </c>
      <c r="G1009" t="s">
        <v>17</v>
      </c>
      <c r="H1009" t="s">
        <v>18</v>
      </c>
      <c r="I1009" s="8">
        <v>49353.691899999998</v>
      </c>
      <c r="J1009" s="8">
        <v>33020.572428746498</v>
      </c>
      <c r="K1009" s="8">
        <f>I1009/1000000</f>
        <v>4.9353691899999996E-2</v>
      </c>
      <c r="L1009" s="8">
        <f>J1009/1000000</f>
        <v>3.3020572428746502E-2</v>
      </c>
      <c r="M1009" t="s">
        <v>19</v>
      </c>
    </row>
    <row r="1010" spans="2:13" x14ac:dyDescent="0.25">
      <c r="B1010" t="s">
        <v>13</v>
      </c>
      <c r="C1010" t="s">
        <v>46</v>
      </c>
      <c r="D1010" t="s">
        <v>74</v>
      </c>
      <c r="E1010">
        <v>2030</v>
      </c>
      <c r="F1010" t="s">
        <v>78</v>
      </c>
      <c r="G1010" t="s">
        <v>17</v>
      </c>
      <c r="H1010" t="s">
        <v>18</v>
      </c>
      <c r="I1010" s="8">
        <v>40185.059699999998</v>
      </c>
      <c r="J1010" s="8">
        <v>26982.6933872929</v>
      </c>
      <c r="K1010" s="8">
        <f>I1010/1000000</f>
        <v>4.0185059699999998E-2</v>
      </c>
      <c r="L1010" s="8">
        <f>J1010/1000000</f>
        <v>2.6982693387292901E-2</v>
      </c>
      <c r="M1010" t="s">
        <v>19</v>
      </c>
    </row>
    <row r="1011" spans="2:13" x14ac:dyDescent="0.25">
      <c r="B1011" t="s">
        <v>13</v>
      </c>
      <c r="C1011" t="s">
        <v>46</v>
      </c>
      <c r="D1011" t="s">
        <v>73</v>
      </c>
      <c r="E1011">
        <v>2026</v>
      </c>
      <c r="F1011" t="s">
        <v>78</v>
      </c>
      <c r="G1011" t="s">
        <v>17</v>
      </c>
      <c r="H1011" t="s">
        <v>18</v>
      </c>
      <c r="I1011" s="8">
        <v>2005611.5832</v>
      </c>
      <c r="J1011" s="8">
        <v>2131500</v>
      </c>
      <c r="K1011" s="8">
        <f>I1011/1000000</f>
        <v>2.0056115831999999</v>
      </c>
      <c r="L1011" s="8">
        <f>J1011/1000000</f>
        <v>2.1315</v>
      </c>
      <c r="M1011" t="s">
        <v>19</v>
      </c>
    </row>
    <row r="1012" spans="2:13" x14ac:dyDescent="0.25">
      <c r="B1012" t="s">
        <v>13</v>
      </c>
      <c r="C1012" t="s">
        <v>46</v>
      </c>
      <c r="D1012" t="s">
        <v>73</v>
      </c>
      <c r="E1012">
        <v>2027</v>
      </c>
      <c r="F1012" t="s">
        <v>78</v>
      </c>
      <c r="G1012" t="s">
        <v>17</v>
      </c>
      <c r="H1012" t="s">
        <v>18</v>
      </c>
      <c r="I1012" s="8">
        <v>1652104.8255</v>
      </c>
      <c r="J1012" s="8">
        <v>1761206.4536858101</v>
      </c>
      <c r="K1012" s="8">
        <f>I1012/1000000</f>
        <v>1.6521048254999999</v>
      </c>
      <c r="L1012" s="8">
        <f>J1012/1000000</f>
        <v>1.7612064536858101</v>
      </c>
      <c r="M1012" t="s">
        <v>19</v>
      </c>
    </row>
    <row r="1013" spans="2:13" x14ac:dyDescent="0.25">
      <c r="B1013" t="s">
        <v>13</v>
      </c>
      <c r="C1013" t="s">
        <v>46</v>
      </c>
      <c r="D1013" t="s">
        <v>73</v>
      </c>
      <c r="E1013">
        <v>2028</v>
      </c>
      <c r="F1013" t="s">
        <v>78</v>
      </c>
      <c r="G1013" t="s">
        <v>17</v>
      </c>
      <c r="H1013" t="s">
        <v>18</v>
      </c>
      <c r="I1013" s="8">
        <v>1434202.6787</v>
      </c>
      <c r="J1013" s="8">
        <v>1426685.33934205</v>
      </c>
      <c r="K1013" s="8">
        <f>I1013/1000000</f>
        <v>1.4342026787</v>
      </c>
      <c r="L1013" s="8">
        <f>J1013/1000000</f>
        <v>1.42668533934205</v>
      </c>
      <c r="M1013" t="s">
        <v>19</v>
      </c>
    </row>
    <row r="1014" spans="2:13" x14ac:dyDescent="0.25">
      <c r="B1014" t="s">
        <v>13</v>
      </c>
      <c r="C1014" t="s">
        <v>46</v>
      </c>
      <c r="D1014" t="s">
        <v>73</v>
      </c>
      <c r="E1014">
        <v>2029</v>
      </c>
      <c r="F1014" t="s">
        <v>78</v>
      </c>
      <c r="G1014" t="s">
        <v>17</v>
      </c>
      <c r="H1014" t="s">
        <v>18</v>
      </c>
      <c r="I1014" s="8">
        <v>1026301.1461</v>
      </c>
      <c r="J1014" s="8">
        <v>1020921.81827122</v>
      </c>
      <c r="K1014" s="8">
        <f>I1014/1000000</f>
        <v>1.0263011461</v>
      </c>
      <c r="L1014" s="8">
        <f>J1014/1000000</f>
        <v>1.0209218182712199</v>
      </c>
      <c r="M1014" t="s">
        <v>19</v>
      </c>
    </row>
    <row r="1015" spans="2:13" x14ac:dyDescent="0.25">
      <c r="B1015" t="s">
        <v>13</v>
      </c>
      <c r="C1015" t="s">
        <v>46</v>
      </c>
      <c r="D1015" t="s">
        <v>73</v>
      </c>
      <c r="E1015">
        <v>2030</v>
      </c>
      <c r="F1015" t="s">
        <v>78</v>
      </c>
      <c r="G1015" t="s">
        <v>17</v>
      </c>
      <c r="H1015" t="s">
        <v>18</v>
      </c>
      <c r="I1015" s="8">
        <v>886295.11430000002</v>
      </c>
      <c r="J1015" s="8">
        <v>881649.62415055698</v>
      </c>
      <c r="K1015" s="8">
        <f>I1015/1000000</f>
        <v>0.88629511429999996</v>
      </c>
      <c r="L1015" s="8">
        <f>J1015/1000000</f>
        <v>0.88164962415055703</v>
      </c>
      <c r="M1015" t="s">
        <v>19</v>
      </c>
    </row>
    <row r="1016" spans="2:13" x14ac:dyDescent="0.25">
      <c r="B1016" t="s">
        <v>13</v>
      </c>
      <c r="C1016" t="s">
        <v>46</v>
      </c>
      <c r="D1016" t="s">
        <v>70</v>
      </c>
      <c r="E1016">
        <v>2026</v>
      </c>
      <c r="F1016" t="s">
        <v>78</v>
      </c>
      <c r="G1016" t="s">
        <v>17</v>
      </c>
      <c r="H1016" t="s">
        <v>18</v>
      </c>
      <c r="I1016" s="8">
        <v>5574307.1151999999</v>
      </c>
      <c r="J1016" s="8">
        <v>3229800</v>
      </c>
      <c r="K1016" s="8">
        <f>I1016/1000000</f>
        <v>5.5743071151999999</v>
      </c>
      <c r="L1016" s="8">
        <f>J1016/1000000</f>
        <v>3.2298</v>
      </c>
      <c r="M1016" t="s">
        <v>19</v>
      </c>
    </row>
    <row r="1017" spans="2:13" x14ac:dyDescent="0.25">
      <c r="B1017" t="s">
        <v>13</v>
      </c>
      <c r="C1017" t="s">
        <v>46</v>
      </c>
      <c r="D1017" t="s">
        <v>70</v>
      </c>
      <c r="E1017">
        <v>2027</v>
      </c>
      <c r="F1017" t="s">
        <v>78</v>
      </c>
      <c r="G1017" t="s">
        <v>17</v>
      </c>
      <c r="H1017" t="s">
        <v>18</v>
      </c>
      <c r="I1017" s="8">
        <v>4417089.5730999997</v>
      </c>
      <c r="J1017" s="8">
        <v>3161940.5073733898</v>
      </c>
      <c r="K1017" s="8">
        <f>I1017/1000000</f>
        <v>4.4170895730999993</v>
      </c>
      <c r="L1017" s="8">
        <f>J1017/1000000</f>
        <v>3.1619405073733899</v>
      </c>
      <c r="M1017" t="s">
        <v>19</v>
      </c>
    </row>
    <row r="1018" spans="2:13" x14ac:dyDescent="0.25">
      <c r="B1018" t="s">
        <v>13</v>
      </c>
      <c r="C1018" t="s">
        <v>46</v>
      </c>
      <c r="D1018" t="s">
        <v>70</v>
      </c>
      <c r="E1018">
        <v>2028</v>
      </c>
      <c r="F1018" t="s">
        <v>78</v>
      </c>
      <c r="G1018" t="s">
        <v>17</v>
      </c>
      <c r="H1018" t="s">
        <v>18</v>
      </c>
      <c r="I1018" s="8">
        <v>4549869.2703</v>
      </c>
      <c r="J1018" s="8">
        <v>3220529.7930807001</v>
      </c>
      <c r="K1018" s="8">
        <f>I1018/1000000</f>
        <v>4.5498692703000003</v>
      </c>
      <c r="L1018" s="8">
        <f>J1018/1000000</f>
        <v>3.2205297930807002</v>
      </c>
      <c r="M1018" t="s">
        <v>19</v>
      </c>
    </row>
    <row r="1019" spans="2:13" x14ac:dyDescent="0.25">
      <c r="B1019" t="s">
        <v>13</v>
      </c>
      <c r="C1019" t="s">
        <v>46</v>
      </c>
      <c r="D1019" t="s">
        <v>70</v>
      </c>
      <c r="E1019">
        <v>2029</v>
      </c>
      <c r="F1019" t="s">
        <v>78</v>
      </c>
      <c r="G1019" t="s">
        <v>17</v>
      </c>
      <c r="H1019" t="s">
        <v>18</v>
      </c>
      <c r="I1019" s="8">
        <v>5210192.9757000003</v>
      </c>
      <c r="J1019" s="8">
        <v>3276672.60175606</v>
      </c>
      <c r="K1019" s="8">
        <f>I1019/1000000</f>
        <v>5.2101929757000001</v>
      </c>
      <c r="L1019" s="8">
        <f>J1019/1000000</f>
        <v>3.2766726017560601</v>
      </c>
      <c r="M1019" t="s">
        <v>19</v>
      </c>
    </row>
    <row r="1020" spans="2:13" x14ac:dyDescent="0.25">
      <c r="B1020" t="s">
        <v>13</v>
      </c>
      <c r="C1020" t="s">
        <v>46</v>
      </c>
      <c r="D1020" t="s">
        <v>70</v>
      </c>
      <c r="E1020">
        <v>2030</v>
      </c>
      <c r="F1020" t="s">
        <v>78</v>
      </c>
      <c r="G1020" t="s">
        <v>17</v>
      </c>
      <c r="H1020" t="s">
        <v>18</v>
      </c>
      <c r="I1020" s="8">
        <v>4269557.5404000003</v>
      </c>
      <c r="J1020" s="8">
        <v>2682745.64985445</v>
      </c>
      <c r="K1020" s="8">
        <f>I1020/1000000</f>
        <v>4.2695575404000001</v>
      </c>
      <c r="L1020" s="8">
        <f>J1020/1000000</f>
        <v>2.68274564985445</v>
      </c>
      <c r="M1020" t="s">
        <v>19</v>
      </c>
    </row>
    <row r="1021" spans="2:13" x14ac:dyDescent="0.25">
      <c r="B1021" t="s">
        <v>13</v>
      </c>
      <c r="C1021" t="s">
        <v>46</v>
      </c>
      <c r="D1021" t="s">
        <v>15</v>
      </c>
      <c r="E1021">
        <v>2026</v>
      </c>
      <c r="F1021" t="s">
        <v>78</v>
      </c>
      <c r="G1021" t="s">
        <v>17</v>
      </c>
      <c r="H1021" t="s">
        <v>18</v>
      </c>
      <c r="I1021" s="8">
        <v>1204484.9124</v>
      </c>
      <c r="J1021" s="8">
        <v>260550</v>
      </c>
      <c r="K1021" s="8">
        <f>I1021/1000000</f>
        <v>1.2044849124000001</v>
      </c>
      <c r="L1021" s="8">
        <f>J1021/1000000</f>
        <v>0.26055</v>
      </c>
      <c r="M1021" t="s">
        <v>19</v>
      </c>
    </row>
    <row r="1022" spans="2:13" x14ac:dyDescent="0.25">
      <c r="B1022" t="s">
        <v>13</v>
      </c>
      <c r="C1022" t="s">
        <v>46</v>
      </c>
      <c r="D1022" t="s">
        <v>15</v>
      </c>
      <c r="E1022">
        <v>2027</v>
      </c>
      <c r="F1022" t="s">
        <v>78</v>
      </c>
      <c r="G1022" t="s">
        <v>17</v>
      </c>
      <c r="H1022" t="s">
        <v>18</v>
      </c>
      <c r="I1022" s="8">
        <v>1235310.0026</v>
      </c>
      <c r="J1022" s="8">
        <v>267217.97636999999</v>
      </c>
      <c r="K1022" s="8">
        <f>I1022/1000000</f>
        <v>1.2353100025999999</v>
      </c>
      <c r="L1022" s="8">
        <f>J1022/1000000</f>
        <v>0.26721797637</v>
      </c>
      <c r="M1022" t="s">
        <v>19</v>
      </c>
    </row>
    <row r="1023" spans="2:13" x14ac:dyDescent="0.25">
      <c r="B1023" t="s">
        <v>13</v>
      </c>
      <c r="C1023" t="s">
        <v>46</v>
      </c>
      <c r="D1023" t="s">
        <v>15</v>
      </c>
      <c r="E1023">
        <v>2029</v>
      </c>
      <c r="F1023" t="s">
        <v>78</v>
      </c>
      <c r="G1023" t="s">
        <v>17</v>
      </c>
      <c r="H1023" t="s">
        <v>18</v>
      </c>
      <c r="I1023" s="8">
        <v>420425.79029999999</v>
      </c>
      <c r="J1023" s="8">
        <v>139909.13271999999</v>
      </c>
      <c r="K1023" s="8">
        <f>I1023/1000000</f>
        <v>0.42042579029999999</v>
      </c>
      <c r="L1023" s="8">
        <f>J1023/1000000</f>
        <v>0.13990913272</v>
      </c>
      <c r="M1023" t="s">
        <v>19</v>
      </c>
    </row>
    <row r="1024" spans="2:13" x14ac:dyDescent="0.25">
      <c r="B1024" t="s">
        <v>13</v>
      </c>
      <c r="C1024" t="s">
        <v>46</v>
      </c>
      <c r="D1024" t="s">
        <v>15</v>
      </c>
      <c r="E1024">
        <v>2030</v>
      </c>
      <c r="F1024" t="s">
        <v>78</v>
      </c>
      <c r="G1024" t="s">
        <v>17</v>
      </c>
      <c r="H1024" t="s">
        <v>18</v>
      </c>
      <c r="I1024" s="8">
        <v>400270.73619999998</v>
      </c>
      <c r="J1024" s="8">
        <v>133201.94157894701</v>
      </c>
      <c r="K1024" s="8">
        <f>I1024/1000000</f>
        <v>0.40027073619999998</v>
      </c>
      <c r="L1024" s="8">
        <f>J1024/1000000</f>
        <v>0.13320194157894702</v>
      </c>
      <c r="M1024" t="s">
        <v>19</v>
      </c>
    </row>
    <row r="1025" spans="2:13" x14ac:dyDescent="0.25">
      <c r="B1025" t="s">
        <v>13</v>
      </c>
      <c r="C1025" t="s">
        <v>46</v>
      </c>
      <c r="D1025" t="s">
        <v>100</v>
      </c>
      <c r="E1025">
        <v>2026</v>
      </c>
      <c r="F1025" t="s">
        <v>78</v>
      </c>
      <c r="G1025" t="s">
        <v>17</v>
      </c>
      <c r="H1025" t="s">
        <v>18</v>
      </c>
      <c r="I1025" s="8">
        <v>1720004.75</v>
      </c>
      <c r="J1025" s="8">
        <v>1642000</v>
      </c>
      <c r="K1025" s="8">
        <f>I1025/1000000</f>
        <v>1.72000475</v>
      </c>
      <c r="L1025" s="8">
        <f>J1025/1000000</f>
        <v>1.6419999999999999</v>
      </c>
      <c r="M1025" t="s">
        <v>19</v>
      </c>
    </row>
    <row r="1026" spans="2:13" x14ac:dyDescent="0.25">
      <c r="B1026" t="s">
        <v>13</v>
      </c>
      <c r="C1026" t="s">
        <v>46</v>
      </c>
      <c r="D1026" t="s">
        <v>100</v>
      </c>
      <c r="E1026">
        <v>2027</v>
      </c>
      <c r="F1026" t="s">
        <v>78</v>
      </c>
      <c r="G1026" t="s">
        <v>17</v>
      </c>
      <c r="H1026" t="s">
        <v>18</v>
      </c>
      <c r="I1026" s="8">
        <v>1205406.1331</v>
      </c>
      <c r="J1026" s="8">
        <v>1152947.0427095201</v>
      </c>
      <c r="K1026" s="8">
        <f>I1026/1000000</f>
        <v>1.2054061330999999</v>
      </c>
      <c r="L1026" s="8">
        <f>J1026/1000000</f>
        <v>1.1529470427095201</v>
      </c>
      <c r="M1026" t="s">
        <v>19</v>
      </c>
    </row>
    <row r="1027" spans="2:13" x14ac:dyDescent="0.25">
      <c r="B1027" t="s">
        <v>13</v>
      </c>
      <c r="C1027" t="s">
        <v>46</v>
      </c>
      <c r="D1027" t="s">
        <v>100</v>
      </c>
      <c r="E1027">
        <v>2028</v>
      </c>
      <c r="F1027" t="s">
        <v>78</v>
      </c>
      <c r="G1027" t="s">
        <v>17</v>
      </c>
      <c r="H1027" t="s">
        <v>18</v>
      </c>
      <c r="I1027" s="8">
        <v>1121951.1529999999</v>
      </c>
      <c r="J1027" s="8">
        <v>1084010.7758549999</v>
      </c>
      <c r="K1027" s="8">
        <f>I1027/1000000</f>
        <v>1.1219511529999999</v>
      </c>
      <c r="L1027" s="8">
        <f>J1027/1000000</f>
        <v>1.0840107758549999</v>
      </c>
      <c r="M1027" t="s">
        <v>19</v>
      </c>
    </row>
    <row r="1028" spans="2:13" x14ac:dyDescent="0.25">
      <c r="B1028" t="s">
        <v>13</v>
      </c>
      <c r="C1028" t="s">
        <v>46</v>
      </c>
      <c r="D1028" t="s">
        <v>100</v>
      </c>
      <c r="E1028">
        <v>2029</v>
      </c>
      <c r="F1028" t="s">
        <v>78</v>
      </c>
      <c r="G1028" t="s">
        <v>17</v>
      </c>
      <c r="H1028" t="s">
        <v>18</v>
      </c>
      <c r="I1028" s="8">
        <v>1137023.2955</v>
      </c>
      <c r="J1028" s="8">
        <v>1098573.2324033401</v>
      </c>
      <c r="K1028" s="8">
        <f>I1028/1000000</f>
        <v>1.1370232954999999</v>
      </c>
      <c r="L1028" s="8">
        <f>J1028/1000000</f>
        <v>1.0985732324033401</v>
      </c>
      <c r="M1028" t="s">
        <v>19</v>
      </c>
    </row>
    <row r="1029" spans="2:13" x14ac:dyDescent="0.25">
      <c r="B1029" t="s">
        <v>13</v>
      </c>
      <c r="C1029" t="s">
        <v>46</v>
      </c>
      <c r="D1029" t="s">
        <v>100</v>
      </c>
      <c r="E1029">
        <v>2030</v>
      </c>
      <c r="F1029" t="s">
        <v>78</v>
      </c>
      <c r="G1029" t="s">
        <v>17</v>
      </c>
      <c r="H1029" t="s">
        <v>18</v>
      </c>
      <c r="I1029" s="8">
        <v>1151104.5349000001</v>
      </c>
      <c r="J1029" s="8">
        <v>1112178.29455539</v>
      </c>
      <c r="K1029" s="8">
        <f>I1029/1000000</f>
        <v>1.1511045349</v>
      </c>
      <c r="L1029" s="8">
        <f>J1029/1000000</f>
        <v>1.11217829455539</v>
      </c>
      <c r="M1029" t="s">
        <v>19</v>
      </c>
    </row>
    <row r="1030" spans="2:13" x14ac:dyDescent="0.25">
      <c r="B1030" t="s">
        <v>13</v>
      </c>
      <c r="C1030" t="s">
        <v>46</v>
      </c>
      <c r="D1030" t="s">
        <v>72</v>
      </c>
      <c r="E1030">
        <v>2026</v>
      </c>
      <c r="F1030" t="s">
        <v>78</v>
      </c>
      <c r="G1030" t="s">
        <v>17</v>
      </c>
      <c r="H1030" t="s">
        <v>18</v>
      </c>
      <c r="I1030" s="8">
        <v>3783044.5046999999</v>
      </c>
      <c r="J1030" s="8">
        <v>1811250</v>
      </c>
      <c r="K1030" s="8">
        <f>I1030/1000000</f>
        <v>3.7830445046999999</v>
      </c>
      <c r="L1030" s="8">
        <f>J1030/1000000</f>
        <v>1.81125</v>
      </c>
      <c r="M1030" t="s">
        <v>19</v>
      </c>
    </row>
    <row r="1031" spans="2:13" x14ac:dyDescent="0.25">
      <c r="B1031" t="s">
        <v>13</v>
      </c>
      <c r="C1031" t="s">
        <v>46</v>
      </c>
      <c r="D1031" t="s">
        <v>72</v>
      </c>
      <c r="E1031">
        <v>2027</v>
      </c>
      <c r="F1031" t="s">
        <v>78</v>
      </c>
      <c r="G1031" t="s">
        <v>17</v>
      </c>
      <c r="H1031" t="s">
        <v>18</v>
      </c>
      <c r="I1031" s="8">
        <v>3042448.2629</v>
      </c>
      <c r="J1031" s="8">
        <v>1456609.8120297301</v>
      </c>
      <c r="K1031" s="8">
        <f>I1031/1000000</f>
        <v>3.0424482628999998</v>
      </c>
      <c r="L1031" s="8">
        <f>J1031/1000000</f>
        <v>1.4566098120297302</v>
      </c>
      <c r="M1031" t="s">
        <v>19</v>
      </c>
    </row>
    <row r="1032" spans="2:13" x14ac:dyDescent="0.25">
      <c r="B1032" t="s">
        <v>13</v>
      </c>
      <c r="C1032" t="s">
        <v>46</v>
      </c>
      <c r="D1032" t="s">
        <v>72</v>
      </c>
      <c r="E1032">
        <v>2028</v>
      </c>
      <c r="F1032" t="s">
        <v>78</v>
      </c>
      <c r="G1032" t="s">
        <v>17</v>
      </c>
      <c r="H1032" t="s">
        <v>18</v>
      </c>
      <c r="I1032" s="8">
        <v>2421306.8749000002</v>
      </c>
      <c r="J1032" s="8">
        <v>1164981.3284378201</v>
      </c>
      <c r="K1032" s="8">
        <f>I1032/1000000</f>
        <v>2.4213068749</v>
      </c>
      <c r="L1032" s="8">
        <f>J1032/1000000</f>
        <v>1.1649813284378201</v>
      </c>
      <c r="M1032" t="s">
        <v>19</v>
      </c>
    </row>
    <row r="1033" spans="2:13" x14ac:dyDescent="0.25">
      <c r="B1033" t="s">
        <v>13</v>
      </c>
      <c r="C1033" t="s">
        <v>46</v>
      </c>
      <c r="D1033" t="s">
        <v>72</v>
      </c>
      <c r="E1033">
        <v>2029</v>
      </c>
      <c r="F1033" t="s">
        <v>78</v>
      </c>
      <c r="G1033" t="s">
        <v>17</v>
      </c>
      <c r="H1033" t="s">
        <v>18</v>
      </c>
      <c r="I1033" s="8">
        <v>1664979.85</v>
      </c>
      <c r="J1033" s="8">
        <v>801084.099513622</v>
      </c>
      <c r="K1033" s="8">
        <f>I1033/1000000</f>
        <v>1.6649798500000001</v>
      </c>
      <c r="L1033" s="8">
        <f>J1033/1000000</f>
        <v>0.80108409951362203</v>
      </c>
      <c r="M1033" t="s">
        <v>19</v>
      </c>
    </row>
    <row r="1034" spans="2:13" x14ac:dyDescent="0.25">
      <c r="B1034" t="s">
        <v>13</v>
      </c>
      <c r="C1034" t="s">
        <v>46</v>
      </c>
      <c r="D1034" t="s">
        <v>72</v>
      </c>
      <c r="E1034">
        <v>2030</v>
      </c>
      <c r="F1034" t="s">
        <v>78</v>
      </c>
      <c r="G1034" t="s">
        <v>17</v>
      </c>
      <c r="H1034" t="s">
        <v>18</v>
      </c>
      <c r="I1034" s="8">
        <v>1594564.209</v>
      </c>
      <c r="J1034" s="8">
        <v>767204.500075049</v>
      </c>
      <c r="K1034" s="8">
        <f>I1034/1000000</f>
        <v>1.5945642090000001</v>
      </c>
      <c r="L1034" s="8">
        <f>J1034/1000000</f>
        <v>0.76720450007504903</v>
      </c>
      <c r="M1034" t="s">
        <v>19</v>
      </c>
    </row>
    <row r="1035" spans="2:13" x14ac:dyDescent="0.25">
      <c r="B1035" t="s">
        <v>13</v>
      </c>
      <c r="C1035" t="s">
        <v>46</v>
      </c>
      <c r="D1035" t="s">
        <v>102</v>
      </c>
      <c r="E1035">
        <v>2029</v>
      </c>
      <c r="F1035" t="s">
        <v>78</v>
      </c>
      <c r="G1035" t="s">
        <v>17</v>
      </c>
      <c r="H1035" t="s">
        <v>18</v>
      </c>
      <c r="I1035" s="8">
        <v>142464.88029999999</v>
      </c>
      <c r="J1035" s="8">
        <v>421189.54447286599</v>
      </c>
      <c r="K1035" s="8">
        <f>I1035/1000000</f>
        <v>0.14246488029999999</v>
      </c>
      <c r="L1035" s="8">
        <f>J1035/1000000</f>
        <v>0.421189544472866</v>
      </c>
      <c r="M1035" t="s">
        <v>19</v>
      </c>
    </row>
    <row r="1036" spans="2:13" x14ac:dyDescent="0.25">
      <c r="B1036" t="s">
        <v>13</v>
      </c>
      <c r="C1036" t="s">
        <v>46</v>
      </c>
      <c r="D1036" t="s">
        <v>102</v>
      </c>
      <c r="E1036">
        <v>2030</v>
      </c>
      <c r="F1036" t="s">
        <v>78</v>
      </c>
      <c r="G1036" t="s">
        <v>17</v>
      </c>
      <c r="H1036" t="s">
        <v>18</v>
      </c>
      <c r="I1036" s="8">
        <v>100510.73729999999</v>
      </c>
      <c r="J1036" s="8">
        <v>297154.439724695</v>
      </c>
      <c r="K1036" s="8">
        <f>I1036/1000000</f>
        <v>0.1005107373</v>
      </c>
      <c r="L1036" s="8">
        <f>J1036/1000000</f>
        <v>0.29715443972469502</v>
      </c>
      <c r="M1036" t="s">
        <v>19</v>
      </c>
    </row>
    <row r="1037" spans="2:13" x14ac:dyDescent="0.25">
      <c r="B1037" t="s">
        <v>13</v>
      </c>
      <c r="C1037" t="s">
        <v>46</v>
      </c>
      <c r="D1037" t="s">
        <v>15</v>
      </c>
      <c r="E1037">
        <v>2028</v>
      </c>
      <c r="F1037" t="s">
        <v>78</v>
      </c>
      <c r="G1037" t="s">
        <v>17</v>
      </c>
      <c r="H1037" t="s">
        <v>18</v>
      </c>
      <c r="I1037" s="8">
        <v>621606.21030000004</v>
      </c>
      <c r="J1037" s="8">
        <v>206857.87547999999</v>
      </c>
      <c r="K1037" s="8">
        <f>I1037/1000000</f>
        <v>0.62160621030000007</v>
      </c>
      <c r="L1037" s="8">
        <f>J1037/1000000</f>
        <v>0.20685787547999998</v>
      </c>
      <c r="M1037" t="s">
        <v>19</v>
      </c>
    </row>
    <row r="1038" spans="2:13" x14ac:dyDescent="0.25">
      <c r="B1038" t="s">
        <v>13</v>
      </c>
      <c r="C1038" t="s">
        <v>46</v>
      </c>
      <c r="D1038" t="s">
        <v>76</v>
      </c>
      <c r="E1038">
        <v>2026</v>
      </c>
      <c r="F1038" t="s">
        <v>78</v>
      </c>
      <c r="G1038" t="s">
        <v>17</v>
      </c>
      <c r="H1038" t="s">
        <v>18</v>
      </c>
      <c r="I1038" s="8">
        <v>3413679.9008999998</v>
      </c>
      <c r="J1038" s="8">
        <v>812200</v>
      </c>
      <c r="K1038" s="8">
        <f>I1038/1000000</f>
        <v>3.4136799008999996</v>
      </c>
      <c r="L1038" s="8">
        <f>J1038/1000000</f>
        <v>0.81220000000000003</v>
      </c>
      <c r="M1038" t="s">
        <v>39</v>
      </c>
    </row>
    <row r="1039" spans="2:13" x14ac:dyDescent="0.25">
      <c r="B1039" t="s">
        <v>13</v>
      </c>
      <c r="C1039" t="s">
        <v>46</v>
      </c>
      <c r="D1039" t="s">
        <v>102</v>
      </c>
      <c r="E1039">
        <v>2028</v>
      </c>
      <c r="F1039" t="s">
        <v>78</v>
      </c>
      <c r="G1039" t="s">
        <v>17</v>
      </c>
      <c r="H1039" t="s">
        <v>18</v>
      </c>
      <c r="I1039" s="8">
        <v>15585.1522</v>
      </c>
      <c r="J1039" s="8">
        <v>46076.641145563997</v>
      </c>
      <c r="K1039" s="8">
        <f>I1039/1000000</f>
        <v>1.5585152200000001E-2</v>
      </c>
      <c r="L1039" s="8">
        <f>J1039/1000000</f>
        <v>4.6076641145564E-2</v>
      </c>
      <c r="M1039" t="s">
        <v>19</v>
      </c>
    </row>
    <row r="1040" spans="2:13" x14ac:dyDescent="0.25">
      <c r="B1040" t="s">
        <v>13</v>
      </c>
      <c r="C1040" t="s">
        <v>46</v>
      </c>
      <c r="D1040" t="s">
        <v>108</v>
      </c>
      <c r="E1040">
        <v>2029</v>
      </c>
      <c r="F1040" t="s">
        <v>78</v>
      </c>
      <c r="G1040" t="s">
        <v>17</v>
      </c>
      <c r="H1040" t="s">
        <v>18</v>
      </c>
      <c r="I1040" s="8">
        <v>1234947.1928999999</v>
      </c>
      <c r="J1040" s="8">
        <v>332123.01292135398</v>
      </c>
      <c r="K1040" s="8">
        <f>I1040/1000000</f>
        <v>1.2349471929</v>
      </c>
      <c r="L1040" s="8">
        <f>J1040/1000000</f>
        <v>0.33212301292135399</v>
      </c>
      <c r="M1040" t="s">
        <v>39</v>
      </c>
    </row>
    <row r="1041" spans="2:13" x14ac:dyDescent="0.25">
      <c r="B1041" t="s">
        <v>13</v>
      </c>
      <c r="C1041" t="s">
        <v>14</v>
      </c>
      <c r="D1041" t="s">
        <v>109</v>
      </c>
      <c r="E1041">
        <v>2027</v>
      </c>
      <c r="F1041" t="s">
        <v>78</v>
      </c>
      <c r="G1041" t="s">
        <v>17</v>
      </c>
      <c r="H1041" t="s">
        <v>18</v>
      </c>
      <c r="I1041" s="8">
        <v>6301212.5663999999</v>
      </c>
      <c r="J1041" s="8">
        <v>3935682</v>
      </c>
      <c r="K1041" s="8">
        <f>I1041/1000000</f>
        <v>6.3012125664000003</v>
      </c>
      <c r="L1041" s="8">
        <f>J1041/1000000</f>
        <v>3.9356819999999999</v>
      </c>
      <c r="M1041" t="s">
        <v>39</v>
      </c>
    </row>
    <row r="1042" spans="2:13" x14ac:dyDescent="0.25">
      <c r="B1042" t="s">
        <v>13</v>
      </c>
      <c r="C1042" t="s">
        <v>14</v>
      </c>
      <c r="D1042" t="s">
        <v>52</v>
      </c>
      <c r="E1042">
        <v>2028</v>
      </c>
      <c r="F1042" t="s">
        <v>78</v>
      </c>
      <c r="G1042" t="s">
        <v>17</v>
      </c>
      <c r="H1042" t="s">
        <v>18</v>
      </c>
      <c r="I1042" s="8">
        <v>7278632.2608000003</v>
      </c>
      <c r="J1042" s="8">
        <v>6607610.8931250004</v>
      </c>
      <c r="K1042" s="8">
        <f>I1042/1000000</f>
        <v>7.2786322608000003</v>
      </c>
      <c r="L1042" s="8">
        <f>J1042/1000000</f>
        <v>6.6076108931250008</v>
      </c>
      <c r="M1042" t="s">
        <v>19</v>
      </c>
    </row>
    <row r="1043" spans="2:13" x14ac:dyDescent="0.25">
      <c r="B1043" t="s">
        <v>13</v>
      </c>
      <c r="C1043" t="s">
        <v>46</v>
      </c>
      <c r="D1043" t="s">
        <v>108</v>
      </c>
      <c r="E1043">
        <v>2030</v>
      </c>
      <c r="F1043" t="s">
        <v>78</v>
      </c>
      <c r="G1043" t="s">
        <v>17</v>
      </c>
      <c r="H1043" t="s">
        <v>18</v>
      </c>
      <c r="I1043" s="8">
        <v>1130337.5492</v>
      </c>
      <c r="J1043" s="8">
        <v>303989.60750420601</v>
      </c>
      <c r="K1043" s="8">
        <f>I1043/1000000</f>
        <v>1.1303375492000001</v>
      </c>
      <c r="L1043" s="8">
        <f>J1043/1000000</f>
        <v>0.30398960750420601</v>
      </c>
      <c r="M1043" t="s">
        <v>39</v>
      </c>
    </row>
    <row r="1044" spans="2:13" x14ac:dyDescent="0.25">
      <c r="B1044" t="s">
        <v>13</v>
      </c>
      <c r="C1044" t="s">
        <v>46</v>
      </c>
      <c r="D1044" t="s">
        <v>101</v>
      </c>
      <c r="E1044">
        <v>2026</v>
      </c>
      <c r="F1044" t="s">
        <v>78</v>
      </c>
      <c r="G1044" t="s">
        <v>17</v>
      </c>
      <c r="H1044" t="s">
        <v>18</v>
      </c>
      <c r="I1044" s="8">
        <v>845478.57440000004</v>
      </c>
      <c r="J1044" s="8">
        <v>765550</v>
      </c>
      <c r="K1044" s="8">
        <f>I1044/1000000</f>
        <v>0.84547857440000007</v>
      </c>
      <c r="L1044" s="8">
        <f>J1044/1000000</f>
        <v>0.76554999999999995</v>
      </c>
      <c r="M1044" t="s">
        <v>39</v>
      </c>
    </row>
    <row r="1045" spans="2:13" x14ac:dyDescent="0.25">
      <c r="B1045" t="s">
        <v>13</v>
      </c>
      <c r="C1045" t="s">
        <v>46</v>
      </c>
      <c r="D1045" t="s">
        <v>101</v>
      </c>
      <c r="E1045">
        <v>2027</v>
      </c>
      <c r="F1045" t="s">
        <v>78</v>
      </c>
      <c r="G1045" t="s">
        <v>17</v>
      </c>
      <c r="H1045" t="s">
        <v>18</v>
      </c>
      <c r="I1045" s="8">
        <v>666897.44559999998</v>
      </c>
      <c r="J1045" s="8">
        <v>603851.30599122704</v>
      </c>
      <c r="K1045" s="8">
        <f>I1045/1000000</f>
        <v>0.66689744559999997</v>
      </c>
      <c r="L1045" s="8">
        <f>J1045/1000000</f>
        <v>0.60385130599122705</v>
      </c>
      <c r="M1045" t="s">
        <v>39</v>
      </c>
    </row>
    <row r="1046" spans="2:13" x14ac:dyDescent="0.25">
      <c r="B1046" t="s">
        <v>13</v>
      </c>
      <c r="C1046" t="s">
        <v>46</v>
      </c>
      <c r="D1046" t="s">
        <v>101</v>
      </c>
      <c r="E1046">
        <v>2028</v>
      </c>
      <c r="F1046" t="s">
        <v>78</v>
      </c>
      <c r="G1046" t="s">
        <v>17</v>
      </c>
      <c r="H1046" t="s">
        <v>18</v>
      </c>
      <c r="I1046" s="8">
        <v>474298.4583</v>
      </c>
      <c r="J1046" s="8">
        <v>432562.877196535</v>
      </c>
      <c r="K1046" s="8">
        <f>I1046/1000000</f>
        <v>0.4742984583</v>
      </c>
      <c r="L1046" s="8">
        <f>J1046/1000000</f>
        <v>0.43256287719653502</v>
      </c>
      <c r="M1046" t="s">
        <v>39</v>
      </c>
    </row>
    <row r="1047" spans="2:13" x14ac:dyDescent="0.25">
      <c r="B1047" t="s">
        <v>13</v>
      </c>
      <c r="C1047" t="s">
        <v>46</v>
      </c>
      <c r="D1047" t="s">
        <v>101</v>
      </c>
      <c r="E1047">
        <v>2029</v>
      </c>
      <c r="F1047" t="s">
        <v>78</v>
      </c>
      <c r="G1047" t="s">
        <v>17</v>
      </c>
      <c r="H1047" t="s">
        <v>18</v>
      </c>
      <c r="I1047" s="8">
        <v>400885.54330000002</v>
      </c>
      <c r="J1047" s="8">
        <v>365609.883341907</v>
      </c>
      <c r="K1047" s="8">
        <f>I1047/1000000</f>
        <v>0.40088554330000004</v>
      </c>
      <c r="L1047" s="8">
        <f>J1047/1000000</f>
        <v>0.36560988334190703</v>
      </c>
      <c r="M1047" t="s">
        <v>39</v>
      </c>
    </row>
    <row r="1048" spans="2:13" x14ac:dyDescent="0.25">
      <c r="B1048" t="s">
        <v>13</v>
      </c>
      <c r="C1048" t="s">
        <v>46</v>
      </c>
      <c r="D1048" t="s">
        <v>101</v>
      </c>
      <c r="E1048">
        <v>2030</v>
      </c>
      <c r="F1048" t="s">
        <v>78</v>
      </c>
      <c r="G1048" t="s">
        <v>17</v>
      </c>
      <c r="H1048" t="s">
        <v>18</v>
      </c>
      <c r="I1048" s="8">
        <v>405904.70850000001</v>
      </c>
      <c r="J1048" s="8">
        <v>370187.39039770199</v>
      </c>
      <c r="K1048" s="8">
        <f>I1048/1000000</f>
        <v>0.40590470849999999</v>
      </c>
      <c r="L1048" s="8">
        <f>J1048/1000000</f>
        <v>0.37018739039770199</v>
      </c>
      <c r="M1048" t="s">
        <v>39</v>
      </c>
    </row>
    <row r="1049" spans="2:13" x14ac:dyDescent="0.25">
      <c r="B1049" t="s">
        <v>13</v>
      </c>
      <c r="C1049" t="s">
        <v>46</v>
      </c>
      <c r="D1049" t="s">
        <v>69</v>
      </c>
      <c r="E1049">
        <v>2026</v>
      </c>
      <c r="F1049" t="s">
        <v>89</v>
      </c>
      <c r="G1049" t="s">
        <v>17</v>
      </c>
      <c r="H1049" t="s">
        <v>18</v>
      </c>
      <c r="I1049" s="8">
        <v>24658.492999999999</v>
      </c>
      <c r="J1049" s="8">
        <v>7900</v>
      </c>
      <c r="K1049" s="8">
        <f>I1049/1000000</f>
        <v>2.4658493E-2</v>
      </c>
      <c r="L1049" s="8">
        <f>J1049/1000000</f>
        <v>7.9000000000000008E-3</v>
      </c>
      <c r="M1049" t="s">
        <v>19</v>
      </c>
    </row>
    <row r="1050" spans="2:13" x14ac:dyDescent="0.25">
      <c r="B1050" t="s">
        <v>13</v>
      </c>
      <c r="C1050" t="s">
        <v>46</v>
      </c>
      <c r="D1050" t="s">
        <v>69</v>
      </c>
      <c r="E1050">
        <v>2027</v>
      </c>
      <c r="F1050" t="s">
        <v>89</v>
      </c>
      <c r="G1050" t="s">
        <v>17</v>
      </c>
      <c r="H1050" t="s">
        <v>18</v>
      </c>
      <c r="I1050" s="8">
        <v>9503.8210999999992</v>
      </c>
      <c r="J1050" s="8">
        <v>3200</v>
      </c>
      <c r="K1050" s="8">
        <f>I1050/1000000</f>
        <v>9.5038210999999987E-3</v>
      </c>
      <c r="L1050" s="8">
        <f>J1050/1000000</f>
        <v>3.2000000000000002E-3</v>
      </c>
      <c r="M1050" t="s">
        <v>19</v>
      </c>
    </row>
    <row r="1051" spans="2:13" x14ac:dyDescent="0.25">
      <c r="B1051" t="s">
        <v>13</v>
      </c>
      <c r="C1051" t="s">
        <v>46</v>
      </c>
      <c r="D1051" t="s">
        <v>70</v>
      </c>
      <c r="E1051">
        <v>2026</v>
      </c>
      <c r="F1051" t="s">
        <v>89</v>
      </c>
      <c r="G1051" t="s">
        <v>17</v>
      </c>
      <c r="H1051" t="s">
        <v>18</v>
      </c>
      <c r="I1051" s="8">
        <v>19199.585500000001</v>
      </c>
      <c r="J1051" s="8">
        <v>6120</v>
      </c>
      <c r="K1051" s="8">
        <f>I1051/1000000</f>
        <v>1.9199585500000001E-2</v>
      </c>
      <c r="L1051" s="8">
        <f>J1051/1000000</f>
        <v>6.1199999999999996E-3</v>
      </c>
      <c r="M1051" t="s">
        <v>19</v>
      </c>
    </row>
    <row r="1052" spans="2:13" x14ac:dyDescent="0.25">
      <c r="B1052" t="s">
        <v>13</v>
      </c>
      <c r="C1052" t="s">
        <v>46</v>
      </c>
      <c r="D1052" t="s">
        <v>52</v>
      </c>
      <c r="E1052">
        <v>2026</v>
      </c>
      <c r="F1052" t="s">
        <v>54</v>
      </c>
      <c r="G1052" t="s">
        <v>17</v>
      </c>
      <c r="H1052" t="s">
        <v>18</v>
      </c>
      <c r="I1052" s="8">
        <v>717231.8798</v>
      </c>
      <c r="J1052" s="8">
        <v>708000</v>
      </c>
      <c r="K1052" s="8">
        <f>I1052/1000000</f>
        <v>0.71723187980000003</v>
      </c>
      <c r="L1052" s="8">
        <f>J1052/1000000</f>
        <v>0.70799999999999996</v>
      </c>
      <c r="M1052" t="s">
        <v>19</v>
      </c>
    </row>
    <row r="1053" spans="2:13" x14ac:dyDescent="0.25">
      <c r="B1053" t="s">
        <v>13</v>
      </c>
      <c r="C1053" t="s">
        <v>46</v>
      </c>
      <c r="D1053" t="s">
        <v>52</v>
      </c>
      <c r="E1053">
        <v>2027</v>
      </c>
      <c r="F1053" t="s">
        <v>54</v>
      </c>
      <c r="G1053" t="s">
        <v>17</v>
      </c>
      <c r="H1053" t="s">
        <v>18</v>
      </c>
      <c r="I1053" s="8">
        <v>602709.9094</v>
      </c>
      <c r="J1053" s="8">
        <v>569052.66739662504</v>
      </c>
      <c r="K1053" s="8">
        <f>I1053/1000000</f>
        <v>0.60270990940000002</v>
      </c>
      <c r="L1053" s="8">
        <f>J1053/1000000</f>
        <v>0.56905266739662508</v>
      </c>
      <c r="M1053" t="s">
        <v>19</v>
      </c>
    </row>
    <row r="1054" spans="2:13" x14ac:dyDescent="0.25">
      <c r="B1054" t="s">
        <v>13</v>
      </c>
      <c r="C1054" t="s">
        <v>46</v>
      </c>
      <c r="D1054" t="s">
        <v>52</v>
      </c>
      <c r="E1054">
        <v>2028</v>
      </c>
      <c r="F1054" t="s">
        <v>54</v>
      </c>
      <c r="G1054" t="s">
        <v>17</v>
      </c>
      <c r="H1054" t="s">
        <v>18</v>
      </c>
      <c r="I1054" s="8">
        <v>626543.74829999998</v>
      </c>
      <c r="J1054" s="8">
        <v>568596.69437559601</v>
      </c>
      <c r="K1054" s="8">
        <f>I1054/1000000</f>
        <v>0.62654374829999993</v>
      </c>
      <c r="L1054" s="8">
        <f>J1054/1000000</f>
        <v>0.56859669437559601</v>
      </c>
      <c r="M1054" t="s">
        <v>19</v>
      </c>
    </row>
    <row r="1055" spans="2:13" x14ac:dyDescent="0.25">
      <c r="B1055" t="s">
        <v>13</v>
      </c>
      <c r="C1055" t="s">
        <v>46</v>
      </c>
      <c r="D1055" t="s">
        <v>52</v>
      </c>
      <c r="E1055">
        <v>2029</v>
      </c>
      <c r="F1055" t="s">
        <v>54</v>
      </c>
      <c r="G1055" t="s">
        <v>17</v>
      </c>
      <c r="H1055" t="s">
        <v>18</v>
      </c>
      <c r="I1055" s="8">
        <v>652405.04729999998</v>
      </c>
      <c r="J1055" s="8">
        <v>566132.28672815696</v>
      </c>
      <c r="K1055" s="8">
        <f>I1055/1000000</f>
        <v>0.65240504729999993</v>
      </c>
      <c r="L1055" s="8">
        <f>J1055/1000000</f>
        <v>0.56613228672815696</v>
      </c>
      <c r="M1055" t="s">
        <v>19</v>
      </c>
    </row>
    <row r="1056" spans="2:13" x14ac:dyDescent="0.25">
      <c r="B1056" t="s">
        <v>13</v>
      </c>
      <c r="C1056" t="s">
        <v>46</v>
      </c>
      <c r="D1056" t="s">
        <v>52</v>
      </c>
      <c r="E1056">
        <v>2030</v>
      </c>
      <c r="F1056" t="s">
        <v>54</v>
      </c>
      <c r="G1056" t="s">
        <v>17</v>
      </c>
      <c r="H1056" t="s">
        <v>18</v>
      </c>
      <c r="I1056" s="8">
        <v>679288.44400000002</v>
      </c>
      <c r="J1056" s="8">
        <v>563483.07108614501</v>
      </c>
      <c r="K1056" s="8">
        <f>I1056/1000000</f>
        <v>0.67928844399999999</v>
      </c>
      <c r="L1056" s="8">
        <f>J1056/1000000</f>
        <v>0.56348307108614504</v>
      </c>
      <c r="M1056" t="s">
        <v>19</v>
      </c>
    </row>
    <row r="1057" spans="2:13" x14ac:dyDescent="0.25">
      <c r="B1057" t="s">
        <v>13</v>
      </c>
      <c r="C1057" t="s">
        <v>46</v>
      </c>
      <c r="D1057" t="s">
        <v>73</v>
      </c>
      <c r="E1057">
        <v>2026</v>
      </c>
      <c r="F1057" t="s">
        <v>54</v>
      </c>
      <c r="G1057" t="s">
        <v>17</v>
      </c>
      <c r="H1057" t="s">
        <v>18</v>
      </c>
      <c r="I1057" s="8">
        <v>1085785.6669999999</v>
      </c>
      <c r="J1057" s="8">
        <v>767850</v>
      </c>
      <c r="K1057" s="8">
        <f>I1057/1000000</f>
        <v>1.0857856669999999</v>
      </c>
      <c r="L1057" s="8">
        <f>J1057/1000000</f>
        <v>0.76785000000000003</v>
      </c>
      <c r="M1057" t="s">
        <v>19</v>
      </c>
    </row>
    <row r="1058" spans="2:13" x14ac:dyDescent="0.25">
      <c r="B1058" t="s">
        <v>13</v>
      </c>
      <c r="C1058" t="s">
        <v>46</v>
      </c>
      <c r="D1058" t="s">
        <v>73</v>
      </c>
      <c r="E1058">
        <v>2027</v>
      </c>
      <c r="F1058" t="s">
        <v>54</v>
      </c>
      <c r="G1058" t="s">
        <v>17</v>
      </c>
      <c r="H1058" t="s">
        <v>18</v>
      </c>
      <c r="I1058" s="8">
        <v>1053495.7992</v>
      </c>
      <c r="J1058" s="8">
        <v>750745.53667464305</v>
      </c>
      <c r="K1058" s="8">
        <f>I1058/1000000</f>
        <v>1.0534957992</v>
      </c>
      <c r="L1058" s="8">
        <f>J1058/1000000</f>
        <v>0.75074553667464305</v>
      </c>
      <c r="M1058" t="s">
        <v>19</v>
      </c>
    </row>
    <row r="1059" spans="2:13" x14ac:dyDescent="0.25">
      <c r="B1059" t="s">
        <v>13</v>
      </c>
      <c r="C1059" t="s">
        <v>46</v>
      </c>
      <c r="D1059" t="s">
        <v>73</v>
      </c>
      <c r="E1059">
        <v>2028</v>
      </c>
      <c r="F1059" t="s">
        <v>54</v>
      </c>
      <c r="G1059" t="s">
        <v>17</v>
      </c>
      <c r="H1059" t="s">
        <v>18</v>
      </c>
      <c r="I1059" s="8">
        <v>1034382.3453</v>
      </c>
      <c r="J1059" s="8">
        <v>737628.38365478104</v>
      </c>
      <c r="K1059" s="8">
        <f>I1059/1000000</f>
        <v>1.0343823453000001</v>
      </c>
      <c r="L1059" s="8">
        <f>J1059/1000000</f>
        <v>0.73762838365478101</v>
      </c>
      <c r="M1059" t="s">
        <v>19</v>
      </c>
    </row>
    <row r="1060" spans="2:13" x14ac:dyDescent="0.25">
      <c r="B1060" t="s">
        <v>13</v>
      </c>
      <c r="C1060" t="s">
        <v>46</v>
      </c>
      <c r="D1060" t="s">
        <v>73</v>
      </c>
      <c r="E1060">
        <v>2029</v>
      </c>
      <c r="F1060" t="s">
        <v>54</v>
      </c>
      <c r="G1060" t="s">
        <v>17</v>
      </c>
      <c r="H1060" t="s">
        <v>18</v>
      </c>
      <c r="I1060" s="8">
        <v>1010965.3162999999</v>
      </c>
      <c r="J1060" s="8">
        <v>720929.53346389905</v>
      </c>
      <c r="K1060" s="8">
        <f>I1060/1000000</f>
        <v>1.0109653162999999</v>
      </c>
      <c r="L1060" s="8">
        <f>J1060/1000000</f>
        <v>0.7209295334638991</v>
      </c>
      <c r="M1060" t="s">
        <v>19</v>
      </c>
    </row>
    <row r="1061" spans="2:13" x14ac:dyDescent="0.25">
      <c r="B1061" t="s">
        <v>13</v>
      </c>
      <c r="C1061" t="s">
        <v>46</v>
      </c>
      <c r="D1061" t="s">
        <v>73</v>
      </c>
      <c r="E1061">
        <v>2030</v>
      </c>
      <c r="F1061" t="s">
        <v>54</v>
      </c>
      <c r="G1061" t="s">
        <v>17</v>
      </c>
      <c r="H1061" t="s">
        <v>18</v>
      </c>
      <c r="I1061" s="8">
        <v>988890.9841</v>
      </c>
      <c r="J1061" s="8">
        <v>705188.156079259</v>
      </c>
      <c r="K1061" s="8">
        <f>I1061/1000000</f>
        <v>0.98889098409999998</v>
      </c>
      <c r="L1061" s="8">
        <f>J1061/1000000</f>
        <v>0.705188156079259</v>
      </c>
      <c r="M1061" t="s">
        <v>19</v>
      </c>
    </row>
    <row r="1062" spans="2:13" x14ac:dyDescent="0.25">
      <c r="B1062" t="s">
        <v>13</v>
      </c>
      <c r="C1062" t="s">
        <v>46</v>
      </c>
      <c r="D1062" t="s">
        <v>70</v>
      </c>
      <c r="E1062">
        <v>2026</v>
      </c>
      <c r="F1062" t="s">
        <v>54</v>
      </c>
      <c r="G1062" t="s">
        <v>17</v>
      </c>
      <c r="H1062" t="s">
        <v>18</v>
      </c>
      <c r="I1062" s="8">
        <v>620949.9227</v>
      </c>
      <c r="J1062" s="8">
        <v>361200</v>
      </c>
      <c r="K1062" s="8">
        <f>I1062/1000000</f>
        <v>0.62094992270000005</v>
      </c>
      <c r="L1062" s="8">
        <f>J1062/1000000</f>
        <v>0.36120000000000002</v>
      </c>
      <c r="M1062" t="s">
        <v>19</v>
      </c>
    </row>
    <row r="1063" spans="2:13" x14ac:dyDescent="0.25">
      <c r="B1063" t="s">
        <v>13</v>
      </c>
      <c r="C1063" t="s">
        <v>46</v>
      </c>
      <c r="D1063" t="s">
        <v>70</v>
      </c>
      <c r="E1063">
        <v>2027</v>
      </c>
      <c r="F1063" t="s">
        <v>54</v>
      </c>
      <c r="G1063" t="s">
        <v>17</v>
      </c>
      <c r="H1063" t="s">
        <v>18</v>
      </c>
      <c r="I1063" s="8">
        <v>429619.28779999999</v>
      </c>
      <c r="J1063" s="8">
        <v>307539.75130330498</v>
      </c>
      <c r="K1063" s="8">
        <f>I1063/1000000</f>
        <v>0.42961928779999997</v>
      </c>
      <c r="L1063" s="8">
        <f>J1063/1000000</f>
        <v>0.30753975130330496</v>
      </c>
      <c r="M1063" t="s">
        <v>19</v>
      </c>
    </row>
    <row r="1064" spans="2:13" x14ac:dyDescent="0.25">
      <c r="B1064" t="s">
        <v>13</v>
      </c>
      <c r="C1064" t="s">
        <v>46</v>
      </c>
      <c r="D1064" t="s">
        <v>70</v>
      </c>
      <c r="E1064">
        <v>2029</v>
      </c>
      <c r="F1064" t="s">
        <v>54</v>
      </c>
      <c r="G1064" t="s">
        <v>17</v>
      </c>
      <c r="H1064" t="s">
        <v>18</v>
      </c>
      <c r="I1064" s="8">
        <v>975522.67290000001</v>
      </c>
      <c r="J1064" s="8">
        <v>613502.88358717202</v>
      </c>
      <c r="K1064" s="8">
        <f>I1064/1000000</f>
        <v>0.97552267290000005</v>
      </c>
      <c r="L1064" s="8">
        <f>J1064/1000000</f>
        <v>0.61350288358717198</v>
      </c>
      <c r="M1064" t="s">
        <v>19</v>
      </c>
    </row>
    <row r="1065" spans="2:13" x14ac:dyDescent="0.25">
      <c r="B1065" t="s">
        <v>13</v>
      </c>
      <c r="C1065" t="s">
        <v>46</v>
      </c>
      <c r="D1065" t="s">
        <v>70</v>
      </c>
      <c r="E1065">
        <v>2030</v>
      </c>
      <c r="F1065" t="s">
        <v>54</v>
      </c>
      <c r="G1065" t="s">
        <v>17</v>
      </c>
      <c r="H1065" t="s">
        <v>18</v>
      </c>
      <c r="I1065" s="8">
        <v>905072.22199999995</v>
      </c>
      <c r="J1065" s="8">
        <v>568695.59512985195</v>
      </c>
      <c r="K1065" s="8">
        <f>I1065/1000000</f>
        <v>0.90507222199999993</v>
      </c>
      <c r="L1065" s="8">
        <f>J1065/1000000</f>
        <v>0.56869559512985191</v>
      </c>
      <c r="M1065" t="s">
        <v>19</v>
      </c>
    </row>
    <row r="1066" spans="2:13" x14ac:dyDescent="0.25">
      <c r="B1066" t="s">
        <v>13</v>
      </c>
      <c r="C1066" t="s">
        <v>46</v>
      </c>
      <c r="D1066" t="s">
        <v>70</v>
      </c>
      <c r="E1066">
        <v>2028</v>
      </c>
      <c r="F1066" t="s">
        <v>54</v>
      </c>
      <c r="G1066" t="s">
        <v>17</v>
      </c>
      <c r="H1066" t="s">
        <v>18</v>
      </c>
      <c r="I1066" s="8">
        <v>673934.79559999995</v>
      </c>
      <c r="J1066" s="8">
        <v>477030.64833372901</v>
      </c>
      <c r="K1066" s="8">
        <f>I1066/1000000</f>
        <v>0.67393479559999991</v>
      </c>
      <c r="L1066" s="8">
        <f>J1066/1000000</f>
        <v>0.47703064833372899</v>
      </c>
      <c r="M1066" t="s">
        <v>19</v>
      </c>
    </row>
    <row r="1067" spans="2:13" x14ac:dyDescent="0.25">
      <c r="B1067" t="s">
        <v>13</v>
      </c>
      <c r="C1067" t="s">
        <v>46</v>
      </c>
      <c r="D1067" t="s">
        <v>69</v>
      </c>
      <c r="E1067">
        <v>2028</v>
      </c>
      <c r="F1067" t="s">
        <v>80</v>
      </c>
      <c r="G1067" t="s">
        <v>17</v>
      </c>
      <c r="H1067" t="s">
        <v>18</v>
      </c>
      <c r="I1067" s="8">
        <v>835823.29610000004</v>
      </c>
      <c r="J1067" s="8">
        <v>319113.75987720699</v>
      </c>
      <c r="K1067" s="8">
        <f>I1067/1000000</f>
        <v>0.83582329610000006</v>
      </c>
      <c r="L1067" s="8">
        <f>J1067/1000000</f>
        <v>0.31911375987720697</v>
      </c>
      <c r="M1067" t="s">
        <v>19</v>
      </c>
    </row>
    <row r="1068" spans="2:13" x14ac:dyDescent="0.25">
      <c r="B1068" t="s">
        <v>13</v>
      </c>
      <c r="C1068" t="s">
        <v>46</v>
      </c>
      <c r="D1068" t="s">
        <v>69</v>
      </c>
      <c r="E1068">
        <v>2029</v>
      </c>
      <c r="F1068" t="s">
        <v>80</v>
      </c>
      <c r="G1068" t="s">
        <v>17</v>
      </c>
      <c r="H1068" t="s">
        <v>18</v>
      </c>
      <c r="I1068" s="8">
        <v>663108.76170000003</v>
      </c>
      <c r="J1068" s="8">
        <v>290308.90057422599</v>
      </c>
      <c r="K1068" s="8">
        <f>I1068/1000000</f>
        <v>0.66310876169999999</v>
      </c>
      <c r="L1068" s="8">
        <f>J1068/1000000</f>
        <v>0.29030890057422598</v>
      </c>
      <c r="M1068" t="s">
        <v>19</v>
      </c>
    </row>
    <row r="1069" spans="2:13" x14ac:dyDescent="0.25">
      <c r="B1069" t="s">
        <v>13</v>
      </c>
      <c r="C1069" t="s">
        <v>46</v>
      </c>
      <c r="D1069" t="s">
        <v>69</v>
      </c>
      <c r="E1069">
        <v>2030</v>
      </c>
      <c r="F1069" t="s">
        <v>80</v>
      </c>
      <c r="G1069" t="s">
        <v>17</v>
      </c>
      <c r="H1069" t="s">
        <v>18</v>
      </c>
      <c r="I1069" s="8">
        <v>576971.41899999999</v>
      </c>
      <c r="J1069" s="8">
        <v>252007.26564517801</v>
      </c>
      <c r="K1069" s="8">
        <f>I1069/1000000</f>
        <v>0.57697141900000004</v>
      </c>
      <c r="L1069" s="8">
        <f>J1069/1000000</f>
        <v>0.252007265645178</v>
      </c>
      <c r="M1069" t="s">
        <v>19</v>
      </c>
    </row>
    <row r="1070" spans="2:13" x14ac:dyDescent="0.25">
      <c r="B1070" t="s">
        <v>13</v>
      </c>
      <c r="C1070" t="s">
        <v>46</v>
      </c>
      <c r="D1070" t="s">
        <v>73</v>
      </c>
      <c r="E1070">
        <v>2026</v>
      </c>
      <c r="F1070" t="s">
        <v>80</v>
      </c>
      <c r="G1070" t="s">
        <v>17</v>
      </c>
      <c r="H1070" t="s">
        <v>18</v>
      </c>
      <c r="I1070" s="8">
        <v>345646.74329999997</v>
      </c>
      <c r="J1070" s="8">
        <v>245900</v>
      </c>
      <c r="K1070" s="8">
        <f>I1070/1000000</f>
        <v>0.34564674329999995</v>
      </c>
      <c r="L1070" s="8">
        <f>J1070/1000000</f>
        <v>0.24590000000000001</v>
      </c>
      <c r="M1070" t="s">
        <v>19</v>
      </c>
    </row>
    <row r="1071" spans="2:13" x14ac:dyDescent="0.25">
      <c r="B1071" t="s">
        <v>13</v>
      </c>
      <c r="C1071" t="s">
        <v>46</v>
      </c>
      <c r="D1071" t="s">
        <v>73</v>
      </c>
      <c r="E1071">
        <v>2027</v>
      </c>
      <c r="F1071" t="s">
        <v>80</v>
      </c>
      <c r="G1071" t="s">
        <v>17</v>
      </c>
      <c r="H1071" t="s">
        <v>18</v>
      </c>
      <c r="I1071" s="8">
        <v>152087.3069</v>
      </c>
      <c r="J1071" s="8">
        <v>109082.65225917401</v>
      </c>
      <c r="K1071" s="8">
        <f>I1071/1000000</f>
        <v>0.1520873069</v>
      </c>
      <c r="L1071" s="8">
        <f>J1071/1000000</f>
        <v>0.109082652259174</v>
      </c>
      <c r="M1071" t="s">
        <v>19</v>
      </c>
    </row>
    <row r="1072" spans="2:13" x14ac:dyDescent="0.25">
      <c r="B1072" t="s">
        <v>13</v>
      </c>
      <c r="C1072" t="s">
        <v>46</v>
      </c>
      <c r="D1072" t="s">
        <v>70</v>
      </c>
      <c r="E1072">
        <v>2026</v>
      </c>
      <c r="F1072" t="s">
        <v>80</v>
      </c>
      <c r="G1072" t="s">
        <v>17</v>
      </c>
      <c r="H1072" t="s">
        <v>18</v>
      </c>
      <c r="I1072" s="8">
        <v>870894.28249999997</v>
      </c>
      <c r="J1072" s="8">
        <v>277560</v>
      </c>
      <c r="K1072" s="8">
        <f>I1072/1000000</f>
        <v>0.87089428250000001</v>
      </c>
      <c r="L1072" s="8">
        <f>J1072/1000000</f>
        <v>0.27755999999999997</v>
      </c>
      <c r="M1072" t="s">
        <v>19</v>
      </c>
    </row>
    <row r="1073" spans="2:13" x14ac:dyDescent="0.25">
      <c r="B1073" t="s">
        <v>13</v>
      </c>
      <c r="C1073" t="s">
        <v>46</v>
      </c>
      <c r="D1073" t="s">
        <v>70</v>
      </c>
      <c r="E1073">
        <v>2027</v>
      </c>
      <c r="F1073" t="s">
        <v>80</v>
      </c>
      <c r="G1073" t="s">
        <v>17</v>
      </c>
      <c r="H1073" t="s">
        <v>18</v>
      </c>
      <c r="I1073" s="8">
        <v>379495.44329999998</v>
      </c>
      <c r="J1073" s="8">
        <v>139127.585632715</v>
      </c>
      <c r="K1073" s="8">
        <f>I1073/1000000</f>
        <v>0.37949544329999996</v>
      </c>
      <c r="L1073" s="8">
        <f>J1073/1000000</f>
        <v>0.13912758563271499</v>
      </c>
      <c r="M1073" t="s">
        <v>19</v>
      </c>
    </row>
    <row r="1074" spans="2:13" x14ac:dyDescent="0.25">
      <c r="B1074" t="s">
        <v>13</v>
      </c>
      <c r="C1074" t="s">
        <v>46</v>
      </c>
      <c r="D1074" t="s">
        <v>15</v>
      </c>
      <c r="E1074">
        <v>2026</v>
      </c>
      <c r="F1074" t="s">
        <v>80</v>
      </c>
      <c r="G1074" t="s">
        <v>17</v>
      </c>
      <c r="H1074" t="s">
        <v>18</v>
      </c>
      <c r="I1074" s="8">
        <v>173996.2622</v>
      </c>
      <c r="J1074" s="8">
        <v>37638.268105263203</v>
      </c>
      <c r="K1074" s="8">
        <f>I1074/1000000</f>
        <v>0.1739962622</v>
      </c>
      <c r="L1074" s="8">
        <f>J1074/1000000</f>
        <v>3.7638268105263203E-2</v>
      </c>
      <c r="M1074" t="s">
        <v>19</v>
      </c>
    </row>
    <row r="1075" spans="2:13" x14ac:dyDescent="0.25">
      <c r="B1075" t="s">
        <v>13</v>
      </c>
      <c r="C1075" t="s">
        <v>46</v>
      </c>
      <c r="D1075" t="s">
        <v>15</v>
      </c>
      <c r="E1075">
        <v>2027</v>
      </c>
      <c r="F1075" t="s">
        <v>80</v>
      </c>
      <c r="G1075" t="s">
        <v>17</v>
      </c>
      <c r="H1075" t="s">
        <v>18</v>
      </c>
      <c r="I1075" s="8">
        <v>155996.95430000001</v>
      </c>
      <c r="J1075" s="8">
        <v>33744.720240000002</v>
      </c>
      <c r="K1075" s="8">
        <f>I1075/1000000</f>
        <v>0.15599695430000002</v>
      </c>
      <c r="L1075" s="8">
        <f>J1075/1000000</f>
        <v>3.3744720240000005E-2</v>
      </c>
      <c r="M1075" t="s">
        <v>19</v>
      </c>
    </row>
    <row r="1076" spans="2:13" x14ac:dyDescent="0.25">
      <c r="B1076" t="s">
        <v>13</v>
      </c>
      <c r="C1076" t="s">
        <v>46</v>
      </c>
      <c r="D1076" t="s">
        <v>15</v>
      </c>
      <c r="E1076">
        <v>2029</v>
      </c>
      <c r="F1076" t="s">
        <v>80</v>
      </c>
      <c r="G1076" t="s">
        <v>17</v>
      </c>
      <c r="H1076" t="s">
        <v>18</v>
      </c>
      <c r="I1076" s="8">
        <v>69423.2978</v>
      </c>
      <c r="J1076" s="8">
        <v>23102.6583410526</v>
      </c>
      <c r="K1076" s="8">
        <f>I1076/1000000</f>
        <v>6.9423297800000006E-2</v>
      </c>
      <c r="L1076" s="8">
        <f>J1076/1000000</f>
        <v>2.3102658341052601E-2</v>
      </c>
      <c r="M1076" t="s">
        <v>19</v>
      </c>
    </row>
    <row r="1077" spans="2:13" x14ac:dyDescent="0.25">
      <c r="B1077" t="s">
        <v>13</v>
      </c>
      <c r="C1077" t="s">
        <v>46</v>
      </c>
      <c r="D1077" t="s">
        <v>15</v>
      </c>
      <c r="E1077">
        <v>2030</v>
      </c>
      <c r="F1077" t="s">
        <v>80</v>
      </c>
      <c r="G1077" t="s">
        <v>17</v>
      </c>
      <c r="H1077" t="s">
        <v>18</v>
      </c>
      <c r="I1077" s="8">
        <v>57660.323499999999</v>
      </c>
      <c r="J1077" s="8">
        <v>19188.180277894699</v>
      </c>
      <c r="K1077" s="8">
        <f>I1077/1000000</f>
        <v>5.7660323499999999E-2</v>
      </c>
      <c r="L1077" s="8">
        <f>J1077/1000000</f>
        <v>1.9188180277894699E-2</v>
      </c>
      <c r="M1077" t="s">
        <v>19</v>
      </c>
    </row>
    <row r="1078" spans="2:13" x14ac:dyDescent="0.25">
      <c r="B1078" t="s">
        <v>13</v>
      </c>
      <c r="C1078" t="s">
        <v>46</v>
      </c>
      <c r="D1078" t="s">
        <v>100</v>
      </c>
      <c r="E1078">
        <v>2026</v>
      </c>
      <c r="F1078" t="s">
        <v>80</v>
      </c>
      <c r="G1078" t="s">
        <v>17</v>
      </c>
      <c r="H1078" t="s">
        <v>18</v>
      </c>
      <c r="I1078" s="8">
        <v>247867.2</v>
      </c>
      <c r="J1078" s="8">
        <v>245900</v>
      </c>
      <c r="K1078" s="8">
        <f>I1078/1000000</f>
        <v>0.24786720000000001</v>
      </c>
      <c r="L1078" s="8">
        <f>J1078/1000000</f>
        <v>0.24590000000000001</v>
      </c>
      <c r="M1078" t="s">
        <v>19</v>
      </c>
    </row>
    <row r="1079" spans="2:13" x14ac:dyDescent="0.25">
      <c r="B1079" t="s">
        <v>13</v>
      </c>
      <c r="C1079" t="s">
        <v>46</v>
      </c>
      <c r="D1079" t="s">
        <v>100</v>
      </c>
      <c r="E1079">
        <v>2027</v>
      </c>
      <c r="F1079" t="s">
        <v>80</v>
      </c>
      <c r="G1079" t="s">
        <v>17</v>
      </c>
      <c r="H1079" t="s">
        <v>18</v>
      </c>
      <c r="I1079" s="8">
        <v>219519.44270000001</v>
      </c>
      <c r="J1079" s="8">
        <v>217777.224855379</v>
      </c>
      <c r="K1079" s="8">
        <f>I1079/1000000</f>
        <v>0.21951944270000001</v>
      </c>
      <c r="L1079" s="8">
        <f>J1079/1000000</f>
        <v>0.21777722485537901</v>
      </c>
      <c r="M1079" t="s">
        <v>19</v>
      </c>
    </row>
    <row r="1080" spans="2:13" x14ac:dyDescent="0.25">
      <c r="B1080" t="s">
        <v>13</v>
      </c>
      <c r="C1080" t="s">
        <v>46</v>
      </c>
      <c r="D1080" t="s">
        <v>100</v>
      </c>
      <c r="E1080">
        <v>2028</v>
      </c>
      <c r="F1080" t="s">
        <v>80</v>
      </c>
      <c r="G1080" t="s">
        <v>17</v>
      </c>
      <c r="H1080" t="s">
        <v>18</v>
      </c>
      <c r="I1080" s="8">
        <v>178545.41010000001</v>
      </c>
      <c r="J1080" s="8">
        <v>185984.80222285399</v>
      </c>
      <c r="K1080" s="8">
        <f>I1080/1000000</f>
        <v>0.1785454101</v>
      </c>
      <c r="L1080" s="8">
        <f>J1080/1000000</f>
        <v>0.18598480222285399</v>
      </c>
      <c r="M1080" t="s">
        <v>19</v>
      </c>
    </row>
    <row r="1081" spans="2:13" x14ac:dyDescent="0.25">
      <c r="B1081" t="s">
        <v>13</v>
      </c>
      <c r="C1081" t="s">
        <v>46</v>
      </c>
      <c r="D1081" t="s">
        <v>100</v>
      </c>
      <c r="E1081">
        <v>2029</v>
      </c>
      <c r="F1081" t="s">
        <v>80</v>
      </c>
      <c r="G1081" t="s">
        <v>17</v>
      </c>
      <c r="H1081" t="s">
        <v>18</v>
      </c>
      <c r="I1081" s="8">
        <v>174215.35219999999</v>
      </c>
      <c r="J1081" s="8">
        <v>150185.64846262999</v>
      </c>
      <c r="K1081" s="8">
        <f>I1081/1000000</f>
        <v>0.17421535220000001</v>
      </c>
      <c r="L1081" s="8">
        <f>J1081/1000000</f>
        <v>0.15018564846262999</v>
      </c>
      <c r="M1081" t="s">
        <v>19</v>
      </c>
    </row>
    <row r="1082" spans="2:13" x14ac:dyDescent="0.25">
      <c r="B1082" t="s">
        <v>13</v>
      </c>
      <c r="C1082" t="s">
        <v>46</v>
      </c>
      <c r="D1082" t="s">
        <v>100</v>
      </c>
      <c r="E1082">
        <v>2030</v>
      </c>
      <c r="F1082" t="s">
        <v>80</v>
      </c>
      <c r="G1082" t="s">
        <v>17</v>
      </c>
      <c r="H1082" t="s">
        <v>18</v>
      </c>
      <c r="I1082" s="8">
        <v>153350.5668</v>
      </c>
      <c r="J1082" s="8">
        <v>132198.76446372201</v>
      </c>
      <c r="K1082" s="8">
        <f>I1082/1000000</f>
        <v>0.1533505668</v>
      </c>
      <c r="L1082" s="8">
        <f>J1082/1000000</f>
        <v>0.132198764463722</v>
      </c>
      <c r="M1082" t="s">
        <v>19</v>
      </c>
    </row>
    <row r="1083" spans="2:13" x14ac:dyDescent="0.25">
      <c r="B1083" t="s">
        <v>13</v>
      </c>
      <c r="C1083" t="s">
        <v>46</v>
      </c>
      <c r="D1083" t="s">
        <v>72</v>
      </c>
      <c r="E1083">
        <v>2029</v>
      </c>
      <c r="F1083" t="s">
        <v>80</v>
      </c>
      <c r="G1083" t="s">
        <v>17</v>
      </c>
      <c r="H1083" t="s">
        <v>18</v>
      </c>
      <c r="I1083" s="8">
        <v>324152.75760000001</v>
      </c>
      <c r="J1083" s="8">
        <v>155962.01955734601</v>
      </c>
      <c r="K1083" s="8">
        <f>I1083/1000000</f>
        <v>0.32415275760000001</v>
      </c>
      <c r="L1083" s="8">
        <f>J1083/1000000</f>
        <v>0.15596201955734601</v>
      </c>
      <c r="M1083" t="s">
        <v>19</v>
      </c>
    </row>
    <row r="1084" spans="2:13" x14ac:dyDescent="0.25">
      <c r="B1084" t="s">
        <v>13</v>
      </c>
      <c r="C1084" t="s">
        <v>46</v>
      </c>
      <c r="D1084" t="s">
        <v>72</v>
      </c>
      <c r="E1084">
        <v>2026</v>
      </c>
      <c r="F1084" t="s">
        <v>80</v>
      </c>
      <c r="G1084" t="s">
        <v>17</v>
      </c>
      <c r="H1084" t="s">
        <v>18</v>
      </c>
      <c r="I1084" s="8">
        <v>533667.51870000002</v>
      </c>
      <c r="J1084" s="8">
        <v>255500</v>
      </c>
      <c r="K1084" s="8">
        <f>I1084/1000000</f>
        <v>0.53366751870000007</v>
      </c>
      <c r="L1084" s="8">
        <f>J1084/1000000</f>
        <v>0.2555</v>
      </c>
      <c r="M1084" t="s">
        <v>19</v>
      </c>
    </row>
    <row r="1085" spans="2:13" x14ac:dyDescent="0.25">
      <c r="B1085" t="s">
        <v>13</v>
      </c>
      <c r="C1085" t="s">
        <v>46</v>
      </c>
      <c r="D1085" t="s">
        <v>72</v>
      </c>
      <c r="E1085">
        <v>2027</v>
      </c>
      <c r="F1085" t="s">
        <v>80</v>
      </c>
      <c r="G1085" t="s">
        <v>17</v>
      </c>
      <c r="H1085" t="s">
        <v>18</v>
      </c>
      <c r="I1085" s="8">
        <v>472556.88809999998</v>
      </c>
      <c r="J1085" s="8">
        <v>226242.46670863099</v>
      </c>
      <c r="K1085" s="8">
        <f>I1085/1000000</f>
        <v>0.47255688809999996</v>
      </c>
      <c r="L1085" s="8">
        <f>J1085/1000000</f>
        <v>0.22624246670863099</v>
      </c>
      <c r="M1085" t="s">
        <v>19</v>
      </c>
    </row>
    <row r="1086" spans="2:13" x14ac:dyDescent="0.25">
      <c r="B1086" t="s">
        <v>13</v>
      </c>
      <c r="C1086" t="s">
        <v>46</v>
      </c>
      <c r="D1086" t="s">
        <v>72</v>
      </c>
      <c r="E1086">
        <v>2028</v>
      </c>
      <c r="F1086" t="s">
        <v>80</v>
      </c>
      <c r="G1086" t="s">
        <v>17</v>
      </c>
      <c r="H1086" t="s">
        <v>18</v>
      </c>
      <c r="I1086" s="8">
        <v>401605.1275</v>
      </c>
      <c r="J1086" s="8">
        <v>193227.25251632999</v>
      </c>
      <c r="K1086" s="8">
        <f>I1086/1000000</f>
        <v>0.40160512749999999</v>
      </c>
      <c r="L1086" s="8">
        <f>J1086/1000000</f>
        <v>0.19322725251632999</v>
      </c>
      <c r="M1086" t="s">
        <v>19</v>
      </c>
    </row>
    <row r="1087" spans="2:13" x14ac:dyDescent="0.25">
      <c r="B1087" t="s">
        <v>13</v>
      </c>
      <c r="C1087" t="s">
        <v>46</v>
      </c>
      <c r="D1087" t="s">
        <v>72</v>
      </c>
      <c r="E1087">
        <v>2030</v>
      </c>
      <c r="F1087" t="s">
        <v>80</v>
      </c>
      <c r="G1087" t="s">
        <v>17</v>
      </c>
      <c r="H1087" t="s">
        <v>18</v>
      </c>
      <c r="I1087" s="8">
        <v>285330.81880000001</v>
      </c>
      <c r="J1087" s="8">
        <v>137283.33232771099</v>
      </c>
      <c r="K1087" s="8">
        <f>I1087/1000000</f>
        <v>0.2853308188</v>
      </c>
      <c r="L1087" s="8">
        <f>J1087/1000000</f>
        <v>0.13728333232771098</v>
      </c>
      <c r="M1087" t="s">
        <v>19</v>
      </c>
    </row>
    <row r="1088" spans="2:13" x14ac:dyDescent="0.25">
      <c r="B1088" t="s">
        <v>13</v>
      </c>
      <c r="C1088" t="s">
        <v>46</v>
      </c>
      <c r="D1088" t="s">
        <v>69</v>
      </c>
      <c r="E1088">
        <v>2027</v>
      </c>
      <c r="F1088" t="s">
        <v>80</v>
      </c>
      <c r="G1088" t="s">
        <v>17</v>
      </c>
      <c r="H1088" t="s">
        <v>18</v>
      </c>
      <c r="I1088" s="8">
        <v>435090.61570000002</v>
      </c>
      <c r="J1088" s="8">
        <v>146432.77215745099</v>
      </c>
      <c r="K1088" s="8">
        <f>I1088/1000000</f>
        <v>0.43509061570000002</v>
      </c>
      <c r="L1088" s="8">
        <f>J1088/1000000</f>
        <v>0.14643277215745099</v>
      </c>
      <c r="M1088" t="s">
        <v>19</v>
      </c>
    </row>
    <row r="1089" spans="2:13" x14ac:dyDescent="0.25">
      <c r="B1089" t="s">
        <v>13</v>
      </c>
      <c r="C1089" t="s">
        <v>46</v>
      </c>
      <c r="D1089" t="s">
        <v>15</v>
      </c>
      <c r="E1089">
        <v>2028</v>
      </c>
      <c r="F1089" t="s">
        <v>80</v>
      </c>
      <c r="G1089" t="s">
        <v>17</v>
      </c>
      <c r="H1089" t="s">
        <v>18</v>
      </c>
      <c r="I1089" s="8">
        <v>88917.685400000002</v>
      </c>
      <c r="J1089" s="8">
        <v>29589.993145263201</v>
      </c>
      <c r="K1089" s="8">
        <f>I1089/1000000</f>
        <v>8.8917685400000002E-2</v>
      </c>
      <c r="L1089" s="8">
        <f>J1089/1000000</f>
        <v>2.9589993145263199E-2</v>
      </c>
      <c r="M1089" t="s">
        <v>19</v>
      </c>
    </row>
    <row r="1090" spans="2:13" x14ac:dyDescent="0.25">
      <c r="B1090" t="s">
        <v>13</v>
      </c>
      <c r="C1090" t="s">
        <v>46</v>
      </c>
      <c r="D1090" t="s">
        <v>108</v>
      </c>
      <c r="E1090">
        <v>2030</v>
      </c>
      <c r="F1090" t="s">
        <v>80</v>
      </c>
      <c r="G1090" t="s">
        <v>17</v>
      </c>
      <c r="H1090" t="s">
        <v>18</v>
      </c>
      <c r="I1090" s="8">
        <v>506412.48619999998</v>
      </c>
      <c r="J1090" s="8">
        <v>136193.06287802101</v>
      </c>
      <c r="K1090" s="8">
        <f>I1090/1000000</f>
        <v>0.50641248620000001</v>
      </c>
      <c r="L1090" s="8">
        <f>J1090/1000000</f>
        <v>0.13619306287802102</v>
      </c>
      <c r="M1090" t="s">
        <v>39</v>
      </c>
    </row>
    <row r="1091" spans="2:13" x14ac:dyDescent="0.25">
      <c r="B1091" t="s">
        <v>13</v>
      </c>
      <c r="C1091" t="s">
        <v>14</v>
      </c>
      <c r="D1091" t="s">
        <v>52</v>
      </c>
      <c r="E1091">
        <v>2029</v>
      </c>
      <c r="F1091" t="s">
        <v>80</v>
      </c>
      <c r="G1091" t="s">
        <v>17</v>
      </c>
      <c r="H1091" t="s">
        <v>18</v>
      </c>
      <c r="I1091" s="8">
        <v>755288.41769999999</v>
      </c>
      <c r="J1091" s="8">
        <v>655062.08625000005</v>
      </c>
      <c r="K1091" s="8">
        <f>I1091/1000000</f>
        <v>0.75528841769999999</v>
      </c>
      <c r="L1091" s="8">
        <f>J1091/1000000</f>
        <v>0.65506208625000006</v>
      </c>
      <c r="M1091" t="s">
        <v>19</v>
      </c>
    </row>
    <row r="1092" spans="2:13" x14ac:dyDescent="0.25">
      <c r="B1092" t="s">
        <v>13</v>
      </c>
      <c r="C1092" t="s">
        <v>46</v>
      </c>
      <c r="D1092" t="s">
        <v>52</v>
      </c>
      <c r="E1092">
        <v>2030</v>
      </c>
      <c r="F1092" t="s">
        <v>66</v>
      </c>
      <c r="G1092" t="s">
        <v>17</v>
      </c>
      <c r="H1092" t="s">
        <v>18</v>
      </c>
      <c r="I1092" s="8">
        <v>74580.650699999998</v>
      </c>
      <c r="J1092" s="8">
        <v>58971.703650810799</v>
      </c>
      <c r="K1092" s="8">
        <f>I1092/1000000</f>
        <v>7.4580650700000001E-2</v>
      </c>
      <c r="L1092" s="8">
        <f>J1092/1000000</f>
        <v>5.8971703650810801E-2</v>
      </c>
      <c r="M1092" t="s">
        <v>19</v>
      </c>
    </row>
    <row r="1093" spans="2:13" x14ac:dyDescent="0.25">
      <c r="B1093" t="s">
        <v>13</v>
      </c>
      <c r="C1093" t="s">
        <v>46</v>
      </c>
      <c r="D1093" t="s">
        <v>52</v>
      </c>
      <c r="E1093">
        <v>2029</v>
      </c>
      <c r="F1093" t="s">
        <v>66</v>
      </c>
      <c r="G1093" t="s">
        <v>17</v>
      </c>
      <c r="H1093" t="s">
        <v>18</v>
      </c>
      <c r="I1093" s="8">
        <v>74099.142900000006</v>
      </c>
      <c r="J1093" s="8">
        <v>59128.251664864802</v>
      </c>
      <c r="K1093" s="8">
        <f>I1093/1000000</f>
        <v>7.4099142900000012E-2</v>
      </c>
      <c r="L1093" s="8">
        <f>J1093/1000000</f>
        <v>5.9128251664864802E-2</v>
      </c>
      <c r="M1093" t="s">
        <v>19</v>
      </c>
    </row>
    <row r="1094" spans="2:13" x14ac:dyDescent="0.25">
      <c r="B1094" t="s">
        <v>13</v>
      </c>
      <c r="C1094" t="s">
        <v>46</v>
      </c>
      <c r="D1094" t="s">
        <v>52</v>
      </c>
      <c r="E1094">
        <v>2026</v>
      </c>
      <c r="F1094" t="s">
        <v>66</v>
      </c>
      <c r="G1094" t="s">
        <v>17</v>
      </c>
      <c r="H1094" t="s">
        <v>18</v>
      </c>
      <c r="I1094" s="8">
        <v>126545.1219</v>
      </c>
      <c r="J1094" s="8">
        <v>101952.84819588999</v>
      </c>
      <c r="K1094" s="8">
        <f>I1094/1000000</f>
        <v>0.1265451219</v>
      </c>
      <c r="L1094" s="8">
        <f>J1094/1000000</f>
        <v>0.10195284819589</v>
      </c>
      <c r="M1094" t="s">
        <v>19</v>
      </c>
    </row>
    <row r="1095" spans="2:13" x14ac:dyDescent="0.25">
      <c r="B1095" t="s">
        <v>13</v>
      </c>
      <c r="C1095" t="s">
        <v>46</v>
      </c>
      <c r="D1095" t="s">
        <v>52</v>
      </c>
      <c r="E1095">
        <v>2027</v>
      </c>
      <c r="F1095" t="s">
        <v>66</v>
      </c>
      <c r="G1095" t="s">
        <v>17</v>
      </c>
      <c r="H1095" t="s">
        <v>18</v>
      </c>
      <c r="I1095" s="8">
        <v>80383.343999999997</v>
      </c>
      <c r="J1095" s="8">
        <v>65286.146574999999</v>
      </c>
      <c r="K1095" s="8">
        <f>I1095/1000000</f>
        <v>8.0383343999999995E-2</v>
      </c>
      <c r="L1095" s="8">
        <f>J1095/1000000</f>
        <v>6.5286146574999995E-2</v>
      </c>
      <c r="M1095" t="s">
        <v>19</v>
      </c>
    </row>
    <row r="1096" spans="2:13" x14ac:dyDescent="0.25">
      <c r="B1096" t="s">
        <v>13</v>
      </c>
      <c r="C1096" t="s">
        <v>46</v>
      </c>
      <c r="D1096" t="s">
        <v>52</v>
      </c>
      <c r="E1096">
        <v>2028</v>
      </c>
      <c r="F1096" t="s">
        <v>66</v>
      </c>
      <c r="G1096" t="s">
        <v>17</v>
      </c>
      <c r="H1096" t="s">
        <v>18</v>
      </c>
      <c r="I1096" s="8">
        <v>81022.094400000002</v>
      </c>
      <c r="J1096" s="8">
        <v>65642.224285714299</v>
      </c>
      <c r="K1096" s="8">
        <f>I1096/1000000</f>
        <v>8.1022094400000008E-2</v>
      </c>
      <c r="L1096" s="8">
        <f>J1096/1000000</f>
        <v>6.5642224285714298E-2</v>
      </c>
      <c r="M1096" t="s">
        <v>19</v>
      </c>
    </row>
    <row r="1097" spans="2:13" x14ac:dyDescent="0.25">
      <c r="B1097" t="s">
        <v>13</v>
      </c>
      <c r="C1097" t="s">
        <v>46</v>
      </c>
      <c r="D1097" t="s">
        <v>69</v>
      </c>
      <c r="E1097">
        <v>2029</v>
      </c>
      <c r="F1097" t="s">
        <v>66</v>
      </c>
      <c r="G1097" t="s">
        <v>17</v>
      </c>
      <c r="H1097" t="s">
        <v>18</v>
      </c>
      <c r="I1097" s="8">
        <v>581232.52110000001</v>
      </c>
      <c r="J1097" s="8">
        <v>254463.496688065</v>
      </c>
      <c r="K1097" s="8">
        <f>I1097/1000000</f>
        <v>0.58123252110000001</v>
      </c>
      <c r="L1097" s="8">
        <f>J1097/1000000</f>
        <v>0.25446349668806501</v>
      </c>
      <c r="M1097" t="s">
        <v>19</v>
      </c>
    </row>
    <row r="1098" spans="2:13" x14ac:dyDescent="0.25">
      <c r="B1098" t="s">
        <v>13</v>
      </c>
      <c r="C1098" t="s">
        <v>46</v>
      </c>
      <c r="D1098" t="s">
        <v>69</v>
      </c>
      <c r="E1098">
        <v>2030</v>
      </c>
      <c r="F1098" t="s">
        <v>66</v>
      </c>
      <c r="G1098" t="s">
        <v>17</v>
      </c>
      <c r="H1098" t="s">
        <v>18</v>
      </c>
      <c r="I1098" s="8">
        <v>449677.65710000001</v>
      </c>
      <c r="J1098" s="8">
        <v>196408.406132843</v>
      </c>
      <c r="K1098" s="8">
        <f>I1098/1000000</f>
        <v>0.44967765710000002</v>
      </c>
      <c r="L1098" s="8">
        <f>J1098/1000000</f>
        <v>0.19640840613284299</v>
      </c>
      <c r="M1098" t="s">
        <v>19</v>
      </c>
    </row>
    <row r="1099" spans="2:13" x14ac:dyDescent="0.25">
      <c r="B1099" t="s">
        <v>13</v>
      </c>
      <c r="C1099" t="s">
        <v>46</v>
      </c>
      <c r="D1099" t="s">
        <v>73</v>
      </c>
      <c r="E1099">
        <v>2026</v>
      </c>
      <c r="F1099" t="s">
        <v>66</v>
      </c>
      <c r="G1099" t="s">
        <v>17</v>
      </c>
      <c r="H1099" t="s">
        <v>18</v>
      </c>
      <c r="I1099" s="8">
        <v>110041.02619999999</v>
      </c>
      <c r="J1099" s="8">
        <v>78285.398879999993</v>
      </c>
      <c r="K1099" s="8">
        <f>I1099/1000000</f>
        <v>0.11004102619999999</v>
      </c>
      <c r="L1099" s="8">
        <f>J1099/1000000</f>
        <v>7.8285398879999996E-2</v>
      </c>
      <c r="M1099" t="s">
        <v>19</v>
      </c>
    </row>
    <row r="1100" spans="2:13" x14ac:dyDescent="0.25">
      <c r="B1100" t="s">
        <v>13</v>
      </c>
      <c r="C1100" t="s">
        <v>46</v>
      </c>
      <c r="D1100" t="s">
        <v>73</v>
      </c>
      <c r="E1100">
        <v>2027</v>
      </c>
      <c r="F1100" t="s">
        <v>66</v>
      </c>
      <c r="G1100" t="s">
        <v>17</v>
      </c>
      <c r="H1100" t="s">
        <v>18</v>
      </c>
      <c r="I1100" s="8">
        <v>109680.88860000001</v>
      </c>
      <c r="J1100" s="8">
        <v>78667.122560000003</v>
      </c>
      <c r="K1100" s="8">
        <f>I1100/1000000</f>
        <v>0.10968088860000001</v>
      </c>
      <c r="L1100" s="8">
        <f>J1100/1000000</f>
        <v>7.8667122559999997E-2</v>
      </c>
      <c r="M1100" t="s">
        <v>19</v>
      </c>
    </row>
    <row r="1101" spans="2:13" x14ac:dyDescent="0.25">
      <c r="B1101" t="s">
        <v>13</v>
      </c>
      <c r="C1101" t="s">
        <v>46</v>
      </c>
      <c r="D1101" t="s">
        <v>73</v>
      </c>
      <c r="E1101">
        <v>2028</v>
      </c>
      <c r="F1101" t="s">
        <v>66</v>
      </c>
      <c r="G1101" t="s">
        <v>17</v>
      </c>
      <c r="H1101" t="s">
        <v>18</v>
      </c>
      <c r="I1101" s="8">
        <v>55104.6351</v>
      </c>
      <c r="J1101" s="8">
        <v>39543.850319999998</v>
      </c>
      <c r="K1101" s="8">
        <f>I1101/1000000</f>
        <v>5.51046351E-2</v>
      </c>
      <c r="L1101" s="8">
        <f>J1101/1000000</f>
        <v>3.9543850319999997E-2</v>
      </c>
      <c r="M1101" t="s">
        <v>19</v>
      </c>
    </row>
    <row r="1102" spans="2:13" x14ac:dyDescent="0.25">
      <c r="B1102" t="s">
        <v>13</v>
      </c>
      <c r="C1102" t="s">
        <v>46</v>
      </c>
      <c r="D1102" t="s">
        <v>70</v>
      </c>
      <c r="E1102">
        <v>2026</v>
      </c>
      <c r="F1102" t="s">
        <v>66</v>
      </c>
      <c r="G1102" t="s">
        <v>17</v>
      </c>
      <c r="H1102" t="s">
        <v>18</v>
      </c>
      <c r="I1102" s="8">
        <v>477174.57510000002</v>
      </c>
      <c r="J1102" s="8">
        <v>276694.55625000002</v>
      </c>
      <c r="K1102" s="8">
        <f>I1102/1000000</f>
        <v>0.4771745751</v>
      </c>
      <c r="L1102" s="8">
        <f>J1102/1000000</f>
        <v>0.27669455625</v>
      </c>
      <c r="M1102" t="s">
        <v>19</v>
      </c>
    </row>
    <row r="1103" spans="2:13" x14ac:dyDescent="0.25">
      <c r="B1103" t="s">
        <v>13</v>
      </c>
      <c r="C1103" t="s">
        <v>46</v>
      </c>
      <c r="D1103" t="s">
        <v>70</v>
      </c>
      <c r="E1103">
        <v>2027</v>
      </c>
      <c r="F1103" t="s">
        <v>66</v>
      </c>
      <c r="G1103" t="s">
        <v>17</v>
      </c>
      <c r="H1103" t="s">
        <v>18</v>
      </c>
      <c r="I1103" s="8">
        <v>380651.5368</v>
      </c>
      <c r="J1103" s="8">
        <v>272749.16003999999</v>
      </c>
      <c r="K1103" s="8">
        <f>I1103/1000000</f>
        <v>0.38065153680000002</v>
      </c>
      <c r="L1103" s="8">
        <f>J1103/1000000</f>
        <v>0.27274916003999999</v>
      </c>
      <c r="M1103" t="s">
        <v>19</v>
      </c>
    </row>
    <row r="1104" spans="2:13" x14ac:dyDescent="0.25">
      <c r="B1104" t="s">
        <v>13</v>
      </c>
      <c r="C1104" t="s">
        <v>46</v>
      </c>
      <c r="D1104" t="s">
        <v>70</v>
      </c>
      <c r="E1104">
        <v>2028</v>
      </c>
      <c r="F1104" t="s">
        <v>66</v>
      </c>
      <c r="G1104" t="s">
        <v>17</v>
      </c>
      <c r="H1104" t="s">
        <v>18</v>
      </c>
      <c r="I1104" s="8">
        <v>211876.2751</v>
      </c>
      <c r="J1104" s="8">
        <v>150111.30676499999</v>
      </c>
      <c r="K1104" s="8">
        <f>I1104/1000000</f>
        <v>0.21187627510000001</v>
      </c>
      <c r="L1104" s="8">
        <f>J1104/1000000</f>
        <v>0.15011130676499998</v>
      </c>
      <c r="M1104" t="s">
        <v>19</v>
      </c>
    </row>
    <row r="1105" spans="2:13" x14ac:dyDescent="0.25">
      <c r="B1105" t="s">
        <v>13</v>
      </c>
      <c r="C1105" t="s">
        <v>46</v>
      </c>
      <c r="D1105" t="s">
        <v>15</v>
      </c>
      <c r="E1105">
        <v>2026</v>
      </c>
      <c r="F1105" t="s">
        <v>66</v>
      </c>
      <c r="G1105" t="s">
        <v>17</v>
      </c>
      <c r="H1105" t="s">
        <v>18</v>
      </c>
      <c r="I1105" s="8">
        <v>63050.056499999999</v>
      </c>
      <c r="J1105" s="8">
        <v>13638.7696</v>
      </c>
      <c r="K1105" s="8">
        <f>I1105/1000000</f>
        <v>6.3050056499999993E-2</v>
      </c>
      <c r="L1105" s="8">
        <f>J1105/1000000</f>
        <v>1.36387696E-2</v>
      </c>
      <c r="M1105" t="s">
        <v>19</v>
      </c>
    </row>
    <row r="1106" spans="2:13" x14ac:dyDescent="0.25">
      <c r="B1106" t="s">
        <v>13</v>
      </c>
      <c r="C1106" t="s">
        <v>46</v>
      </c>
      <c r="D1106" t="s">
        <v>15</v>
      </c>
      <c r="E1106">
        <v>2027</v>
      </c>
      <c r="F1106" t="s">
        <v>66</v>
      </c>
      <c r="G1106" t="s">
        <v>17</v>
      </c>
      <c r="H1106" t="s">
        <v>18</v>
      </c>
      <c r="I1106" s="8">
        <v>74759.923200000005</v>
      </c>
      <c r="J1106" s="8">
        <v>16171.807368420999</v>
      </c>
      <c r="K1106" s="8">
        <f>I1106/1000000</f>
        <v>7.4759923200000009E-2</v>
      </c>
      <c r="L1106" s="8">
        <f>J1106/1000000</f>
        <v>1.6171807368420998E-2</v>
      </c>
      <c r="M1106" t="s">
        <v>19</v>
      </c>
    </row>
    <row r="1107" spans="2:13" x14ac:dyDescent="0.25">
      <c r="B1107" t="s">
        <v>13</v>
      </c>
      <c r="C1107" t="s">
        <v>46</v>
      </c>
      <c r="D1107" t="s">
        <v>15</v>
      </c>
      <c r="E1107">
        <v>2029</v>
      </c>
      <c r="F1107" t="s">
        <v>66</v>
      </c>
      <c r="G1107" t="s">
        <v>17</v>
      </c>
      <c r="H1107" t="s">
        <v>18</v>
      </c>
      <c r="I1107" s="8">
        <v>46115.2045</v>
      </c>
      <c r="J1107" s="8">
        <v>15346.2</v>
      </c>
      <c r="K1107" s="8">
        <f>I1107/1000000</f>
        <v>4.61152045E-2</v>
      </c>
      <c r="L1107" s="8">
        <f>J1107/1000000</f>
        <v>1.5346200000000001E-2</v>
      </c>
      <c r="M1107" t="s">
        <v>19</v>
      </c>
    </row>
    <row r="1108" spans="2:13" x14ac:dyDescent="0.25">
      <c r="B1108" t="s">
        <v>13</v>
      </c>
      <c r="C1108" t="s">
        <v>46</v>
      </c>
      <c r="D1108" t="s">
        <v>15</v>
      </c>
      <c r="E1108">
        <v>2030</v>
      </c>
      <c r="F1108" t="s">
        <v>66</v>
      </c>
      <c r="G1108" t="s">
        <v>17</v>
      </c>
      <c r="H1108" t="s">
        <v>18</v>
      </c>
      <c r="I1108" s="8">
        <v>45808.695299999999</v>
      </c>
      <c r="J1108" s="8">
        <v>15244.2</v>
      </c>
      <c r="K1108" s="8">
        <f>I1108/1000000</f>
        <v>4.5808695300000001E-2</v>
      </c>
      <c r="L1108" s="8">
        <f>J1108/1000000</f>
        <v>1.5244200000000001E-2</v>
      </c>
      <c r="M1108" t="s">
        <v>19</v>
      </c>
    </row>
    <row r="1109" spans="2:13" x14ac:dyDescent="0.25">
      <c r="B1109" t="s">
        <v>13</v>
      </c>
      <c r="C1109" t="s">
        <v>46</v>
      </c>
      <c r="D1109" t="s">
        <v>72</v>
      </c>
      <c r="E1109">
        <v>2026</v>
      </c>
      <c r="F1109" t="s">
        <v>66</v>
      </c>
      <c r="G1109" t="s">
        <v>17</v>
      </c>
      <c r="H1109" t="s">
        <v>18</v>
      </c>
      <c r="I1109" s="8">
        <v>128832.2573</v>
      </c>
      <c r="J1109" s="8">
        <v>61680.039839999998</v>
      </c>
      <c r="K1109" s="8">
        <f>I1109/1000000</f>
        <v>0.1288322573</v>
      </c>
      <c r="L1109" s="8">
        <f>J1109/1000000</f>
        <v>6.1680039839999999E-2</v>
      </c>
      <c r="M1109" t="s">
        <v>19</v>
      </c>
    </row>
    <row r="1110" spans="2:13" x14ac:dyDescent="0.25">
      <c r="B1110" t="s">
        <v>13</v>
      </c>
      <c r="C1110" t="s">
        <v>46</v>
      </c>
      <c r="D1110" t="s">
        <v>72</v>
      </c>
      <c r="E1110">
        <v>2027</v>
      </c>
      <c r="F1110" t="s">
        <v>66</v>
      </c>
      <c r="G1110" t="s">
        <v>17</v>
      </c>
      <c r="H1110" t="s">
        <v>18</v>
      </c>
      <c r="I1110" s="8">
        <v>166643.5729</v>
      </c>
      <c r="J1110" s="8">
        <v>79782.615959999996</v>
      </c>
      <c r="K1110" s="8">
        <f>I1110/1000000</f>
        <v>0.16664357290000001</v>
      </c>
      <c r="L1110" s="8">
        <f>J1110/1000000</f>
        <v>7.9782615959999997E-2</v>
      </c>
      <c r="M1110" t="s">
        <v>19</v>
      </c>
    </row>
    <row r="1111" spans="2:13" x14ac:dyDescent="0.25">
      <c r="B1111" t="s">
        <v>13</v>
      </c>
      <c r="C1111" t="s">
        <v>46</v>
      </c>
      <c r="D1111" t="s">
        <v>72</v>
      </c>
      <c r="E1111">
        <v>2028</v>
      </c>
      <c r="F1111" t="s">
        <v>66</v>
      </c>
      <c r="G1111" t="s">
        <v>17</v>
      </c>
      <c r="H1111" t="s">
        <v>18</v>
      </c>
      <c r="I1111" s="8">
        <v>164926.58110000001</v>
      </c>
      <c r="J1111" s="8">
        <v>79352.348759999993</v>
      </c>
      <c r="K1111" s="8">
        <f>I1111/1000000</f>
        <v>0.1649265811</v>
      </c>
      <c r="L1111" s="8">
        <f>J1111/1000000</f>
        <v>7.9352348759999997E-2</v>
      </c>
      <c r="M1111" t="s">
        <v>19</v>
      </c>
    </row>
    <row r="1112" spans="2:13" x14ac:dyDescent="0.25">
      <c r="B1112" t="s">
        <v>13</v>
      </c>
      <c r="C1112" t="s">
        <v>46</v>
      </c>
      <c r="D1112" t="s">
        <v>72</v>
      </c>
      <c r="E1112">
        <v>2029</v>
      </c>
      <c r="F1112" t="s">
        <v>66</v>
      </c>
      <c r="G1112" t="s">
        <v>17</v>
      </c>
      <c r="H1112" t="s">
        <v>18</v>
      </c>
      <c r="I1112" s="8">
        <v>166648.9797</v>
      </c>
      <c r="J1112" s="8">
        <v>80181.059137484204</v>
      </c>
      <c r="K1112" s="8">
        <f>I1112/1000000</f>
        <v>0.16664897970000001</v>
      </c>
      <c r="L1112" s="8">
        <f>J1112/1000000</f>
        <v>8.0181059137484204E-2</v>
      </c>
      <c r="M1112" t="s">
        <v>19</v>
      </c>
    </row>
    <row r="1113" spans="2:13" x14ac:dyDescent="0.25">
      <c r="B1113" t="s">
        <v>13</v>
      </c>
      <c r="C1113" t="s">
        <v>46</v>
      </c>
      <c r="D1113" t="s">
        <v>72</v>
      </c>
      <c r="E1113">
        <v>2030</v>
      </c>
      <c r="F1113" t="s">
        <v>66</v>
      </c>
      <c r="G1113" t="s">
        <v>17</v>
      </c>
      <c r="H1113" t="s">
        <v>18</v>
      </c>
      <c r="I1113" s="8">
        <v>166738.96780000001</v>
      </c>
      <c r="J1113" s="8">
        <v>80224.355799726807</v>
      </c>
      <c r="K1113" s="8">
        <f>I1113/1000000</f>
        <v>0.16673896780000003</v>
      </c>
      <c r="L1113" s="8">
        <f>J1113/1000000</f>
        <v>8.022435579972681E-2</v>
      </c>
      <c r="M1113" t="s">
        <v>19</v>
      </c>
    </row>
    <row r="1114" spans="2:13" x14ac:dyDescent="0.25">
      <c r="B1114" t="s">
        <v>13</v>
      </c>
      <c r="C1114" t="s">
        <v>46</v>
      </c>
      <c r="D1114" t="s">
        <v>69</v>
      </c>
      <c r="E1114">
        <v>2028</v>
      </c>
      <c r="F1114" t="s">
        <v>66</v>
      </c>
      <c r="G1114" t="s">
        <v>17</v>
      </c>
      <c r="H1114" t="s">
        <v>18</v>
      </c>
      <c r="I1114" s="8">
        <v>258199.98480000001</v>
      </c>
      <c r="J1114" s="8">
        <v>98579.649960862094</v>
      </c>
      <c r="K1114" s="8">
        <f>I1114/1000000</f>
        <v>0.2581999848</v>
      </c>
      <c r="L1114" s="8">
        <f>J1114/1000000</f>
        <v>9.857964996086209E-2</v>
      </c>
      <c r="M1114" t="s">
        <v>19</v>
      </c>
    </row>
    <row r="1115" spans="2:13" x14ac:dyDescent="0.25">
      <c r="B1115" t="s">
        <v>13</v>
      </c>
      <c r="C1115" t="s">
        <v>46</v>
      </c>
      <c r="D1115" t="s">
        <v>15</v>
      </c>
      <c r="E1115">
        <v>2028</v>
      </c>
      <c r="F1115" t="s">
        <v>66</v>
      </c>
      <c r="G1115" t="s">
        <v>17</v>
      </c>
      <c r="H1115" t="s">
        <v>18</v>
      </c>
      <c r="I1115" s="8">
        <v>48881.549299999999</v>
      </c>
      <c r="J1115" s="8">
        <v>16266.783157894701</v>
      </c>
      <c r="K1115" s="8">
        <f>I1115/1000000</f>
        <v>4.88815493E-2</v>
      </c>
      <c r="L1115" s="8">
        <f>J1115/1000000</f>
        <v>1.6266783157894701E-2</v>
      </c>
      <c r="M1115" t="s">
        <v>19</v>
      </c>
    </row>
    <row r="1116" spans="2:13" x14ac:dyDescent="0.25">
      <c r="B1116" t="s">
        <v>13</v>
      </c>
      <c r="C1116" t="s">
        <v>14</v>
      </c>
      <c r="D1116" t="s">
        <v>52</v>
      </c>
      <c r="E1116">
        <v>2030</v>
      </c>
      <c r="F1116" t="s">
        <v>66</v>
      </c>
      <c r="G1116" t="s">
        <v>17</v>
      </c>
      <c r="H1116" t="s">
        <v>18</v>
      </c>
      <c r="I1116" s="8">
        <v>700152.29029999999</v>
      </c>
      <c r="J1116" s="8">
        <v>580064.30521875003</v>
      </c>
      <c r="K1116" s="8">
        <f>I1116/1000000</f>
        <v>0.70015229030000004</v>
      </c>
      <c r="L1116" s="8">
        <f>J1116/1000000</f>
        <v>0.58006430521875008</v>
      </c>
      <c r="M1116" t="s">
        <v>19</v>
      </c>
    </row>
    <row r="1117" spans="2:13" x14ac:dyDescent="0.25">
      <c r="B1117" t="s">
        <v>13</v>
      </c>
      <c r="C1117" t="s">
        <v>14</v>
      </c>
      <c r="D1117" t="s">
        <v>52</v>
      </c>
      <c r="E1117">
        <v>2027</v>
      </c>
      <c r="F1117" t="s">
        <v>66</v>
      </c>
      <c r="G1117" t="s">
        <v>17</v>
      </c>
      <c r="H1117" t="s">
        <v>18</v>
      </c>
      <c r="I1117" s="8">
        <v>582917.61679999996</v>
      </c>
      <c r="J1117" s="8">
        <v>550917.5326875</v>
      </c>
      <c r="K1117" s="8">
        <f>I1117/1000000</f>
        <v>0.58291761679999998</v>
      </c>
      <c r="L1117" s="8">
        <f>J1117/1000000</f>
        <v>0.55091753268749999</v>
      </c>
      <c r="M1117" t="s">
        <v>19</v>
      </c>
    </row>
    <row r="1118" spans="2:13" x14ac:dyDescent="0.25">
      <c r="B1118" t="s">
        <v>13</v>
      </c>
      <c r="C1118" t="s">
        <v>46</v>
      </c>
      <c r="D1118" t="s">
        <v>73</v>
      </c>
      <c r="E1118">
        <v>2026</v>
      </c>
      <c r="F1118" t="s">
        <v>92</v>
      </c>
      <c r="G1118" t="s">
        <v>17</v>
      </c>
      <c r="H1118" t="s">
        <v>18</v>
      </c>
      <c r="I1118" s="8">
        <v>64927.591800000002</v>
      </c>
      <c r="J1118" s="8">
        <v>69000</v>
      </c>
      <c r="K1118" s="8">
        <f>I1118/1000000</f>
        <v>6.4927591800000004E-2</v>
      </c>
      <c r="L1118" s="8">
        <f>J1118/1000000</f>
        <v>6.9000000000000006E-2</v>
      </c>
      <c r="M1118" t="s">
        <v>19</v>
      </c>
    </row>
    <row r="1119" spans="2:13" x14ac:dyDescent="0.25">
      <c r="B1119" t="s">
        <v>13</v>
      </c>
      <c r="C1119" t="s">
        <v>46</v>
      </c>
      <c r="D1119" t="s">
        <v>73</v>
      </c>
      <c r="E1119">
        <v>2027</v>
      </c>
      <c r="F1119" t="s">
        <v>92</v>
      </c>
      <c r="G1119" t="s">
        <v>17</v>
      </c>
      <c r="H1119" t="s">
        <v>18</v>
      </c>
      <c r="I1119" s="8">
        <v>61467.546799999996</v>
      </c>
      <c r="J1119" s="8">
        <v>65526.737966123503</v>
      </c>
      <c r="K1119" s="8">
        <f>I1119/1000000</f>
        <v>6.1467546799999995E-2</v>
      </c>
      <c r="L1119" s="8">
        <f>J1119/1000000</f>
        <v>6.5526737966123502E-2</v>
      </c>
      <c r="M1119" t="s">
        <v>19</v>
      </c>
    </row>
    <row r="1120" spans="2:13" x14ac:dyDescent="0.25">
      <c r="B1120" t="s">
        <v>13</v>
      </c>
      <c r="C1120" t="s">
        <v>46</v>
      </c>
      <c r="D1120" t="s">
        <v>73</v>
      </c>
      <c r="E1120">
        <v>2028</v>
      </c>
      <c r="F1120" t="s">
        <v>92</v>
      </c>
      <c r="G1120" t="s">
        <v>17</v>
      </c>
      <c r="H1120" t="s">
        <v>18</v>
      </c>
      <c r="I1120" s="8">
        <v>63066.457000000002</v>
      </c>
      <c r="J1120" s="8">
        <v>62735.895621764997</v>
      </c>
      <c r="K1120" s="8">
        <f>I1120/1000000</f>
        <v>6.3066457000000006E-2</v>
      </c>
      <c r="L1120" s="8">
        <f>J1120/1000000</f>
        <v>6.2735895621765E-2</v>
      </c>
      <c r="M1120" t="s">
        <v>19</v>
      </c>
    </row>
    <row r="1121" spans="2:13" x14ac:dyDescent="0.25">
      <c r="B1121" t="s">
        <v>13</v>
      </c>
      <c r="C1121" t="s">
        <v>46</v>
      </c>
      <c r="D1121" t="s">
        <v>73</v>
      </c>
      <c r="E1121">
        <v>2029</v>
      </c>
      <c r="F1121" t="s">
        <v>92</v>
      </c>
      <c r="G1121" t="s">
        <v>17</v>
      </c>
      <c r="H1121" t="s">
        <v>18</v>
      </c>
      <c r="I1121" s="8">
        <v>59814.354700000004</v>
      </c>
      <c r="J1121" s="8">
        <v>59500.839487136102</v>
      </c>
      <c r="K1121" s="8">
        <f>I1121/1000000</f>
        <v>5.9814354700000003E-2</v>
      </c>
      <c r="L1121" s="8">
        <f>J1121/1000000</f>
        <v>5.9500839487136102E-2</v>
      </c>
      <c r="M1121" t="s">
        <v>19</v>
      </c>
    </row>
    <row r="1122" spans="2:13" x14ac:dyDescent="0.25">
      <c r="B1122" t="s">
        <v>13</v>
      </c>
      <c r="C1122" t="s">
        <v>46</v>
      </c>
      <c r="D1122" t="s">
        <v>73</v>
      </c>
      <c r="E1122">
        <v>2030</v>
      </c>
      <c r="F1122" t="s">
        <v>92</v>
      </c>
      <c r="G1122" t="s">
        <v>17</v>
      </c>
      <c r="H1122" t="s">
        <v>18</v>
      </c>
      <c r="I1122" s="8">
        <v>55925.453200000004</v>
      </c>
      <c r="J1122" s="8">
        <v>55632.321535148098</v>
      </c>
      <c r="K1122" s="8">
        <f>I1122/1000000</f>
        <v>5.5925453200000003E-2</v>
      </c>
      <c r="L1122" s="8">
        <f>J1122/1000000</f>
        <v>5.5632321535148098E-2</v>
      </c>
      <c r="M1122" t="s">
        <v>19</v>
      </c>
    </row>
    <row r="1123" spans="2:13" x14ac:dyDescent="0.25">
      <c r="B1123" t="s">
        <v>13</v>
      </c>
      <c r="C1123" t="s">
        <v>46</v>
      </c>
      <c r="D1123" t="s">
        <v>70</v>
      </c>
      <c r="E1123">
        <v>2026</v>
      </c>
      <c r="F1123" t="s">
        <v>92</v>
      </c>
      <c r="G1123" t="s">
        <v>17</v>
      </c>
      <c r="H1123" t="s">
        <v>18</v>
      </c>
      <c r="I1123" s="8">
        <v>118258.3561</v>
      </c>
      <c r="J1123" s="8">
        <v>58000</v>
      </c>
      <c r="K1123" s="8">
        <f>I1123/1000000</f>
        <v>0.1182583561</v>
      </c>
      <c r="L1123" s="8">
        <f>J1123/1000000</f>
        <v>5.8000000000000003E-2</v>
      </c>
      <c r="M1123" t="s">
        <v>19</v>
      </c>
    </row>
    <row r="1124" spans="2:13" x14ac:dyDescent="0.25">
      <c r="B1124" t="s">
        <v>13</v>
      </c>
      <c r="C1124" t="s">
        <v>46</v>
      </c>
      <c r="D1124" t="s">
        <v>70</v>
      </c>
      <c r="E1124">
        <v>2027</v>
      </c>
      <c r="F1124" t="s">
        <v>92</v>
      </c>
      <c r="G1124" t="s">
        <v>17</v>
      </c>
      <c r="H1124" t="s">
        <v>18</v>
      </c>
      <c r="I1124" s="8">
        <v>77130.068400000004</v>
      </c>
      <c r="J1124" s="8">
        <v>56712.647298011303</v>
      </c>
      <c r="K1124" s="8">
        <f>I1124/1000000</f>
        <v>7.7130068400000001E-2</v>
      </c>
      <c r="L1124" s="8">
        <f>J1124/1000000</f>
        <v>5.6712647298011301E-2</v>
      </c>
      <c r="M1124" t="s">
        <v>19</v>
      </c>
    </row>
    <row r="1125" spans="2:13" x14ac:dyDescent="0.25">
      <c r="B1125" t="s">
        <v>13</v>
      </c>
      <c r="C1125" t="s">
        <v>46</v>
      </c>
      <c r="D1125" t="s">
        <v>70</v>
      </c>
      <c r="E1125">
        <v>2028</v>
      </c>
      <c r="F1125" t="s">
        <v>92</v>
      </c>
      <c r="G1125" t="s">
        <v>17</v>
      </c>
      <c r="H1125" t="s">
        <v>18</v>
      </c>
      <c r="I1125" s="8">
        <v>81703.797099999996</v>
      </c>
      <c r="J1125" s="8">
        <v>56713.469954776599</v>
      </c>
      <c r="K1125" s="8">
        <f>I1125/1000000</f>
        <v>8.1703797100000003E-2</v>
      </c>
      <c r="L1125" s="8">
        <f>J1125/1000000</f>
        <v>5.6713469954776601E-2</v>
      </c>
      <c r="M1125" t="s">
        <v>19</v>
      </c>
    </row>
    <row r="1126" spans="2:13" x14ac:dyDescent="0.25">
      <c r="B1126" t="s">
        <v>13</v>
      </c>
      <c r="C1126" t="s">
        <v>46</v>
      </c>
      <c r="D1126" t="s">
        <v>70</v>
      </c>
      <c r="E1126">
        <v>2029</v>
      </c>
      <c r="F1126" t="s">
        <v>92</v>
      </c>
      <c r="G1126" t="s">
        <v>17</v>
      </c>
      <c r="H1126" t="s">
        <v>18</v>
      </c>
      <c r="I1126" s="8">
        <v>90221.112399999998</v>
      </c>
      <c r="J1126" s="8">
        <v>57191.225968291001</v>
      </c>
      <c r="K1126" s="8">
        <f>I1126/1000000</f>
        <v>9.0221112399999998E-2</v>
      </c>
      <c r="L1126" s="8">
        <f>J1126/1000000</f>
        <v>5.7191225968291001E-2</v>
      </c>
      <c r="M1126" t="s">
        <v>19</v>
      </c>
    </row>
    <row r="1127" spans="2:13" x14ac:dyDescent="0.25">
      <c r="B1127" t="s">
        <v>13</v>
      </c>
      <c r="C1127" t="s">
        <v>46</v>
      </c>
      <c r="D1127" t="s">
        <v>70</v>
      </c>
      <c r="E1127">
        <v>2030</v>
      </c>
      <c r="F1127" t="s">
        <v>92</v>
      </c>
      <c r="G1127" t="s">
        <v>17</v>
      </c>
      <c r="H1127" t="s">
        <v>18</v>
      </c>
      <c r="I1127" s="8">
        <v>72449.715800000005</v>
      </c>
      <c r="J1127" s="8">
        <v>46265.837713045097</v>
      </c>
      <c r="K1127" s="8">
        <f>I1127/1000000</f>
        <v>7.2449715800000009E-2</v>
      </c>
      <c r="L1127" s="8">
        <f>J1127/1000000</f>
        <v>4.6265837713045099E-2</v>
      </c>
      <c r="M1127" t="s">
        <v>19</v>
      </c>
    </row>
    <row r="1128" spans="2:13" x14ac:dyDescent="0.25">
      <c r="B1128" t="s">
        <v>13</v>
      </c>
      <c r="C1128" t="s">
        <v>46</v>
      </c>
      <c r="D1128" t="s">
        <v>15</v>
      </c>
      <c r="E1128">
        <v>2026</v>
      </c>
      <c r="F1128" t="s">
        <v>92</v>
      </c>
      <c r="G1128" t="s">
        <v>17</v>
      </c>
      <c r="H1128" t="s">
        <v>18</v>
      </c>
      <c r="I1128" s="8">
        <v>73595.854699999996</v>
      </c>
      <c r="J1128" s="8">
        <v>15920</v>
      </c>
      <c r="K1128" s="8">
        <f>I1128/1000000</f>
        <v>7.3595854699999991E-2</v>
      </c>
      <c r="L1128" s="8">
        <f>J1128/1000000</f>
        <v>1.592E-2</v>
      </c>
      <c r="M1128" t="s">
        <v>19</v>
      </c>
    </row>
    <row r="1129" spans="2:13" x14ac:dyDescent="0.25">
      <c r="B1129" t="s">
        <v>13</v>
      </c>
      <c r="C1129" t="s">
        <v>46</v>
      </c>
      <c r="D1129" t="s">
        <v>15</v>
      </c>
      <c r="E1129">
        <v>2027</v>
      </c>
      <c r="F1129" t="s">
        <v>92</v>
      </c>
      <c r="G1129" t="s">
        <v>17</v>
      </c>
      <c r="H1129" t="s">
        <v>18</v>
      </c>
      <c r="I1129" s="8">
        <v>69915.412400000001</v>
      </c>
      <c r="J1129" s="8">
        <v>15123.8595789474</v>
      </c>
      <c r="K1129" s="8">
        <f>I1129/1000000</f>
        <v>6.9915412400000002E-2</v>
      </c>
      <c r="L1129" s="8">
        <f>J1129/1000000</f>
        <v>1.51238595789474E-2</v>
      </c>
      <c r="M1129" t="s">
        <v>19</v>
      </c>
    </row>
    <row r="1130" spans="2:13" x14ac:dyDescent="0.25">
      <c r="B1130" t="s">
        <v>13</v>
      </c>
      <c r="C1130" t="s">
        <v>46</v>
      </c>
      <c r="D1130" t="s">
        <v>15</v>
      </c>
      <c r="E1130">
        <v>2029</v>
      </c>
      <c r="F1130" t="s">
        <v>92</v>
      </c>
      <c r="G1130" t="s">
        <v>17</v>
      </c>
      <c r="H1130" t="s">
        <v>18</v>
      </c>
      <c r="I1130" s="8">
        <v>38938.629300000001</v>
      </c>
      <c r="J1130" s="8">
        <v>12957.9820631579</v>
      </c>
      <c r="K1130" s="8">
        <f>I1130/1000000</f>
        <v>3.8938629299999999E-2</v>
      </c>
      <c r="L1130" s="8">
        <f>J1130/1000000</f>
        <v>1.2957982063157901E-2</v>
      </c>
      <c r="M1130" t="s">
        <v>19</v>
      </c>
    </row>
    <row r="1131" spans="2:13" x14ac:dyDescent="0.25">
      <c r="B1131" t="s">
        <v>13</v>
      </c>
      <c r="C1131" t="s">
        <v>46</v>
      </c>
      <c r="D1131" t="s">
        <v>15</v>
      </c>
      <c r="E1131">
        <v>2030</v>
      </c>
      <c r="F1131" t="s">
        <v>92</v>
      </c>
      <c r="G1131" t="s">
        <v>17</v>
      </c>
      <c r="H1131" t="s">
        <v>18</v>
      </c>
      <c r="I1131" s="8">
        <v>35470.582600000002</v>
      </c>
      <c r="J1131" s="8">
        <v>11803.8868315789</v>
      </c>
      <c r="K1131" s="8">
        <f>I1131/1000000</f>
        <v>3.5470582600000002E-2</v>
      </c>
      <c r="L1131" s="8">
        <f>J1131/1000000</f>
        <v>1.1803886831578901E-2</v>
      </c>
      <c r="M1131" t="s">
        <v>19</v>
      </c>
    </row>
    <row r="1132" spans="2:13" x14ac:dyDescent="0.25">
      <c r="B1132" t="s">
        <v>13</v>
      </c>
      <c r="C1132" t="s">
        <v>46</v>
      </c>
      <c r="D1132" t="s">
        <v>100</v>
      </c>
      <c r="E1132">
        <v>2026</v>
      </c>
      <c r="F1132" t="s">
        <v>92</v>
      </c>
      <c r="G1132" t="s">
        <v>17</v>
      </c>
      <c r="H1132" t="s">
        <v>18</v>
      </c>
      <c r="I1132" s="8">
        <v>94322.061300000001</v>
      </c>
      <c r="J1132" s="8">
        <v>44300</v>
      </c>
      <c r="K1132" s="8">
        <f>I1132/1000000</f>
        <v>9.4322061299999996E-2</v>
      </c>
      <c r="L1132" s="8">
        <f>J1132/1000000</f>
        <v>4.4299999999999999E-2</v>
      </c>
      <c r="M1132" t="s">
        <v>19</v>
      </c>
    </row>
    <row r="1133" spans="2:13" x14ac:dyDescent="0.25">
      <c r="B1133" t="s">
        <v>13</v>
      </c>
      <c r="C1133" t="s">
        <v>46</v>
      </c>
      <c r="D1133" t="s">
        <v>100</v>
      </c>
      <c r="E1133">
        <v>2029</v>
      </c>
      <c r="F1133" t="s">
        <v>92</v>
      </c>
      <c r="G1133" t="s">
        <v>17</v>
      </c>
      <c r="H1133" t="s">
        <v>18</v>
      </c>
      <c r="I1133" s="8">
        <v>87661.2886</v>
      </c>
      <c r="J1133" s="8">
        <v>38641.320539428903</v>
      </c>
      <c r="K1133" s="8">
        <f>I1133/1000000</f>
        <v>8.7661288599999998E-2</v>
      </c>
      <c r="L1133" s="8">
        <f>J1133/1000000</f>
        <v>3.8641320539428904E-2</v>
      </c>
      <c r="M1133" t="s">
        <v>19</v>
      </c>
    </row>
    <row r="1134" spans="2:13" x14ac:dyDescent="0.25">
      <c r="B1134" t="s">
        <v>13</v>
      </c>
      <c r="C1134" t="s">
        <v>46</v>
      </c>
      <c r="D1134" t="s">
        <v>100</v>
      </c>
      <c r="E1134">
        <v>2030</v>
      </c>
      <c r="F1134" t="s">
        <v>92</v>
      </c>
      <c r="G1134" t="s">
        <v>17</v>
      </c>
      <c r="H1134" t="s">
        <v>18</v>
      </c>
      <c r="I1134" s="8">
        <v>80896.4274</v>
      </c>
      <c r="J1134" s="8">
        <v>35976.523237698602</v>
      </c>
      <c r="K1134" s="8">
        <f>I1134/1000000</f>
        <v>8.0896427399999998E-2</v>
      </c>
      <c r="L1134" s="8">
        <f>J1134/1000000</f>
        <v>3.59765232376986E-2</v>
      </c>
      <c r="M1134" t="s">
        <v>19</v>
      </c>
    </row>
    <row r="1135" spans="2:13" x14ac:dyDescent="0.25">
      <c r="B1135" t="s">
        <v>13</v>
      </c>
      <c r="C1135" t="s">
        <v>46</v>
      </c>
      <c r="D1135" t="s">
        <v>100</v>
      </c>
      <c r="E1135">
        <v>2027</v>
      </c>
      <c r="F1135" t="s">
        <v>92</v>
      </c>
      <c r="G1135" t="s">
        <v>17</v>
      </c>
      <c r="H1135" t="s">
        <v>18</v>
      </c>
      <c r="I1135" s="8">
        <v>91471.906099999993</v>
      </c>
      <c r="J1135" s="8">
        <v>42561.579207609197</v>
      </c>
      <c r="K1135" s="8">
        <f>I1135/1000000</f>
        <v>9.1471906099999986E-2</v>
      </c>
      <c r="L1135" s="8">
        <f>J1135/1000000</f>
        <v>4.2561579207609196E-2</v>
      </c>
      <c r="M1135" t="s">
        <v>19</v>
      </c>
    </row>
    <row r="1136" spans="2:13" x14ac:dyDescent="0.25">
      <c r="B1136" t="s">
        <v>13</v>
      </c>
      <c r="C1136" t="s">
        <v>46</v>
      </c>
      <c r="D1136" t="s">
        <v>100</v>
      </c>
      <c r="E1136">
        <v>2028</v>
      </c>
      <c r="F1136" t="s">
        <v>92</v>
      </c>
      <c r="G1136" t="s">
        <v>17</v>
      </c>
      <c r="H1136" t="s">
        <v>18</v>
      </c>
      <c r="I1136" s="8">
        <v>86730.483399999997</v>
      </c>
      <c r="J1136" s="8">
        <v>40745.521445147402</v>
      </c>
      <c r="K1136" s="8">
        <f>I1136/1000000</f>
        <v>8.6730483400000002E-2</v>
      </c>
      <c r="L1136" s="8">
        <f>J1136/1000000</f>
        <v>4.0745521445147405E-2</v>
      </c>
      <c r="M1136" t="s">
        <v>19</v>
      </c>
    </row>
    <row r="1137" spans="2:13" x14ac:dyDescent="0.25">
      <c r="B1137" t="s">
        <v>13</v>
      </c>
      <c r="C1137" t="s">
        <v>46</v>
      </c>
      <c r="D1137" t="s">
        <v>72</v>
      </c>
      <c r="E1137">
        <v>2026</v>
      </c>
      <c r="F1137" t="s">
        <v>92</v>
      </c>
      <c r="G1137" t="s">
        <v>17</v>
      </c>
      <c r="H1137" t="s">
        <v>18</v>
      </c>
      <c r="I1137" s="8">
        <v>192750.4669</v>
      </c>
      <c r="J1137" s="8">
        <v>67600</v>
      </c>
      <c r="K1137" s="8">
        <f>I1137/1000000</f>
        <v>0.1927504669</v>
      </c>
      <c r="L1137" s="8">
        <f>J1137/1000000</f>
        <v>6.7599999999999993E-2</v>
      </c>
      <c r="M1137" t="s">
        <v>19</v>
      </c>
    </row>
    <row r="1138" spans="2:13" x14ac:dyDescent="0.25">
      <c r="B1138" t="s">
        <v>13</v>
      </c>
      <c r="C1138" t="s">
        <v>46</v>
      </c>
      <c r="D1138" t="s">
        <v>72</v>
      </c>
      <c r="E1138">
        <v>2029</v>
      </c>
      <c r="F1138" t="s">
        <v>92</v>
      </c>
      <c r="G1138" t="s">
        <v>17</v>
      </c>
      <c r="H1138" t="s">
        <v>18</v>
      </c>
      <c r="I1138" s="8">
        <v>124244.6312</v>
      </c>
      <c r="J1138" s="8">
        <v>59500.839487136102</v>
      </c>
      <c r="K1138" s="8">
        <f>I1138/1000000</f>
        <v>0.1242446312</v>
      </c>
      <c r="L1138" s="8">
        <f>J1138/1000000</f>
        <v>5.9500839487136102E-2</v>
      </c>
      <c r="M1138" t="s">
        <v>19</v>
      </c>
    </row>
    <row r="1139" spans="2:13" x14ac:dyDescent="0.25">
      <c r="B1139" t="s">
        <v>13</v>
      </c>
      <c r="C1139" t="s">
        <v>46</v>
      </c>
      <c r="D1139" t="s">
        <v>72</v>
      </c>
      <c r="E1139">
        <v>2030</v>
      </c>
      <c r="F1139" t="s">
        <v>92</v>
      </c>
      <c r="G1139" t="s">
        <v>17</v>
      </c>
      <c r="H1139" t="s">
        <v>18</v>
      </c>
      <c r="I1139" s="8">
        <v>115650.8569</v>
      </c>
      <c r="J1139" s="8">
        <v>55385.275028388802</v>
      </c>
      <c r="K1139" s="8">
        <f>I1139/1000000</f>
        <v>0.1156508569</v>
      </c>
      <c r="L1139" s="8">
        <f>J1139/1000000</f>
        <v>5.5385275028388803E-2</v>
      </c>
      <c r="M1139" t="s">
        <v>19</v>
      </c>
    </row>
    <row r="1140" spans="2:13" x14ac:dyDescent="0.25">
      <c r="B1140" t="s">
        <v>13</v>
      </c>
      <c r="C1140" t="s">
        <v>46</v>
      </c>
      <c r="D1140" t="s">
        <v>72</v>
      </c>
      <c r="E1140">
        <v>2027</v>
      </c>
      <c r="F1140" t="s">
        <v>92</v>
      </c>
      <c r="G1140" t="s">
        <v>17</v>
      </c>
      <c r="H1140" t="s">
        <v>18</v>
      </c>
      <c r="I1140" s="8">
        <v>160628.19940000001</v>
      </c>
      <c r="J1140" s="8">
        <v>65526.737966123503</v>
      </c>
      <c r="K1140" s="8">
        <f>I1140/1000000</f>
        <v>0.1606281994</v>
      </c>
      <c r="L1140" s="8">
        <f>J1140/1000000</f>
        <v>6.5526737966123502E-2</v>
      </c>
      <c r="M1140" t="s">
        <v>19</v>
      </c>
    </row>
    <row r="1141" spans="2:13" x14ac:dyDescent="0.25">
      <c r="B1141" t="s">
        <v>13</v>
      </c>
      <c r="C1141" t="s">
        <v>46</v>
      </c>
      <c r="D1141" t="s">
        <v>72</v>
      </c>
      <c r="E1141">
        <v>2028</v>
      </c>
      <c r="F1141" t="s">
        <v>92</v>
      </c>
      <c r="G1141" t="s">
        <v>17</v>
      </c>
      <c r="H1141" t="s">
        <v>18</v>
      </c>
      <c r="I1141" s="8">
        <v>152957.3659</v>
      </c>
      <c r="J1141" s="8">
        <v>62735.895621764997</v>
      </c>
      <c r="K1141" s="8">
        <f>I1141/1000000</f>
        <v>0.1529573659</v>
      </c>
      <c r="L1141" s="8">
        <f>J1141/1000000</f>
        <v>6.2735895621765E-2</v>
      </c>
      <c r="M1141" t="s">
        <v>19</v>
      </c>
    </row>
    <row r="1142" spans="2:13" x14ac:dyDescent="0.25">
      <c r="B1142" t="s">
        <v>13</v>
      </c>
      <c r="C1142" t="s">
        <v>46</v>
      </c>
      <c r="D1142" t="s">
        <v>102</v>
      </c>
      <c r="E1142">
        <v>2028</v>
      </c>
      <c r="F1142" t="s">
        <v>92</v>
      </c>
      <c r="G1142" t="s">
        <v>17</v>
      </c>
      <c r="H1142" t="s">
        <v>18</v>
      </c>
      <c r="I1142" s="8">
        <v>3378.9375</v>
      </c>
      <c r="J1142" s="8">
        <v>9989.6419105216992</v>
      </c>
      <c r="K1142" s="8">
        <f>I1142/1000000</f>
        <v>3.3789375E-3</v>
      </c>
      <c r="L1142" s="8">
        <f>J1142/1000000</f>
        <v>9.9896419105216985E-3</v>
      </c>
      <c r="M1142" t="s">
        <v>19</v>
      </c>
    </row>
    <row r="1143" spans="2:13" x14ac:dyDescent="0.25">
      <c r="B1143" t="s">
        <v>13</v>
      </c>
      <c r="C1143" t="s">
        <v>46</v>
      </c>
      <c r="D1143" t="s">
        <v>102</v>
      </c>
      <c r="E1143">
        <v>2029</v>
      </c>
      <c r="F1143" t="s">
        <v>92</v>
      </c>
      <c r="G1143" t="s">
        <v>17</v>
      </c>
      <c r="H1143" t="s">
        <v>18</v>
      </c>
      <c r="I1143" s="8">
        <v>3405.6723999999999</v>
      </c>
      <c r="J1143" s="8">
        <v>10068.6823006868</v>
      </c>
      <c r="K1143" s="8">
        <f>I1143/1000000</f>
        <v>3.4056723999999999E-3</v>
      </c>
      <c r="L1143" s="8">
        <f>J1143/1000000</f>
        <v>1.0068682300686799E-2</v>
      </c>
      <c r="M1143" t="s">
        <v>19</v>
      </c>
    </row>
    <row r="1144" spans="2:13" x14ac:dyDescent="0.25">
      <c r="B1144" t="s">
        <v>13</v>
      </c>
      <c r="C1144" t="s">
        <v>46</v>
      </c>
      <c r="D1144" t="s">
        <v>102</v>
      </c>
      <c r="E1144">
        <v>2030</v>
      </c>
      <c r="F1144" t="s">
        <v>92</v>
      </c>
      <c r="G1144" t="s">
        <v>17</v>
      </c>
      <c r="H1144" t="s">
        <v>18</v>
      </c>
      <c r="I1144" s="8">
        <v>3405.5778</v>
      </c>
      <c r="J1144" s="8">
        <v>10068.4025426471</v>
      </c>
      <c r="K1144" s="8">
        <f>I1144/1000000</f>
        <v>3.4055778000000002E-3</v>
      </c>
      <c r="L1144" s="8">
        <f>J1144/1000000</f>
        <v>1.00684025426471E-2</v>
      </c>
      <c r="M1144" t="s">
        <v>19</v>
      </c>
    </row>
    <row r="1145" spans="2:13" x14ac:dyDescent="0.25">
      <c r="B1145" t="s">
        <v>13</v>
      </c>
      <c r="C1145" t="s">
        <v>46</v>
      </c>
      <c r="D1145" t="s">
        <v>102</v>
      </c>
      <c r="E1145">
        <v>2027</v>
      </c>
      <c r="F1145" t="s">
        <v>92</v>
      </c>
      <c r="G1145" t="s">
        <v>17</v>
      </c>
      <c r="H1145" t="s">
        <v>18</v>
      </c>
      <c r="I1145" s="8">
        <v>3091.6635999999999</v>
      </c>
      <c r="J1145" s="8">
        <v>9185.9248025037996</v>
      </c>
      <c r="K1145" s="8">
        <f>I1145/1000000</f>
        <v>3.0916635999999999E-3</v>
      </c>
      <c r="L1145" s="8">
        <f>J1145/1000000</f>
        <v>9.1859248025037993E-3</v>
      </c>
      <c r="M1145" t="s">
        <v>19</v>
      </c>
    </row>
    <row r="1146" spans="2:13" x14ac:dyDescent="0.25">
      <c r="B1146" t="s">
        <v>13</v>
      </c>
      <c r="C1146" t="s">
        <v>46</v>
      </c>
      <c r="D1146" t="s">
        <v>15</v>
      </c>
      <c r="E1146">
        <v>2028</v>
      </c>
      <c r="F1146" t="s">
        <v>92</v>
      </c>
      <c r="G1146" t="s">
        <v>17</v>
      </c>
      <c r="H1146" t="s">
        <v>18</v>
      </c>
      <c r="I1146" s="8">
        <v>42245.4061</v>
      </c>
      <c r="J1146" s="8">
        <v>14058.409989473699</v>
      </c>
      <c r="K1146" s="8">
        <f>I1146/1000000</f>
        <v>4.2245406100000001E-2</v>
      </c>
      <c r="L1146" s="8">
        <f>J1146/1000000</f>
        <v>1.40584099894737E-2</v>
      </c>
      <c r="M1146" t="s">
        <v>19</v>
      </c>
    </row>
    <row r="1147" spans="2:13" x14ac:dyDescent="0.25">
      <c r="B1147" t="s">
        <v>13</v>
      </c>
      <c r="C1147" t="s">
        <v>46</v>
      </c>
      <c r="D1147" t="s">
        <v>102</v>
      </c>
      <c r="E1147">
        <v>2026</v>
      </c>
      <c r="F1147" t="s">
        <v>92</v>
      </c>
      <c r="G1147" t="s">
        <v>17</v>
      </c>
      <c r="H1147" t="s">
        <v>18</v>
      </c>
      <c r="I1147" s="8">
        <v>2852.6673000000001</v>
      </c>
      <c r="J1147" s="8">
        <v>8500</v>
      </c>
      <c r="K1147" s="8">
        <f>I1147/1000000</f>
        <v>2.8526673000000002E-3</v>
      </c>
      <c r="L1147" s="8">
        <f>J1147/1000000</f>
        <v>8.5000000000000006E-3</v>
      </c>
      <c r="M1147" t="s">
        <v>19</v>
      </c>
    </row>
    <row r="1148" spans="2:13" x14ac:dyDescent="0.25">
      <c r="B1148" t="s">
        <v>13</v>
      </c>
      <c r="C1148" t="s">
        <v>14</v>
      </c>
      <c r="D1148" t="s">
        <v>52</v>
      </c>
      <c r="E1148">
        <v>2028</v>
      </c>
      <c r="F1148" t="s">
        <v>92</v>
      </c>
      <c r="G1148" t="s">
        <v>17</v>
      </c>
      <c r="H1148" t="s">
        <v>18</v>
      </c>
      <c r="I1148" s="8">
        <v>253674.84969999999</v>
      </c>
      <c r="J1148" s="8">
        <v>230288.416875</v>
      </c>
      <c r="K1148" s="8">
        <f>I1148/1000000</f>
        <v>0.25367484969999998</v>
      </c>
      <c r="L1148" s="8">
        <f>J1148/1000000</f>
        <v>0.23028841687499998</v>
      </c>
      <c r="M1148" t="s">
        <v>19</v>
      </c>
    </row>
    <row r="1149" spans="2:13" x14ac:dyDescent="0.25">
      <c r="B1149" t="s">
        <v>13</v>
      </c>
      <c r="C1149" t="s">
        <v>46</v>
      </c>
      <c r="D1149" t="s">
        <v>121</v>
      </c>
      <c r="E1149">
        <v>2026</v>
      </c>
      <c r="F1149" t="s">
        <v>48</v>
      </c>
      <c r="G1149" t="s">
        <v>17</v>
      </c>
      <c r="H1149" t="s">
        <v>18</v>
      </c>
      <c r="I1149" s="8">
        <v>83188.226999999999</v>
      </c>
      <c r="J1149" s="8">
        <v>164563.97253638401</v>
      </c>
      <c r="K1149" s="8">
        <f>I1149/1000000</f>
        <v>8.3188227000000003E-2</v>
      </c>
      <c r="L1149" s="8">
        <f>J1149/1000000</f>
        <v>0.16456397253638402</v>
      </c>
      <c r="M1149" t="s">
        <v>19</v>
      </c>
    </row>
    <row r="1150" spans="2:13" x14ac:dyDescent="0.25">
      <c r="B1150" t="s">
        <v>13</v>
      </c>
      <c r="C1150" t="s">
        <v>46</v>
      </c>
      <c r="D1150" t="s">
        <v>52</v>
      </c>
      <c r="E1150">
        <v>2029</v>
      </c>
      <c r="F1150" t="s">
        <v>48</v>
      </c>
      <c r="G1150" t="s">
        <v>17</v>
      </c>
      <c r="H1150" t="s">
        <v>18</v>
      </c>
      <c r="I1150" s="8">
        <v>257601.3958</v>
      </c>
      <c r="J1150" s="8">
        <v>203609.70133780499</v>
      </c>
      <c r="K1150" s="8">
        <f>I1150/1000000</f>
        <v>0.25760139580000002</v>
      </c>
      <c r="L1150" s="8">
        <f>J1150/1000000</f>
        <v>0.20360970133780498</v>
      </c>
      <c r="M1150" t="s">
        <v>19</v>
      </c>
    </row>
    <row r="1151" spans="2:13" x14ac:dyDescent="0.25">
      <c r="B1151" t="s">
        <v>13</v>
      </c>
      <c r="C1151" t="s">
        <v>46</v>
      </c>
      <c r="D1151" t="s">
        <v>52</v>
      </c>
      <c r="E1151">
        <v>2030</v>
      </c>
      <c r="F1151" t="s">
        <v>48</v>
      </c>
      <c r="G1151" t="s">
        <v>17</v>
      </c>
      <c r="H1151" t="s">
        <v>18</v>
      </c>
      <c r="I1151" s="8">
        <v>261055.3487</v>
      </c>
      <c r="J1151" s="8">
        <v>204510.145082851</v>
      </c>
      <c r="K1151" s="8">
        <f>I1151/1000000</f>
        <v>0.26105534870000002</v>
      </c>
      <c r="L1151" s="8">
        <f>J1151/1000000</f>
        <v>0.20451014508285101</v>
      </c>
      <c r="M1151" t="s">
        <v>19</v>
      </c>
    </row>
    <row r="1152" spans="2:13" x14ac:dyDescent="0.25">
      <c r="B1152" t="s">
        <v>13</v>
      </c>
      <c r="C1152" t="s">
        <v>46</v>
      </c>
      <c r="D1152" t="s">
        <v>69</v>
      </c>
      <c r="E1152">
        <v>2028</v>
      </c>
      <c r="F1152" t="s">
        <v>48</v>
      </c>
      <c r="G1152" t="s">
        <v>17</v>
      </c>
      <c r="H1152" t="s">
        <v>18</v>
      </c>
      <c r="I1152" s="8">
        <v>1433548.3970999999</v>
      </c>
      <c r="J1152" s="8">
        <v>546469.97685867804</v>
      </c>
      <c r="K1152" s="8">
        <f>I1152/1000000</f>
        <v>1.4335483971</v>
      </c>
      <c r="L1152" s="8">
        <f>J1152/1000000</f>
        <v>0.54646997685867804</v>
      </c>
      <c r="M1152" t="s">
        <v>19</v>
      </c>
    </row>
    <row r="1153" spans="2:13" x14ac:dyDescent="0.25">
      <c r="B1153" t="s">
        <v>13</v>
      </c>
      <c r="C1153" t="s">
        <v>46</v>
      </c>
      <c r="D1153" t="s">
        <v>69</v>
      </c>
      <c r="E1153">
        <v>2030</v>
      </c>
      <c r="F1153" t="s">
        <v>48</v>
      </c>
      <c r="G1153" t="s">
        <v>17</v>
      </c>
      <c r="H1153" t="s">
        <v>18</v>
      </c>
      <c r="I1153" s="8">
        <v>772392.93099999998</v>
      </c>
      <c r="J1153" s="8">
        <v>336664.66487034003</v>
      </c>
      <c r="K1153" s="8">
        <f>I1153/1000000</f>
        <v>0.77239293099999995</v>
      </c>
      <c r="L1153" s="8">
        <f>J1153/1000000</f>
        <v>0.33666466487034002</v>
      </c>
      <c r="M1153" t="s">
        <v>19</v>
      </c>
    </row>
    <row r="1154" spans="2:13" x14ac:dyDescent="0.25">
      <c r="B1154" t="s">
        <v>13</v>
      </c>
      <c r="C1154" t="s">
        <v>46</v>
      </c>
      <c r="D1154" t="s">
        <v>69</v>
      </c>
      <c r="E1154">
        <v>2029</v>
      </c>
      <c r="F1154" t="s">
        <v>48</v>
      </c>
      <c r="G1154" t="s">
        <v>17</v>
      </c>
      <c r="H1154" t="s">
        <v>18</v>
      </c>
      <c r="I1154" s="8">
        <v>761524.74739999999</v>
      </c>
      <c r="J1154" s="8">
        <v>332702.15606474498</v>
      </c>
      <c r="K1154" s="8">
        <f>I1154/1000000</f>
        <v>0.76152474739999998</v>
      </c>
      <c r="L1154" s="8">
        <f>J1154/1000000</f>
        <v>0.33270215606474496</v>
      </c>
      <c r="M1154" t="s">
        <v>19</v>
      </c>
    </row>
    <row r="1155" spans="2:13" x14ac:dyDescent="0.25">
      <c r="B1155" t="s">
        <v>13</v>
      </c>
      <c r="C1155" t="s">
        <v>46</v>
      </c>
      <c r="D1155" t="s">
        <v>74</v>
      </c>
      <c r="E1155">
        <v>2029</v>
      </c>
      <c r="F1155" t="s">
        <v>48</v>
      </c>
      <c r="G1155" t="s">
        <v>17</v>
      </c>
      <c r="H1155" t="s">
        <v>18</v>
      </c>
      <c r="I1155" s="8">
        <v>254700.74179999999</v>
      </c>
      <c r="J1155" s="8">
        <v>169558.772898091</v>
      </c>
      <c r="K1155" s="8">
        <f>I1155/1000000</f>
        <v>0.25470074179999996</v>
      </c>
      <c r="L1155" s="8">
        <f>J1155/1000000</f>
        <v>0.16955877289809101</v>
      </c>
      <c r="M1155" t="s">
        <v>19</v>
      </c>
    </row>
    <row r="1156" spans="2:13" x14ac:dyDescent="0.25">
      <c r="B1156" t="s">
        <v>13</v>
      </c>
      <c r="C1156" t="s">
        <v>46</v>
      </c>
      <c r="D1156" t="s">
        <v>74</v>
      </c>
      <c r="E1156">
        <v>2030</v>
      </c>
      <c r="F1156" t="s">
        <v>48</v>
      </c>
      <c r="G1156" t="s">
        <v>17</v>
      </c>
      <c r="H1156" t="s">
        <v>18</v>
      </c>
      <c r="I1156" s="8">
        <v>253982.0546</v>
      </c>
      <c r="J1156" s="8">
        <v>169680.394460813</v>
      </c>
      <c r="K1156" s="8">
        <f>I1156/1000000</f>
        <v>0.25398205460000001</v>
      </c>
      <c r="L1156" s="8">
        <f>J1156/1000000</f>
        <v>0.16968039446081298</v>
      </c>
      <c r="M1156" t="s">
        <v>19</v>
      </c>
    </row>
    <row r="1157" spans="2:13" x14ac:dyDescent="0.25">
      <c r="B1157" t="s">
        <v>13</v>
      </c>
      <c r="C1157" t="s">
        <v>46</v>
      </c>
      <c r="D1157" t="s">
        <v>74</v>
      </c>
      <c r="E1157">
        <v>2026</v>
      </c>
      <c r="F1157" t="s">
        <v>48</v>
      </c>
      <c r="G1157" t="s">
        <v>17</v>
      </c>
      <c r="H1157" t="s">
        <v>18</v>
      </c>
      <c r="I1157" s="8">
        <v>278515.88290000003</v>
      </c>
      <c r="J1157" s="8">
        <v>164329.11177565699</v>
      </c>
      <c r="K1157" s="8">
        <f>I1157/1000000</f>
        <v>0.27851588290000001</v>
      </c>
      <c r="L1157" s="8">
        <f>J1157/1000000</f>
        <v>0.16432911177565698</v>
      </c>
      <c r="M1157" t="s">
        <v>19</v>
      </c>
    </row>
    <row r="1158" spans="2:13" x14ac:dyDescent="0.25">
      <c r="B1158" t="s">
        <v>13</v>
      </c>
      <c r="C1158" t="s">
        <v>46</v>
      </c>
      <c r="D1158" t="s">
        <v>74</v>
      </c>
      <c r="E1158">
        <v>2027</v>
      </c>
      <c r="F1158" t="s">
        <v>48</v>
      </c>
      <c r="G1158" t="s">
        <v>17</v>
      </c>
      <c r="H1158" t="s">
        <v>18</v>
      </c>
      <c r="I1158" s="8">
        <v>280644.27710000001</v>
      </c>
      <c r="J1158" s="8">
        <v>168960.99194823901</v>
      </c>
      <c r="K1158" s="8">
        <f>I1158/1000000</f>
        <v>0.28064427710000001</v>
      </c>
      <c r="L1158" s="8">
        <f>J1158/1000000</f>
        <v>0.16896099194823902</v>
      </c>
      <c r="M1158" t="s">
        <v>19</v>
      </c>
    </row>
    <row r="1159" spans="2:13" x14ac:dyDescent="0.25">
      <c r="B1159" t="s">
        <v>13</v>
      </c>
      <c r="C1159" t="s">
        <v>46</v>
      </c>
      <c r="D1159" t="s">
        <v>74</v>
      </c>
      <c r="E1159">
        <v>2028</v>
      </c>
      <c r="F1159" t="s">
        <v>48</v>
      </c>
      <c r="G1159" t="s">
        <v>17</v>
      </c>
      <c r="H1159" t="s">
        <v>18</v>
      </c>
      <c r="I1159" s="8">
        <v>259923.27729999999</v>
      </c>
      <c r="J1159" s="8">
        <v>168705.319521475</v>
      </c>
      <c r="K1159" s="8">
        <f>I1159/1000000</f>
        <v>0.25992327729999998</v>
      </c>
      <c r="L1159" s="8">
        <f>J1159/1000000</f>
        <v>0.16870531952147499</v>
      </c>
      <c r="M1159" t="s">
        <v>19</v>
      </c>
    </row>
    <row r="1160" spans="2:13" x14ac:dyDescent="0.25">
      <c r="B1160" t="s">
        <v>13</v>
      </c>
      <c r="C1160" t="s">
        <v>46</v>
      </c>
      <c r="D1160" t="s">
        <v>73</v>
      </c>
      <c r="E1160">
        <v>2026</v>
      </c>
      <c r="F1160" t="s">
        <v>48</v>
      </c>
      <c r="G1160" t="s">
        <v>17</v>
      </c>
      <c r="H1160" t="s">
        <v>18</v>
      </c>
      <c r="I1160" s="8">
        <v>404592.46730000002</v>
      </c>
      <c r="J1160" s="8">
        <v>423550.609661397</v>
      </c>
      <c r="K1160" s="8">
        <f>I1160/1000000</f>
        <v>0.40459246730000004</v>
      </c>
      <c r="L1160" s="8">
        <f>J1160/1000000</f>
        <v>0.42355060966139702</v>
      </c>
      <c r="M1160" t="s">
        <v>19</v>
      </c>
    </row>
    <row r="1161" spans="2:13" x14ac:dyDescent="0.25">
      <c r="B1161" t="s">
        <v>13</v>
      </c>
      <c r="C1161" t="s">
        <v>46</v>
      </c>
      <c r="D1161" t="s">
        <v>73</v>
      </c>
      <c r="E1161">
        <v>2027</v>
      </c>
      <c r="F1161" t="s">
        <v>48</v>
      </c>
      <c r="G1161" t="s">
        <v>17</v>
      </c>
      <c r="H1161" t="s">
        <v>18</v>
      </c>
      <c r="I1161" s="8">
        <v>168736.17540000001</v>
      </c>
      <c r="J1161" s="8">
        <v>176000</v>
      </c>
      <c r="K1161" s="8">
        <f>I1161/1000000</f>
        <v>0.16873617539999999</v>
      </c>
      <c r="L1161" s="8">
        <f>J1161/1000000</f>
        <v>0.17599999999999999</v>
      </c>
      <c r="M1161" t="s">
        <v>19</v>
      </c>
    </row>
    <row r="1162" spans="2:13" x14ac:dyDescent="0.25">
      <c r="B1162" t="s">
        <v>13</v>
      </c>
      <c r="C1162" t="s">
        <v>46</v>
      </c>
      <c r="D1162" t="s">
        <v>70</v>
      </c>
      <c r="E1162">
        <v>2026</v>
      </c>
      <c r="F1162" t="s">
        <v>48</v>
      </c>
      <c r="G1162" t="s">
        <v>17</v>
      </c>
      <c r="H1162" t="s">
        <v>18</v>
      </c>
      <c r="I1162" s="8">
        <v>307508.7144</v>
      </c>
      <c r="J1162" s="8">
        <v>178173.11199999999</v>
      </c>
      <c r="K1162" s="8">
        <f>I1162/1000000</f>
        <v>0.30750871439999999</v>
      </c>
      <c r="L1162" s="8">
        <f>J1162/1000000</f>
        <v>0.17817311199999999</v>
      </c>
      <c r="M1162" t="s">
        <v>19</v>
      </c>
    </row>
    <row r="1163" spans="2:13" x14ac:dyDescent="0.25">
      <c r="B1163" t="s">
        <v>13</v>
      </c>
      <c r="C1163" t="s">
        <v>46</v>
      </c>
      <c r="D1163" t="s">
        <v>70</v>
      </c>
      <c r="E1163">
        <v>2027</v>
      </c>
      <c r="F1163" t="s">
        <v>48</v>
      </c>
      <c r="G1163" t="s">
        <v>17</v>
      </c>
      <c r="H1163" t="s">
        <v>18</v>
      </c>
      <c r="I1163" s="8">
        <v>116040.42080000001</v>
      </c>
      <c r="J1163" s="8">
        <v>83066.666666666701</v>
      </c>
      <c r="K1163" s="8">
        <f>I1163/1000000</f>
        <v>0.1160404208</v>
      </c>
      <c r="L1163" s="8">
        <f>J1163/1000000</f>
        <v>8.3066666666666705E-2</v>
      </c>
      <c r="M1163" t="s">
        <v>19</v>
      </c>
    </row>
    <row r="1164" spans="2:13" x14ac:dyDescent="0.25">
      <c r="B1164" t="s">
        <v>13</v>
      </c>
      <c r="C1164" t="s">
        <v>46</v>
      </c>
      <c r="D1164" t="s">
        <v>15</v>
      </c>
      <c r="E1164">
        <v>2026</v>
      </c>
      <c r="F1164" t="s">
        <v>48</v>
      </c>
      <c r="G1164" t="s">
        <v>17</v>
      </c>
      <c r="H1164" t="s">
        <v>18</v>
      </c>
      <c r="I1164" s="8">
        <v>184509.5582</v>
      </c>
      <c r="J1164" s="8">
        <v>39890</v>
      </c>
      <c r="K1164" s="8">
        <f>I1164/1000000</f>
        <v>0.18450955820000001</v>
      </c>
      <c r="L1164" s="8">
        <f>J1164/1000000</f>
        <v>3.9890000000000002E-2</v>
      </c>
      <c r="M1164" t="s">
        <v>19</v>
      </c>
    </row>
    <row r="1165" spans="2:13" x14ac:dyDescent="0.25">
      <c r="B1165" t="s">
        <v>13</v>
      </c>
      <c r="C1165" t="s">
        <v>46</v>
      </c>
      <c r="D1165" t="s">
        <v>15</v>
      </c>
      <c r="E1165">
        <v>2027</v>
      </c>
      <c r="F1165" t="s">
        <v>48</v>
      </c>
      <c r="G1165" t="s">
        <v>17</v>
      </c>
      <c r="H1165" t="s">
        <v>18</v>
      </c>
      <c r="I1165" s="8">
        <v>233448.17430000001</v>
      </c>
      <c r="J1165" s="8">
        <v>50469.817499999997</v>
      </c>
      <c r="K1165" s="8">
        <f>I1165/1000000</f>
        <v>0.23344817430000001</v>
      </c>
      <c r="L1165" s="8">
        <f>J1165/1000000</f>
        <v>5.04698175E-2</v>
      </c>
      <c r="M1165" t="s">
        <v>19</v>
      </c>
    </row>
    <row r="1166" spans="2:13" x14ac:dyDescent="0.25">
      <c r="B1166" t="s">
        <v>13</v>
      </c>
      <c r="C1166" t="s">
        <v>46</v>
      </c>
      <c r="D1166" t="s">
        <v>15</v>
      </c>
      <c r="E1166">
        <v>2029</v>
      </c>
      <c r="F1166" t="s">
        <v>48</v>
      </c>
      <c r="G1166" t="s">
        <v>17</v>
      </c>
      <c r="H1166" t="s">
        <v>18</v>
      </c>
      <c r="I1166" s="8">
        <v>154164.4865</v>
      </c>
      <c r="J1166" s="8">
        <v>51257.917500000003</v>
      </c>
      <c r="K1166" s="8">
        <f>I1166/1000000</f>
        <v>0.1541644865</v>
      </c>
      <c r="L1166" s="8">
        <f>J1166/1000000</f>
        <v>5.12579175E-2</v>
      </c>
      <c r="M1166" t="s">
        <v>19</v>
      </c>
    </row>
    <row r="1167" spans="2:13" x14ac:dyDescent="0.25">
      <c r="B1167" t="s">
        <v>13</v>
      </c>
      <c r="C1167" t="s">
        <v>46</v>
      </c>
      <c r="D1167" t="s">
        <v>15</v>
      </c>
      <c r="E1167">
        <v>2030</v>
      </c>
      <c r="F1167" t="s">
        <v>48</v>
      </c>
      <c r="G1167" t="s">
        <v>17</v>
      </c>
      <c r="H1167" t="s">
        <v>18</v>
      </c>
      <c r="I1167" s="8">
        <v>155602.68659999999</v>
      </c>
      <c r="J1167" s="8">
        <v>51736.102500000001</v>
      </c>
      <c r="K1167" s="8">
        <f>I1167/1000000</f>
        <v>0.15560268659999998</v>
      </c>
      <c r="L1167" s="8">
        <f>J1167/1000000</f>
        <v>5.1736102499999999E-2</v>
      </c>
      <c r="M1167" t="s">
        <v>19</v>
      </c>
    </row>
    <row r="1168" spans="2:13" x14ac:dyDescent="0.25">
      <c r="B1168" t="s">
        <v>13</v>
      </c>
      <c r="C1168" t="s">
        <v>46</v>
      </c>
      <c r="D1168" t="s">
        <v>100</v>
      </c>
      <c r="E1168">
        <v>2029</v>
      </c>
      <c r="F1168" t="s">
        <v>48</v>
      </c>
      <c r="G1168" t="s">
        <v>17</v>
      </c>
      <c r="H1168" t="s">
        <v>18</v>
      </c>
      <c r="I1168" s="8">
        <v>706750.19590000005</v>
      </c>
      <c r="J1168" s="8">
        <v>311537.29635371797</v>
      </c>
      <c r="K1168" s="8">
        <f>I1168/1000000</f>
        <v>0.7067501959000001</v>
      </c>
      <c r="L1168" s="8">
        <f>J1168/1000000</f>
        <v>0.31153729635371796</v>
      </c>
      <c r="M1168" t="s">
        <v>19</v>
      </c>
    </row>
    <row r="1169" spans="2:13" x14ac:dyDescent="0.25">
      <c r="B1169" t="s">
        <v>13</v>
      </c>
      <c r="C1169" t="s">
        <v>46</v>
      </c>
      <c r="D1169" t="s">
        <v>100</v>
      </c>
      <c r="E1169">
        <v>2030</v>
      </c>
      <c r="F1169" t="s">
        <v>48</v>
      </c>
      <c r="G1169" t="s">
        <v>17</v>
      </c>
      <c r="H1169" t="s">
        <v>18</v>
      </c>
      <c r="I1169" s="8">
        <v>703323.17050000001</v>
      </c>
      <c r="J1169" s="8">
        <v>312784.176103901</v>
      </c>
      <c r="K1169" s="8">
        <f>I1169/1000000</f>
        <v>0.70332317050000004</v>
      </c>
      <c r="L1169" s="8">
        <f>J1169/1000000</f>
        <v>0.31278417610390102</v>
      </c>
      <c r="M1169" t="s">
        <v>19</v>
      </c>
    </row>
    <row r="1170" spans="2:13" x14ac:dyDescent="0.25">
      <c r="B1170" t="s">
        <v>13</v>
      </c>
      <c r="C1170" t="s">
        <v>46</v>
      </c>
      <c r="D1170" t="s">
        <v>100</v>
      </c>
      <c r="E1170">
        <v>2026</v>
      </c>
      <c r="F1170" t="s">
        <v>48</v>
      </c>
      <c r="G1170" t="s">
        <v>17</v>
      </c>
      <c r="H1170" t="s">
        <v>18</v>
      </c>
      <c r="I1170" s="8">
        <v>628170.37749999994</v>
      </c>
      <c r="J1170" s="8">
        <v>295031.16610743297</v>
      </c>
      <c r="K1170" s="8">
        <f>I1170/1000000</f>
        <v>0.62817037749999993</v>
      </c>
      <c r="L1170" s="8">
        <f>J1170/1000000</f>
        <v>0.29503116610743296</v>
      </c>
      <c r="M1170" t="s">
        <v>19</v>
      </c>
    </row>
    <row r="1171" spans="2:13" x14ac:dyDescent="0.25">
      <c r="B1171" t="s">
        <v>13</v>
      </c>
      <c r="C1171" t="s">
        <v>46</v>
      </c>
      <c r="D1171" t="s">
        <v>100</v>
      </c>
      <c r="E1171">
        <v>2027</v>
      </c>
      <c r="F1171" t="s">
        <v>48</v>
      </c>
      <c r="G1171" t="s">
        <v>17</v>
      </c>
      <c r="H1171" t="s">
        <v>18</v>
      </c>
      <c r="I1171" s="8">
        <v>650257.63540000003</v>
      </c>
      <c r="J1171" s="8">
        <v>302562.75431335397</v>
      </c>
      <c r="K1171" s="8">
        <f>I1171/1000000</f>
        <v>0.65025763540000003</v>
      </c>
      <c r="L1171" s="8">
        <f>J1171/1000000</f>
        <v>0.302562754313354</v>
      </c>
      <c r="M1171" t="s">
        <v>19</v>
      </c>
    </row>
    <row r="1172" spans="2:13" x14ac:dyDescent="0.25">
      <c r="B1172" t="s">
        <v>13</v>
      </c>
      <c r="C1172" t="s">
        <v>46</v>
      </c>
      <c r="D1172" t="s">
        <v>100</v>
      </c>
      <c r="E1172">
        <v>2028</v>
      </c>
      <c r="F1172" t="s">
        <v>48</v>
      </c>
      <c r="G1172" t="s">
        <v>17</v>
      </c>
      <c r="H1172" t="s">
        <v>18</v>
      </c>
      <c r="I1172" s="8">
        <v>653680.28749999998</v>
      </c>
      <c r="J1172" s="8">
        <v>307095.53458203498</v>
      </c>
      <c r="K1172" s="8">
        <f>I1172/1000000</f>
        <v>0.65368028749999996</v>
      </c>
      <c r="L1172" s="8">
        <f>J1172/1000000</f>
        <v>0.30709553458203498</v>
      </c>
      <c r="M1172" t="s">
        <v>19</v>
      </c>
    </row>
    <row r="1173" spans="2:13" x14ac:dyDescent="0.25">
      <c r="B1173" t="s">
        <v>13</v>
      </c>
      <c r="C1173" t="s">
        <v>46</v>
      </c>
      <c r="D1173" t="s">
        <v>72</v>
      </c>
      <c r="E1173">
        <v>2030</v>
      </c>
      <c r="F1173" t="s">
        <v>48</v>
      </c>
      <c r="G1173" t="s">
        <v>17</v>
      </c>
      <c r="H1173" t="s">
        <v>18</v>
      </c>
      <c r="I1173" s="8">
        <v>797109.17310000001</v>
      </c>
      <c r="J1173" s="8">
        <v>370527.16384777799</v>
      </c>
      <c r="K1173" s="8">
        <f>I1173/1000000</f>
        <v>0.79710917310000007</v>
      </c>
      <c r="L1173" s="8">
        <f>J1173/1000000</f>
        <v>0.37052716384777801</v>
      </c>
      <c r="M1173" t="s">
        <v>19</v>
      </c>
    </row>
    <row r="1174" spans="2:13" x14ac:dyDescent="0.25">
      <c r="B1174" t="s">
        <v>13</v>
      </c>
      <c r="C1174" t="s">
        <v>46</v>
      </c>
      <c r="D1174" t="s">
        <v>72</v>
      </c>
      <c r="E1174">
        <v>2026</v>
      </c>
      <c r="F1174" t="s">
        <v>48</v>
      </c>
      <c r="G1174" t="s">
        <v>17</v>
      </c>
      <c r="H1174" t="s">
        <v>18</v>
      </c>
      <c r="I1174" s="8">
        <v>1266214.1462000001</v>
      </c>
      <c r="J1174" s="8">
        <v>443509.97675903997</v>
      </c>
      <c r="K1174" s="8">
        <f>I1174/1000000</f>
        <v>1.2662141462000001</v>
      </c>
      <c r="L1174" s="8">
        <f>J1174/1000000</f>
        <v>0.44350997675903997</v>
      </c>
      <c r="M1174" t="s">
        <v>19</v>
      </c>
    </row>
    <row r="1175" spans="2:13" x14ac:dyDescent="0.25">
      <c r="B1175" t="s">
        <v>13</v>
      </c>
      <c r="C1175" t="s">
        <v>46</v>
      </c>
      <c r="D1175" t="s">
        <v>72</v>
      </c>
      <c r="E1175">
        <v>2027</v>
      </c>
      <c r="F1175" t="s">
        <v>48</v>
      </c>
      <c r="G1175" t="s">
        <v>17</v>
      </c>
      <c r="H1175" t="s">
        <v>18</v>
      </c>
      <c r="I1175" s="8">
        <v>1113836.5517</v>
      </c>
      <c r="J1175" s="8">
        <v>453704.09217336</v>
      </c>
      <c r="K1175" s="8">
        <f>I1175/1000000</f>
        <v>1.1138365517</v>
      </c>
      <c r="L1175" s="8">
        <f>J1175/1000000</f>
        <v>0.45370409217336</v>
      </c>
      <c r="M1175" t="s">
        <v>19</v>
      </c>
    </row>
    <row r="1176" spans="2:13" x14ac:dyDescent="0.25">
      <c r="B1176" t="s">
        <v>13</v>
      </c>
      <c r="C1176" t="s">
        <v>46</v>
      </c>
      <c r="D1176" t="s">
        <v>72</v>
      </c>
      <c r="E1176">
        <v>2028</v>
      </c>
      <c r="F1176" t="s">
        <v>48</v>
      </c>
      <c r="G1176" t="s">
        <v>17</v>
      </c>
      <c r="H1176" t="s">
        <v>18</v>
      </c>
      <c r="I1176" s="8">
        <v>1140214.1857</v>
      </c>
      <c r="J1176" s="8">
        <v>466963.69986575999</v>
      </c>
      <c r="K1176" s="8">
        <f>I1176/1000000</f>
        <v>1.1402141857000001</v>
      </c>
      <c r="L1176" s="8">
        <f>J1176/1000000</f>
        <v>0.46696369986575997</v>
      </c>
      <c r="M1176" t="s">
        <v>19</v>
      </c>
    </row>
    <row r="1177" spans="2:13" x14ac:dyDescent="0.25">
      <c r="B1177" t="s">
        <v>13</v>
      </c>
      <c r="C1177" t="s">
        <v>46</v>
      </c>
      <c r="D1177" t="s">
        <v>76</v>
      </c>
      <c r="E1177">
        <v>2029</v>
      </c>
      <c r="F1177" t="s">
        <v>48</v>
      </c>
      <c r="G1177" t="s">
        <v>17</v>
      </c>
      <c r="H1177" t="s">
        <v>18</v>
      </c>
      <c r="I1177" s="8">
        <v>753585.81319999998</v>
      </c>
      <c r="J1177" s="8">
        <v>234358.45563878701</v>
      </c>
      <c r="K1177" s="8">
        <f>I1177/1000000</f>
        <v>0.75358581319999995</v>
      </c>
      <c r="L1177" s="8">
        <f>J1177/1000000</f>
        <v>0.23435845563878702</v>
      </c>
      <c r="M1177" t="s">
        <v>39</v>
      </c>
    </row>
    <row r="1178" spans="2:13" x14ac:dyDescent="0.25">
      <c r="B1178" t="s">
        <v>13</v>
      </c>
      <c r="C1178" t="s">
        <v>46</v>
      </c>
      <c r="D1178" t="s">
        <v>76</v>
      </c>
      <c r="E1178">
        <v>2030</v>
      </c>
      <c r="F1178" t="s">
        <v>48</v>
      </c>
      <c r="G1178" t="s">
        <v>17</v>
      </c>
      <c r="H1178" t="s">
        <v>18</v>
      </c>
      <c r="I1178" s="8">
        <v>785213.02610000002</v>
      </c>
      <c r="J1178" s="8">
        <v>244194.23632187999</v>
      </c>
      <c r="K1178" s="8">
        <f>I1178/1000000</f>
        <v>0.78521302609999999</v>
      </c>
      <c r="L1178" s="8">
        <f>J1178/1000000</f>
        <v>0.24419423632187998</v>
      </c>
      <c r="M1178" t="s">
        <v>39</v>
      </c>
    </row>
    <row r="1179" spans="2:13" x14ac:dyDescent="0.25">
      <c r="B1179" t="s">
        <v>13</v>
      </c>
      <c r="C1179" t="s">
        <v>46</v>
      </c>
      <c r="D1179" t="s">
        <v>76</v>
      </c>
      <c r="E1179">
        <v>2027</v>
      </c>
      <c r="F1179" t="s">
        <v>48</v>
      </c>
      <c r="G1179" t="s">
        <v>17</v>
      </c>
      <c r="H1179" t="s">
        <v>18</v>
      </c>
      <c r="I1179" s="8">
        <v>849081.61250000005</v>
      </c>
      <c r="J1179" s="8">
        <v>260424.409637231</v>
      </c>
      <c r="K1179" s="8">
        <f>I1179/1000000</f>
        <v>0.84908161250000003</v>
      </c>
      <c r="L1179" s="8">
        <f>J1179/1000000</f>
        <v>0.26042440963723101</v>
      </c>
      <c r="M1179" t="s">
        <v>39</v>
      </c>
    </row>
    <row r="1180" spans="2:13" x14ac:dyDescent="0.25">
      <c r="B1180" t="s">
        <v>13</v>
      </c>
      <c r="C1180" t="s">
        <v>46</v>
      </c>
      <c r="D1180" t="s">
        <v>76</v>
      </c>
      <c r="E1180">
        <v>2028</v>
      </c>
      <c r="F1180" t="s">
        <v>48</v>
      </c>
      <c r="G1180" t="s">
        <v>17</v>
      </c>
      <c r="H1180" t="s">
        <v>18</v>
      </c>
      <c r="I1180" s="8">
        <v>797043.46279999998</v>
      </c>
      <c r="J1180" s="8">
        <v>247873.39643042299</v>
      </c>
      <c r="K1180" s="8">
        <f>I1180/1000000</f>
        <v>0.79704346279999994</v>
      </c>
      <c r="L1180" s="8">
        <f>J1180/1000000</f>
        <v>0.247873396430423</v>
      </c>
      <c r="M1180" t="s">
        <v>39</v>
      </c>
    </row>
    <row r="1181" spans="2:13" x14ac:dyDescent="0.25">
      <c r="B1181" t="s">
        <v>13</v>
      </c>
      <c r="C1181" t="s">
        <v>46</v>
      </c>
      <c r="D1181" t="s">
        <v>76</v>
      </c>
      <c r="E1181">
        <v>2026</v>
      </c>
      <c r="F1181" t="s">
        <v>48</v>
      </c>
      <c r="G1181" t="s">
        <v>17</v>
      </c>
      <c r="H1181" t="s">
        <v>18</v>
      </c>
      <c r="I1181" s="8">
        <v>1772563.0188</v>
      </c>
      <c r="J1181" s="8">
        <v>419450</v>
      </c>
      <c r="K1181" s="8">
        <f>I1181/1000000</f>
        <v>1.7725630187999999</v>
      </c>
      <c r="L1181" s="8">
        <f>J1181/1000000</f>
        <v>0.41944999999999999</v>
      </c>
      <c r="M1181" t="s">
        <v>39</v>
      </c>
    </row>
    <row r="1182" spans="2:13" x14ac:dyDescent="0.25">
      <c r="B1182" t="s">
        <v>13</v>
      </c>
      <c r="C1182" t="s">
        <v>46</v>
      </c>
      <c r="D1182" t="s">
        <v>102</v>
      </c>
      <c r="E1182">
        <v>2028</v>
      </c>
      <c r="F1182" t="s">
        <v>48</v>
      </c>
      <c r="G1182" t="s">
        <v>17</v>
      </c>
      <c r="H1182" t="s">
        <v>18</v>
      </c>
      <c r="I1182" s="8">
        <v>32943.8969</v>
      </c>
      <c r="J1182" s="8">
        <v>73842.485424687999</v>
      </c>
      <c r="K1182" s="8">
        <f>I1182/1000000</f>
        <v>3.2943896899999998E-2</v>
      </c>
      <c r="L1182" s="8">
        <f>J1182/1000000</f>
        <v>7.3842485424687992E-2</v>
      </c>
      <c r="M1182" t="s">
        <v>19</v>
      </c>
    </row>
    <row r="1183" spans="2:13" x14ac:dyDescent="0.25">
      <c r="B1183" t="s">
        <v>13</v>
      </c>
      <c r="C1183" t="s">
        <v>46</v>
      </c>
      <c r="D1183" t="s">
        <v>102</v>
      </c>
      <c r="E1183">
        <v>2029</v>
      </c>
      <c r="F1183" t="s">
        <v>48</v>
      </c>
      <c r="G1183" t="s">
        <v>17</v>
      </c>
      <c r="H1183" t="s">
        <v>18</v>
      </c>
      <c r="I1183" s="8">
        <v>33512.076399999998</v>
      </c>
      <c r="J1183" s="8">
        <v>75116.038199364993</v>
      </c>
      <c r="K1183" s="8">
        <f>I1183/1000000</f>
        <v>3.35120764E-2</v>
      </c>
      <c r="L1183" s="8">
        <f>J1183/1000000</f>
        <v>7.5116038199364993E-2</v>
      </c>
      <c r="M1183" t="s">
        <v>19</v>
      </c>
    </row>
    <row r="1184" spans="2:13" x14ac:dyDescent="0.25">
      <c r="B1184" t="s">
        <v>13</v>
      </c>
      <c r="C1184" t="s">
        <v>46</v>
      </c>
      <c r="D1184" t="s">
        <v>102</v>
      </c>
      <c r="E1184">
        <v>2030</v>
      </c>
      <c r="F1184" t="s">
        <v>48</v>
      </c>
      <c r="G1184" t="s">
        <v>17</v>
      </c>
      <c r="H1184" t="s">
        <v>18</v>
      </c>
      <c r="I1184" s="8">
        <v>33819.7549</v>
      </c>
      <c r="J1184" s="8">
        <v>75805.687757273496</v>
      </c>
      <c r="K1184" s="8">
        <f>I1184/1000000</f>
        <v>3.3819754899999999E-2</v>
      </c>
      <c r="L1184" s="8">
        <f>J1184/1000000</f>
        <v>7.5805687757273491E-2</v>
      </c>
      <c r="M1184" t="s">
        <v>19</v>
      </c>
    </row>
    <row r="1185" spans="2:13" x14ac:dyDescent="0.25">
      <c r="B1185" t="s">
        <v>13</v>
      </c>
      <c r="C1185" t="s">
        <v>46</v>
      </c>
      <c r="D1185" t="s">
        <v>102</v>
      </c>
      <c r="E1185">
        <v>2027</v>
      </c>
      <c r="F1185" t="s">
        <v>48</v>
      </c>
      <c r="G1185" t="s">
        <v>17</v>
      </c>
      <c r="H1185" t="s">
        <v>18</v>
      </c>
      <c r="I1185" s="8">
        <v>32883.122900000002</v>
      </c>
      <c r="J1185" s="8">
        <v>70861.1950739936</v>
      </c>
      <c r="K1185" s="8">
        <f>I1185/1000000</f>
        <v>3.2883122899999999E-2</v>
      </c>
      <c r="L1185" s="8">
        <f>J1185/1000000</f>
        <v>7.0861195073993605E-2</v>
      </c>
      <c r="M1185" t="s">
        <v>19</v>
      </c>
    </row>
    <row r="1186" spans="2:13" x14ac:dyDescent="0.25">
      <c r="B1186" t="s">
        <v>13</v>
      </c>
      <c r="C1186" t="s">
        <v>46</v>
      </c>
      <c r="D1186" t="s">
        <v>69</v>
      </c>
      <c r="E1186">
        <v>2027</v>
      </c>
      <c r="F1186" t="s">
        <v>48</v>
      </c>
      <c r="G1186" t="s">
        <v>17</v>
      </c>
      <c r="H1186" t="s">
        <v>18</v>
      </c>
      <c r="I1186" s="8">
        <v>151811.91329999999</v>
      </c>
      <c r="J1186" s="8">
        <v>50904.7694645144</v>
      </c>
      <c r="K1186" s="8">
        <f>I1186/1000000</f>
        <v>0.15181191329999999</v>
      </c>
      <c r="L1186" s="8">
        <f>J1186/1000000</f>
        <v>5.0904769464514402E-2</v>
      </c>
      <c r="M1186" t="s">
        <v>19</v>
      </c>
    </row>
    <row r="1187" spans="2:13" x14ac:dyDescent="0.25">
      <c r="B1187" t="s">
        <v>13</v>
      </c>
      <c r="C1187" t="s">
        <v>46</v>
      </c>
      <c r="D1187" t="s">
        <v>121</v>
      </c>
      <c r="E1187">
        <v>2027</v>
      </c>
      <c r="F1187" t="s">
        <v>48</v>
      </c>
      <c r="G1187" t="s">
        <v>17</v>
      </c>
      <c r="H1187" t="s">
        <v>18</v>
      </c>
      <c r="I1187" s="8">
        <v>134089.8695</v>
      </c>
      <c r="J1187" s="8">
        <v>182795.755844156</v>
      </c>
      <c r="K1187" s="8">
        <f>I1187/1000000</f>
        <v>0.13408986950000001</v>
      </c>
      <c r="L1187" s="8">
        <f>J1187/1000000</f>
        <v>0.182795755844156</v>
      </c>
      <c r="M1187" t="s">
        <v>19</v>
      </c>
    </row>
    <row r="1188" spans="2:13" x14ac:dyDescent="0.25">
      <c r="B1188" t="s">
        <v>13</v>
      </c>
      <c r="C1188" t="s">
        <v>46</v>
      </c>
      <c r="D1188" t="s">
        <v>72</v>
      </c>
      <c r="E1188">
        <v>2029</v>
      </c>
      <c r="F1188" t="s">
        <v>48</v>
      </c>
      <c r="G1188" t="s">
        <v>17</v>
      </c>
      <c r="H1188" t="s">
        <v>18</v>
      </c>
      <c r="I1188" s="8">
        <v>790195.76659999997</v>
      </c>
      <c r="J1188" s="8">
        <v>367313.54518731002</v>
      </c>
      <c r="K1188" s="8">
        <f>I1188/1000000</f>
        <v>0.79019576660000002</v>
      </c>
      <c r="L1188" s="8">
        <f>J1188/1000000</f>
        <v>0.36731354518731002</v>
      </c>
      <c r="M1188" t="s">
        <v>19</v>
      </c>
    </row>
    <row r="1189" spans="2:13" x14ac:dyDescent="0.25">
      <c r="B1189" t="s">
        <v>13</v>
      </c>
      <c r="C1189" t="s">
        <v>46</v>
      </c>
      <c r="D1189" t="s">
        <v>15</v>
      </c>
      <c r="E1189">
        <v>2028</v>
      </c>
      <c r="F1189" t="s">
        <v>48</v>
      </c>
      <c r="G1189" t="s">
        <v>17</v>
      </c>
      <c r="H1189" t="s">
        <v>18</v>
      </c>
      <c r="I1189" s="8">
        <v>153021.50709999999</v>
      </c>
      <c r="J1189" s="8">
        <v>50877.89</v>
      </c>
      <c r="K1189" s="8">
        <f>I1189/1000000</f>
        <v>0.15302150709999998</v>
      </c>
      <c r="L1189" s="8">
        <f>J1189/1000000</f>
        <v>5.0877890000000002E-2</v>
      </c>
      <c r="M1189" t="s">
        <v>19</v>
      </c>
    </row>
    <row r="1190" spans="2:13" x14ac:dyDescent="0.25">
      <c r="B1190" t="s">
        <v>13</v>
      </c>
      <c r="C1190" t="s">
        <v>46</v>
      </c>
      <c r="D1190" t="s">
        <v>52</v>
      </c>
      <c r="E1190">
        <v>2028</v>
      </c>
      <c r="F1190" t="s">
        <v>48</v>
      </c>
      <c r="G1190" t="s">
        <v>17</v>
      </c>
      <c r="H1190" t="s">
        <v>18</v>
      </c>
      <c r="I1190" s="8">
        <v>368228.72700000001</v>
      </c>
      <c r="J1190" s="8">
        <v>294947.79171040299</v>
      </c>
      <c r="K1190" s="8">
        <f>I1190/1000000</f>
        <v>0.36822872700000003</v>
      </c>
      <c r="L1190" s="8">
        <f>J1190/1000000</f>
        <v>0.29494779171040297</v>
      </c>
      <c r="M1190" t="s">
        <v>19</v>
      </c>
    </row>
    <row r="1191" spans="2:13" x14ac:dyDescent="0.25">
      <c r="B1191" t="s">
        <v>13</v>
      </c>
      <c r="C1191" t="s">
        <v>46</v>
      </c>
      <c r="D1191" t="s">
        <v>102</v>
      </c>
      <c r="E1191">
        <v>2026</v>
      </c>
      <c r="F1191" t="s">
        <v>48</v>
      </c>
      <c r="G1191" t="s">
        <v>17</v>
      </c>
      <c r="H1191" t="s">
        <v>18</v>
      </c>
      <c r="I1191" s="8">
        <v>12920.904699999999</v>
      </c>
      <c r="J1191" s="8">
        <v>38500</v>
      </c>
      <c r="K1191" s="8">
        <f>I1191/1000000</f>
        <v>1.2920904699999999E-2</v>
      </c>
      <c r="L1191" s="8">
        <f>J1191/1000000</f>
        <v>3.85E-2</v>
      </c>
      <c r="M1191" t="s">
        <v>19</v>
      </c>
    </row>
    <row r="1192" spans="2:13" x14ac:dyDescent="0.25">
      <c r="B1192" t="s">
        <v>13</v>
      </c>
      <c r="C1192" t="s">
        <v>14</v>
      </c>
      <c r="D1192" t="s">
        <v>52</v>
      </c>
      <c r="E1192">
        <v>2027</v>
      </c>
      <c r="F1192" t="s">
        <v>48</v>
      </c>
      <c r="G1192" t="s">
        <v>17</v>
      </c>
      <c r="H1192" t="s">
        <v>18</v>
      </c>
      <c r="I1192" s="8">
        <v>1536494.6913999999</v>
      </c>
      <c r="J1192" s="8">
        <v>1448359.1521874999</v>
      </c>
      <c r="K1192" s="8">
        <f>I1192/1000000</f>
        <v>1.5364946913999999</v>
      </c>
      <c r="L1192" s="8">
        <f>J1192/1000000</f>
        <v>1.4483591521874999</v>
      </c>
      <c r="M1192" t="s">
        <v>19</v>
      </c>
    </row>
    <row r="1193" spans="2:13" x14ac:dyDescent="0.25">
      <c r="B1193" t="s">
        <v>13</v>
      </c>
      <c r="C1193" t="s">
        <v>14</v>
      </c>
      <c r="D1193" t="s">
        <v>52</v>
      </c>
      <c r="E1193">
        <v>2030</v>
      </c>
      <c r="F1193" t="s">
        <v>48</v>
      </c>
      <c r="G1193" t="s">
        <v>17</v>
      </c>
      <c r="H1193" t="s">
        <v>18</v>
      </c>
      <c r="I1193" s="8">
        <v>801877.7611</v>
      </c>
      <c r="J1193" s="8">
        <v>662823.25312500005</v>
      </c>
      <c r="K1193" s="8">
        <f>I1193/1000000</f>
        <v>0.80187776109999997</v>
      </c>
      <c r="L1193" s="8">
        <f>J1193/1000000</f>
        <v>0.66282325312500001</v>
      </c>
      <c r="M1193" t="s">
        <v>19</v>
      </c>
    </row>
    <row r="1194" spans="2:13" x14ac:dyDescent="0.25">
      <c r="B1194" t="s">
        <v>13</v>
      </c>
      <c r="C1194" t="s">
        <v>46</v>
      </c>
      <c r="D1194" t="s">
        <v>101</v>
      </c>
      <c r="E1194">
        <v>2026</v>
      </c>
      <c r="F1194" t="s">
        <v>48</v>
      </c>
      <c r="G1194" t="s">
        <v>17</v>
      </c>
      <c r="H1194" t="s">
        <v>18</v>
      </c>
      <c r="I1194" s="8">
        <v>251548.53200000001</v>
      </c>
      <c r="J1194" s="8">
        <v>225654.59300043801</v>
      </c>
      <c r="K1194" s="8">
        <f>I1194/1000000</f>
        <v>0.25154853199999999</v>
      </c>
      <c r="L1194" s="8">
        <f>J1194/1000000</f>
        <v>0.225654593000438</v>
      </c>
      <c r="M1194" t="s">
        <v>39</v>
      </c>
    </row>
    <row r="1195" spans="2:13" x14ac:dyDescent="0.25">
      <c r="B1195" t="s">
        <v>13</v>
      </c>
      <c r="C1195" t="s">
        <v>46</v>
      </c>
      <c r="D1195" t="s">
        <v>101</v>
      </c>
      <c r="E1195">
        <v>2027</v>
      </c>
      <c r="F1195" t="s">
        <v>48</v>
      </c>
      <c r="G1195" t="s">
        <v>17</v>
      </c>
      <c r="H1195" t="s">
        <v>18</v>
      </c>
      <c r="I1195" s="8">
        <v>154923.5306</v>
      </c>
      <c r="J1195" s="8">
        <v>138975.98997183901</v>
      </c>
      <c r="K1195" s="8">
        <f>I1195/1000000</f>
        <v>0.1549235306</v>
      </c>
      <c r="L1195" s="8">
        <f>J1195/1000000</f>
        <v>0.13897598997183902</v>
      </c>
      <c r="M1195" t="s">
        <v>39</v>
      </c>
    </row>
    <row r="1196" spans="2:13" x14ac:dyDescent="0.25">
      <c r="B1196" t="s">
        <v>13</v>
      </c>
      <c r="C1196" t="s">
        <v>46</v>
      </c>
      <c r="D1196" t="s">
        <v>101</v>
      </c>
      <c r="E1196">
        <v>2028</v>
      </c>
      <c r="F1196" t="s">
        <v>48</v>
      </c>
      <c r="G1196" t="s">
        <v>17</v>
      </c>
      <c r="H1196" t="s">
        <v>18</v>
      </c>
      <c r="I1196" s="8">
        <v>155179.7591</v>
      </c>
      <c r="J1196" s="8">
        <v>140202.23133862601</v>
      </c>
      <c r="K1196" s="8">
        <f>I1196/1000000</f>
        <v>0.15517975910000001</v>
      </c>
      <c r="L1196" s="8">
        <f>J1196/1000000</f>
        <v>0.140202231338626</v>
      </c>
      <c r="M1196" t="s">
        <v>39</v>
      </c>
    </row>
    <row r="1197" spans="2:13" x14ac:dyDescent="0.25">
      <c r="B1197" t="s">
        <v>13</v>
      </c>
      <c r="C1197" t="s">
        <v>46</v>
      </c>
      <c r="D1197" t="s">
        <v>101</v>
      </c>
      <c r="E1197">
        <v>2029</v>
      </c>
      <c r="F1197" t="s">
        <v>48</v>
      </c>
      <c r="G1197" t="s">
        <v>17</v>
      </c>
      <c r="H1197" t="s">
        <v>18</v>
      </c>
      <c r="I1197" s="8">
        <v>156464.7861</v>
      </c>
      <c r="J1197" s="8">
        <v>141363.23101312399</v>
      </c>
      <c r="K1197" s="8">
        <f>I1197/1000000</f>
        <v>0.1564647861</v>
      </c>
      <c r="L1197" s="8">
        <f>J1197/1000000</f>
        <v>0.14136323101312398</v>
      </c>
      <c r="M1197" t="s">
        <v>39</v>
      </c>
    </row>
    <row r="1198" spans="2:13" x14ac:dyDescent="0.25">
      <c r="B1198" t="s">
        <v>13</v>
      </c>
      <c r="C1198" t="s">
        <v>46</v>
      </c>
      <c r="D1198" t="s">
        <v>101</v>
      </c>
      <c r="E1198">
        <v>2030</v>
      </c>
      <c r="F1198" t="s">
        <v>48</v>
      </c>
      <c r="G1198" t="s">
        <v>17</v>
      </c>
      <c r="H1198" t="s">
        <v>18</v>
      </c>
      <c r="I1198" s="8">
        <v>158767.40590000001</v>
      </c>
      <c r="J1198" s="8">
        <v>143443.608193803</v>
      </c>
      <c r="K1198" s="8">
        <f>I1198/1000000</f>
        <v>0.15876740590000002</v>
      </c>
      <c r="L1198" s="8">
        <f>J1198/1000000</f>
        <v>0.143443608193803</v>
      </c>
      <c r="M1198" t="s">
        <v>39</v>
      </c>
    </row>
    <row r="1199" spans="2:13" x14ac:dyDescent="0.25">
      <c r="B1199" t="s">
        <v>13</v>
      </c>
      <c r="C1199" t="s">
        <v>46</v>
      </c>
      <c r="D1199" t="s">
        <v>121</v>
      </c>
      <c r="E1199">
        <v>2026</v>
      </c>
      <c r="F1199" t="s">
        <v>50</v>
      </c>
      <c r="G1199" t="s">
        <v>17</v>
      </c>
      <c r="H1199" t="s">
        <v>18</v>
      </c>
      <c r="I1199" s="8">
        <v>579981.03969999996</v>
      </c>
      <c r="J1199" s="8">
        <v>1147325.6170651</v>
      </c>
      <c r="K1199" s="8">
        <f>I1199/1000000</f>
        <v>0.57998103969999992</v>
      </c>
      <c r="L1199" s="8">
        <f>J1199/1000000</f>
        <v>1.1473256170651001</v>
      </c>
      <c r="M1199" t="s">
        <v>19</v>
      </c>
    </row>
    <row r="1200" spans="2:13" x14ac:dyDescent="0.25">
      <c r="B1200" t="s">
        <v>13</v>
      </c>
      <c r="C1200" t="s">
        <v>46</v>
      </c>
      <c r="D1200" t="s">
        <v>121</v>
      </c>
      <c r="E1200">
        <v>2027</v>
      </c>
      <c r="F1200" t="s">
        <v>50</v>
      </c>
      <c r="G1200" t="s">
        <v>17</v>
      </c>
      <c r="H1200" t="s">
        <v>18</v>
      </c>
      <c r="I1200" s="8">
        <v>611974.52139999997</v>
      </c>
      <c r="J1200" s="8">
        <v>1190081.54545566</v>
      </c>
      <c r="K1200" s="8">
        <f>I1200/1000000</f>
        <v>0.61197452139999997</v>
      </c>
      <c r="L1200" s="8">
        <f>J1200/1000000</f>
        <v>1.1900815454556599</v>
      </c>
      <c r="M1200" t="s">
        <v>19</v>
      </c>
    </row>
    <row r="1201" spans="2:13" x14ac:dyDescent="0.25">
      <c r="B1201" t="s">
        <v>13</v>
      </c>
      <c r="C1201" t="s">
        <v>46</v>
      </c>
      <c r="D1201" t="s">
        <v>52</v>
      </c>
      <c r="E1201">
        <v>2029</v>
      </c>
      <c r="F1201" t="s">
        <v>50</v>
      </c>
      <c r="G1201" t="s">
        <v>17</v>
      </c>
      <c r="H1201" t="s">
        <v>18</v>
      </c>
      <c r="I1201" s="8">
        <v>1816827.4510999999</v>
      </c>
      <c r="J1201" s="8">
        <v>1436031.4062159201</v>
      </c>
      <c r="K1201" s="8">
        <f>I1201/1000000</f>
        <v>1.8168274511</v>
      </c>
      <c r="L1201" s="8">
        <f>J1201/1000000</f>
        <v>1.4360314062159201</v>
      </c>
      <c r="M1201" t="s">
        <v>19</v>
      </c>
    </row>
    <row r="1202" spans="2:13" x14ac:dyDescent="0.25">
      <c r="B1202" t="s">
        <v>13</v>
      </c>
      <c r="C1202" t="s">
        <v>46</v>
      </c>
      <c r="D1202" t="s">
        <v>52</v>
      </c>
      <c r="E1202">
        <v>2030</v>
      </c>
      <c r="F1202" t="s">
        <v>50</v>
      </c>
      <c r="G1202" t="s">
        <v>17</v>
      </c>
      <c r="H1202" t="s">
        <v>18</v>
      </c>
      <c r="I1202" s="8">
        <v>1854639.4665000001</v>
      </c>
      <c r="J1202" s="8">
        <v>1452920.18799954</v>
      </c>
      <c r="K1202" s="8">
        <f>I1202/1000000</f>
        <v>1.8546394665000001</v>
      </c>
      <c r="L1202" s="8">
        <f>J1202/1000000</f>
        <v>1.4529201879995399</v>
      </c>
      <c r="M1202" t="s">
        <v>19</v>
      </c>
    </row>
    <row r="1203" spans="2:13" x14ac:dyDescent="0.25">
      <c r="B1203" t="s">
        <v>13</v>
      </c>
      <c r="C1203" t="s">
        <v>46</v>
      </c>
      <c r="D1203" t="s">
        <v>69</v>
      </c>
      <c r="E1203">
        <v>2030</v>
      </c>
      <c r="F1203" t="s">
        <v>50</v>
      </c>
      <c r="G1203" t="s">
        <v>17</v>
      </c>
      <c r="H1203" t="s">
        <v>18</v>
      </c>
      <c r="I1203" s="8">
        <v>5255642.6617000001</v>
      </c>
      <c r="J1203" s="8">
        <v>2290788.9293762599</v>
      </c>
      <c r="K1203" s="8">
        <f>I1203/1000000</f>
        <v>5.2556426617000005</v>
      </c>
      <c r="L1203" s="8">
        <f>J1203/1000000</f>
        <v>2.29078892937626</v>
      </c>
      <c r="M1203" t="s">
        <v>19</v>
      </c>
    </row>
    <row r="1204" spans="2:13" x14ac:dyDescent="0.25">
      <c r="B1204" t="s">
        <v>13</v>
      </c>
      <c r="C1204" t="s">
        <v>46</v>
      </c>
      <c r="D1204" t="s">
        <v>69</v>
      </c>
      <c r="E1204">
        <v>2029</v>
      </c>
      <c r="F1204" t="s">
        <v>50</v>
      </c>
      <c r="G1204" t="s">
        <v>17</v>
      </c>
      <c r="H1204" t="s">
        <v>18</v>
      </c>
      <c r="I1204" s="8">
        <v>5153317.7878</v>
      </c>
      <c r="J1204" s="8">
        <v>2251430.3636253802</v>
      </c>
      <c r="K1204" s="8">
        <f>I1204/1000000</f>
        <v>5.1533177877999998</v>
      </c>
      <c r="L1204" s="8">
        <f>J1204/1000000</f>
        <v>2.2514303636253801</v>
      </c>
      <c r="M1204" t="s">
        <v>19</v>
      </c>
    </row>
    <row r="1205" spans="2:13" x14ac:dyDescent="0.25">
      <c r="B1205" t="s">
        <v>13</v>
      </c>
      <c r="C1205" t="s">
        <v>46</v>
      </c>
      <c r="D1205" t="s">
        <v>69</v>
      </c>
      <c r="E1205">
        <v>2028</v>
      </c>
      <c r="F1205" t="s">
        <v>50</v>
      </c>
      <c r="G1205" t="s">
        <v>17</v>
      </c>
      <c r="H1205" t="s">
        <v>18</v>
      </c>
      <c r="I1205" s="8">
        <v>6969353.6158999996</v>
      </c>
      <c r="J1205" s="8">
        <v>2656724.0539585799</v>
      </c>
      <c r="K1205" s="8">
        <f>I1205/1000000</f>
        <v>6.9693536158999994</v>
      </c>
      <c r="L1205" s="8">
        <f>J1205/1000000</f>
        <v>2.6567240539585799</v>
      </c>
      <c r="M1205" t="s">
        <v>19</v>
      </c>
    </row>
    <row r="1206" spans="2:13" x14ac:dyDescent="0.25">
      <c r="B1206" t="s">
        <v>13</v>
      </c>
      <c r="C1206" t="s">
        <v>46</v>
      </c>
      <c r="D1206" t="s">
        <v>73</v>
      </c>
      <c r="E1206">
        <v>2026</v>
      </c>
      <c r="F1206" t="s">
        <v>50</v>
      </c>
      <c r="G1206" t="s">
        <v>17</v>
      </c>
      <c r="H1206" t="s">
        <v>18</v>
      </c>
      <c r="I1206" s="8">
        <v>2293983.8084</v>
      </c>
      <c r="J1206" s="8">
        <v>2401473.8758825702</v>
      </c>
      <c r="K1206" s="8">
        <f>I1206/1000000</f>
        <v>2.2939838084000002</v>
      </c>
      <c r="L1206" s="8">
        <f>J1206/1000000</f>
        <v>2.4014738758825702</v>
      </c>
      <c r="M1206" t="s">
        <v>19</v>
      </c>
    </row>
    <row r="1207" spans="2:13" x14ac:dyDescent="0.25">
      <c r="B1207" t="s">
        <v>13</v>
      </c>
      <c r="C1207" t="s">
        <v>46</v>
      </c>
      <c r="D1207" t="s">
        <v>70</v>
      </c>
      <c r="E1207">
        <v>2026</v>
      </c>
      <c r="F1207" t="s">
        <v>50</v>
      </c>
      <c r="G1207" t="s">
        <v>17</v>
      </c>
      <c r="H1207" t="s">
        <v>18</v>
      </c>
      <c r="I1207" s="8">
        <v>3086905.8755000001</v>
      </c>
      <c r="J1207" s="8">
        <v>1788578.9912</v>
      </c>
      <c r="K1207" s="8">
        <f>I1207/1000000</f>
        <v>3.0869058755000003</v>
      </c>
      <c r="L1207" s="8">
        <f>J1207/1000000</f>
        <v>1.7885789912000001</v>
      </c>
      <c r="M1207" t="s">
        <v>19</v>
      </c>
    </row>
    <row r="1208" spans="2:13" x14ac:dyDescent="0.25">
      <c r="B1208" t="s">
        <v>13</v>
      </c>
      <c r="C1208" t="s">
        <v>46</v>
      </c>
      <c r="D1208" t="s">
        <v>15</v>
      </c>
      <c r="E1208">
        <v>2026</v>
      </c>
      <c r="F1208" t="s">
        <v>50</v>
      </c>
      <c r="G1208" t="s">
        <v>17</v>
      </c>
      <c r="H1208" t="s">
        <v>18</v>
      </c>
      <c r="I1208" s="8">
        <v>1132742.2849999999</v>
      </c>
      <c r="J1208" s="8">
        <v>374467.91519999999</v>
      </c>
      <c r="K1208" s="8">
        <f>I1208/1000000</f>
        <v>1.132742285</v>
      </c>
      <c r="L1208" s="8">
        <f>J1208/1000000</f>
        <v>0.3744679152</v>
      </c>
      <c r="M1208" t="s">
        <v>19</v>
      </c>
    </row>
    <row r="1209" spans="2:13" x14ac:dyDescent="0.25">
      <c r="B1209" t="s">
        <v>13</v>
      </c>
      <c r="C1209" t="s">
        <v>46</v>
      </c>
      <c r="D1209" t="s">
        <v>15</v>
      </c>
      <c r="E1209">
        <v>2027</v>
      </c>
      <c r="F1209" t="s">
        <v>50</v>
      </c>
      <c r="G1209" t="s">
        <v>17</v>
      </c>
      <c r="H1209" t="s">
        <v>18</v>
      </c>
      <c r="I1209" s="8">
        <v>1049836.0171999999</v>
      </c>
      <c r="J1209" s="8">
        <v>347060.32421052601</v>
      </c>
      <c r="K1209" s="8">
        <f>I1209/1000000</f>
        <v>1.0498360171999999</v>
      </c>
      <c r="L1209" s="8">
        <f>J1209/1000000</f>
        <v>0.34706032421052602</v>
      </c>
      <c r="M1209" t="s">
        <v>19</v>
      </c>
    </row>
    <row r="1210" spans="2:13" x14ac:dyDescent="0.25">
      <c r="B1210" t="s">
        <v>13</v>
      </c>
      <c r="C1210" t="s">
        <v>46</v>
      </c>
      <c r="D1210" t="s">
        <v>15</v>
      </c>
      <c r="E1210">
        <v>2028</v>
      </c>
      <c r="F1210" t="s">
        <v>50</v>
      </c>
      <c r="G1210" t="s">
        <v>17</v>
      </c>
      <c r="H1210" t="s">
        <v>18</v>
      </c>
      <c r="I1210" s="8">
        <v>1030266.1598</v>
      </c>
      <c r="J1210" s="8">
        <v>342614.08421052602</v>
      </c>
      <c r="K1210" s="8">
        <f>I1210/1000000</f>
        <v>1.0302661598</v>
      </c>
      <c r="L1210" s="8">
        <f>J1210/1000000</f>
        <v>0.34261408421052603</v>
      </c>
      <c r="M1210" t="s">
        <v>19</v>
      </c>
    </row>
    <row r="1211" spans="2:13" x14ac:dyDescent="0.25">
      <c r="B1211" t="s">
        <v>13</v>
      </c>
      <c r="C1211" t="s">
        <v>46</v>
      </c>
      <c r="D1211" t="s">
        <v>15</v>
      </c>
      <c r="E1211">
        <v>2029</v>
      </c>
      <c r="F1211" t="s">
        <v>50</v>
      </c>
      <c r="G1211" t="s">
        <v>17</v>
      </c>
      <c r="H1211" t="s">
        <v>18</v>
      </c>
      <c r="I1211" s="8">
        <v>846761.36340000003</v>
      </c>
      <c r="J1211" s="8">
        <v>281589.72929384199</v>
      </c>
      <c r="K1211" s="8">
        <f>I1211/1000000</f>
        <v>0.84676136340000008</v>
      </c>
      <c r="L1211" s="8">
        <f>J1211/1000000</f>
        <v>0.28158972929384196</v>
      </c>
      <c r="M1211" t="s">
        <v>19</v>
      </c>
    </row>
    <row r="1212" spans="2:13" x14ac:dyDescent="0.25">
      <c r="B1212" t="s">
        <v>13</v>
      </c>
      <c r="C1212" t="s">
        <v>46</v>
      </c>
      <c r="D1212" t="s">
        <v>15</v>
      </c>
      <c r="E1212">
        <v>2030</v>
      </c>
      <c r="F1212" t="s">
        <v>50</v>
      </c>
      <c r="G1212" t="s">
        <v>17</v>
      </c>
      <c r="H1212" t="s">
        <v>18</v>
      </c>
      <c r="I1212" s="8">
        <v>859292.35149999999</v>
      </c>
      <c r="J1212" s="8">
        <v>285756.898123055</v>
      </c>
      <c r="K1212" s="8">
        <f>I1212/1000000</f>
        <v>0.85929235149999994</v>
      </c>
      <c r="L1212" s="8">
        <f>J1212/1000000</f>
        <v>0.28575689812305499</v>
      </c>
      <c r="M1212" t="s">
        <v>19</v>
      </c>
    </row>
    <row r="1213" spans="2:13" x14ac:dyDescent="0.25">
      <c r="B1213" t="s">
        <v>13</v>
      </c>
      <c r="C1213" t="s">
        <v>46</v>
      </c>
      <c r="D1213" t="s">
        <v>100</v>
      </c>
      <c r="E1213">
        <v>2029</v>
      </c>
      <c r="F1213" t="s">
        <v>50</v>
      </c>
      <c r="G1213" t="s">
        <v>17</v>
      </c>
      <c r="H1213" t="s">
        <v>18</v>
      </c>
      <c r="I1213" s="8">
        <v>3321003.1258</v>
      </c>
      <c r="J1213" s="8">
        <v>1463906.68308166</v>
      </c>
      <c r="K1213" s="8">
        <f>I1213/1000000</f>
        <v>3.3210031257999999</v>
      </c>
      <c r="L1213" s="8">
        <f>J1213/1000000</f>
        <v>1.4639066830816601</v>
      </c>
      <c r="M1213" t="s">
        <v>19</v>
      </c>
    </row>
    <row r="1214" spans="2:13" x14ac:dyDescent="0.25">
      <c r="B1214" t="s">
        <v>13</v>
      </c>
      <c r="C1214" t="s">
        <v>46</v>
      </c>
      <c r="D1214" t="s">
        <v>100</v>
      </c>
      <c r="E1214">
        <v>2030</v>
      </c>
      <c r="F1214" t="s">
        <v>50</v>
      </c>
      <c r="G1214" t="s">
        <v>17</v>
      </c>
      <c r="H1214" t="s">
        <v>18</v>
      </c>
      <c r="I1214" s="8">
        <v>3345284.9451000001</v>
      </c>
      <c r="J1214" s="8">
        <v>1487726.0401894399</v>
      </c>
      <c r="K1214" s="8">
        <f>I1214/1000000</f>
        <v>3.3452849451</v>
      </c>
      <c r="L1214" s="8">
        <f>J1214/1000000</f>
        <v>1.4877260401894399</v>
      </c>
      <c r="M1214" t="s">
        <v>19</v>
      </c>
    </row>
    <row r="1215" spans="2:13" x14ac:dyDescent="0.25">
      <c r="B1215" t="s">
        <v>13</v>
      </c>
      <c r="C1215" t="s">
        <v>46</v>
      </c>
      <c r="D1215" t="s">
        <v>100</v>
      </c>
      <c r="E1215">
        <v>2026</v>
      </c>
      <c r="F1215" t="s">
        <v>50</v>
      </c>
      <c r="G1215" t="s">
        <v>17</v>
      </c>
      <c r="H1215" t="s">
        <v>18</v>
      </c>
      <c r="I1215" s="8">
        <v>4062841.3169</v>
      </c>
      <c r="J1215" s="8">
        <v>1908184.2352333399</v>
      </c>
      <c r="K1215" s="8">
        <f>I1215/1000000</f>
        <v>4.0628413169000002</v>
      </c>
      <c r="L1215" s="8">
        <f>J1215/1000000</f>
        <v>1.90818423523334</v>
      </c>
      <c r="M1215" t="s">
        <v>19</v>
      </c>
    </row>
    <row r="1216" spans="2:13" x14ac:dyDescent="0.25">
      <c r="B1216" t="s">
        <v>13</v>
      </c>
      <c r="C1216" t="s">
        <v>46</v>
      </c>
      <c r="D1216" t="s">
        <v>100</v>
      </c>
      <c r="E1216">
        <v>2027</v>
      </c>
      <c r="F1216" t="s">
        <v>50</v>
      </c>
      <c r="G1216" t="s">
        <v>17</v>
      </c>
      <c r="H1216" t="s">
        <v>18</v>
      </c>
      <c r="I1216" s="8">
        <v>3055823.6282000002</v>
      </c>
      <c r="J1216" s="8">
        <v>1421864.7553059501</v>
      </c>
      <c r="K1216" s="8">
        <f>I1216/1000000</f>
        <v>3.0558236282000002</v>
      </c>
      <c r="L1216" s="8">
        <f>J1216/1000000</f>
        <v>1.42186475530595</v>
      </c>
      <c r="M1216" t="s">
        <v>19</v>
      </c>
    </row>
    <row r="1217" spans="2:13" x14ac:dyDescent="0.25">
      <c r="B1217" t="s">
        <v>13</v>
      </c>
      <c r="C1217" t="s">
        <v>46</v>
      </c>
      <c r="D1217" t="s">
        <v>100</v>
      </c>
      <c r="E1217">
        <v>2028</v>
      </c>
      <c r="F1217" t="s">
        <v>50</v>
      </c>
      <c r="G1217" t="s">
        <v>17</v>
      </c>
      <c r="H1217" t="s">
        <v>18</v>
      </c>
      <c r="I1217" s="8">
        <v>3038727.1455000001</v>
      </c>
      <c r="J1217" s="8">
        <v>1427577.90774678</v>
      </c>
      <c r="K1217" s="8">
        <f>I1217/1000000</f>
        <v>3.0387271455000002</v>
      </c>
      <c r="L1217" s="8">
        <f>J1217/1000000</f>
        <v>1.4275779077467801</v>
      </c>
      <c r="M1217" t="s">
        <v>19</v>
      </c>
    </row>
    <row r="1218" spans="2:13" x14ac:dyDescent="0.25">
      <c r="B1218" t="s">
        <v>13</v>
      </c>
      <c r="C1218" t="s">
        <v>46</v>
      </c>
      <c r="D1218" t="s">
        <v>72</v>
      </c>
      <c r="E1218">
        <v>2026</v>
      </c>
      <c r="F1218" t="s">
        <v>50</v>
      </c>
      <c r="G1218" t="s">
        <v>17</v>
      </c>
      <c r="H1218" t="s">
        <v>18</v>
      </c>
      <c r="I1218" s="8">
        <v>7263039.5252999999</v>
      </c>
      <c r="J1218" s="8">
        <v>2440220.6936328001</v>
      </c>
      <c r="K1218" s="8">
        <f>I1218/1000000</f>
        <v>7.2630395253</v>
      </c>
      <c r="L1218" s="8">
        <f>J1218/1000000</f>
        <v>2.4402206936328001</v>
      </c>
      <c r="M1218" t="s">
        <v>19</v>
      </c>
    </row>
    <row r="1219" spans="2:13" x14ac:dyDescent="0.25">
      <c r="B1219" t="s">
        <v>13</v>
      </c>
      <c r="C1219" t="s">
        <v>46</v>
      </c>
      <c r="D1219" t="s">
        <v>72</v>
      </c>
      <c r="E1219">
        <v>2028</v>
      </c>
      <c r="F1219" t="s">
        <v>50</v>
      </c>
      <c r="G1219" t="s">
        <v>17</v>
      </c>
      <c r="H1219" t="s">
        <v>18</v>
      </c>
      <c r="I1219" s="8">
        <v>4698863.2428000001</v>
      </c>
      <c r="J1219" s="8">
        <v>2256839.5419756002</v>
      </c>
      <c r="K1219" s="8">
        <f>I1219/1000000</f>
        <v>4.6988632427999999</v>
      </c>
      <c r="L1219" s="8">
        <f>J1219/1000000</f>
        <v>2.2568395419756002</v>
      </c>
      <c r="M1219" t="s">
        <v>19</v>
      </c>
    </row>
    <row r="1220" spans="2:13" x14ac:dyDescent="0.25">
      <c r="B1220" t="s">
        <v>13</v>
      </c>
      <c r="C1220" t="s">
        <v>46</v>
      </c>
      <c r="D1220" t="s">
        <v>72</v>
      </c>
      <c r="E1220">
        <v>2029</v>
      </c>
      <c r="F1220" t="s">
        <v>50</v>
      </c>
      <c r="G1220" t="s">
        <v>17</v>
      </c>
      <c r="H1220" t="s">
        <v>18</v>
      </c>
      <c r="I1220" s="8">
        <v>4787769.6630999995</v>
      </c>
      <c r="J1220" s="8">
        <v>2299540.8325751899</v>
      </c>
      <c r="K1220" s="8">
        <f>I1220/1000000</f>
        <v>4.7877696630999997</v>
      </c>
      <c r="L1220" s="8">
        <f>J1220/1000000</f>
        <v>2.29954083257519</v>
      </c>
      <c r="M1220" t="s">
        <v>19</v>
      </c>
    </row>
    <row r="1221" spans="2:13" x14ac:dyDescent="0.25">
      <c r="B1221" t="s">
        <v>13</v>
      </c>
      <c r="C1221" t="s">
        <v>46</v>
      </c>
      <c r="D1221" t="s">
        <v>72</v>
      </c>
      <c r="E1221">
        <v>2030</v>
      </c>
      <c r="F1221" t="s">
        <v>50</v>
      </c>
      <c r="G1221" t="s">
        <v>17</v>
      </c>
      <c r="H1221" t="s">
        <v>18</v>
      </c>
      <c r="I1221" s="8">
        <v>4870324.2758999998</v>
      </c>
      <c r="J1221" s="8">
        <v>2339191.3831617301</v>
      </c>
      <c r="K1221" s="8">
        <f>I1221/1000000</f>
        <v>4.8703242758999998</v>
      </c>
      <c r="L1221" s="8">
        <f>J1221/1000000</f>
        <v>2.3391913831617299</v>
      </c>
      <c r="M1221" t="s">
        <v>19</v>
      </c>
    </row>
    <row r="1222" spans="2:13" x14ac:dyDescent="0.25">
      <c r="B1222" t="s">
        <v>13</v>
      </c>
      <c r="C1222" t="s">
        <v>46</v>
      </c>
      <c r="D1222" t="s">
        <v>76</v>
      </c>
      <c r="E1222">
        <v>2029</v>
      </c>
      <c r="F1222" t="s">
        <v>50</v>
      </c>
      <c r="G1222" t="s">
        <v>17</v>
      </c>
      <c r="H1222" t="s">
        <v>18</v>
      </c>
      <c r="I1222" s="8">
        <v>551107.36640000006</v>
      </c>
      <c r="J1222" s="8">
        <v>172632.55078450899</v>
      </c>
      <c r="K1222" s="8">
        <f>I1222/1000000</f>
        <v>0.55110736640000002</v>
      </c>
      <c r="L1222" s="8">
        <f>J1222/1000000</f>
        <v>0.17263255078450898</v>
      </c>
      <c r="M1222" t="s">
        <v>39</v>
      </c>
    </row>
    <row r="1223" spans="2:13" x14ac:dyDescent="0.25">
      <c r="B1223" t="s">
        <v>13</v>
      </c>
      <c r="C1223" t="s">
        <v>46</v>
      </c>
      <c r="D1223" t="s">
        <v>76</v>
      </c>
      <c r="E1223">
        <v>2030</v>
      </c>
      <c r="F1223" t="s">
        <v>50</v>
      </c>
      <c r="G1223" t="s">
        <v>17</v>
      </c>
      <c r="H1223" t="s">
        <v>18</v>
      </c>
      <c r="I1223" s="8">
        <v>602990.73479999998</v>
      </c>
      <c r="J1223" s="8">
        <v>188884.84349461101</v>
      </c>
      <c r="K1223" s="8">
        <f>I1223/1000000</f>
        <v>0.60299073479999998</v>
      </c>
      <c r="L1223" s="8">
        <f>J1223/1000000</f>
        <v>0.18888484349461102</v>
      </c>
      <c r="M1223" t="s">
        <v>39</v>
      </c>
    </row>
    <row r="1224" spans="2:13" x14ac:dyDescent="0.25">
      <c r="B1224" t="s">
        <v>13</v>
      </c>
      <c r="C1224" t="s">
        <v>46</v>
      </c>
      <c r="D1224" t="s">
        <v>103</v>
      </c>
      <c r="E1224">
        <v>2029</v>
      </c>
      <c r="F1224" t="s">
        <v>50</v>
      </c>
      <c r="G1224" t="s">
        <v>17</v>
      </c>
      <c r="H1224" t="s">
        <v>18</v>
      </c>
      <c r="I1224" s="8">
        <v>390147.64250000002</v>
      </c>
      <c r="J1224" s="8">
        <v>38222.360101010097</v>
      </c>
      <c r="K1224" s="8">
        <f>I1224/1000000</f>
        <v>0.3901476425</v>
      </c>
      <c r="L1224" s="8">
        <f>J1224/1000000</f>
        <v>3.82223601010101E-2</v>
      </c>
      <c r="M1224" t="s">
        <v>39</v>
      </c>
    </row>
    <row r="1225" spans="2:13" x14ac:dyDescent="0.25">
      <c r="B1225" t="s">
        <v>13</v>
      </c>
      <c r="C1225" t="s">
        <v>46</v>
      </c>
      <c r="D1225" t="s">
        <v>103</v>
      </c>
      <c r="E1225">
        <v>2030</v>
      </c>
      <c r="F1225" t="s">
        <v>50</v>
      </c>
      <c r="G1225" t="s">
        <v>17</v>
      </c>
      <c r="H1225" t="s">
        <v>18</v>
      </c>
      <c r="I1225" s="8">
        <v>320768.4705</v>
      </c>
      <c r="J1225" s="8">
        <v>31425.354545454498</v>
      </c>
      <c r="K1225" s="8">
        <f>I1225/1000000</f>
        <v>0.32076847050000001</v>
      </c>
      <c r="L1225" s="8">
        <f>J1225/1000000</f>
        <v>3.1425354545454497E-2</v>
      </c>
      <c r="M1225" t="s">
        <v>39</v>
      </c>
    </row>
    <row r="1226" spans="2:13" x14ac:dyDescent="0.25">
      <c r="B1226" t="s">
        <v>13</v>
      </c>
      <c r="C1226" t="s">
        <v>46</v>
      </c>
      <c r="D1226" t="s">
        <v>69</v>
      </c>
      <c r="E1226">
        <v>2027</v>
      </c>
      <c r="F1226" t="s">
        <v>50</v>
      </c>
      <c r="G1226" t="s">
        <v>17</v>
      </c>
      <c r="H1226" t="s">
        <v>18</v>
      </c>
      <c r="I1226" s="8">
        <v>7911057.3194000004</v>
      </c>
      <c r="J1226" s="8">
        <v>2659321.9273333098</v>
      </c>
      <c r="K1226" s="8">
        <f>I1226/1000000</f>
        <v>7.9110573194000002</v>
      </c>
      <c r="L1226" s="8">
        <f>J1226/1000000</f>
        <v>2.65932192733331</v>
      </c>
      <c r="M1226" t="s">
        <v>19</v>
      </c>
    </row>
    <row r="1227" spans="2:13" x14ac:dyDescent="0.25">
      <c r="B1227" t="s">
        <v>13</v>
      </c>
      <c r="C1227" t="s">
        <v>46</v>
      </c>
      <c r="D1227" t="s">
        <v>72</v>
      </c>
      <c r="E1227">
        <v>2027</v>
      </c>
      <c r="F1227" t="s">
        <v>50</v>
      </c>
      <c r="G1227" t="s">
        <v>17</v>
      </c>
      <c r="H1227" t="s">
        <v>18</v>
      </c>
      <c r="I1227" s="8">
        <v>4703404.7027000003</v>
      </c>
      <c r="J1227" s="8">
        <v>2247889.0941936001</v>
      </c>
      <c r="K1227" s="8">
        <f>I1227/1000000</f>
        <v>4.7034047027000003</v>
      </c>
      <c r="L1227" s="8">
        <f>J1227/1000000</f>
        <v>2.2478890941936003</v>
      </c>
      <c r="M1227" t="s">
        <v>19</v>
      </c>
    </row>
    <row r="1228" spans="2:13" x14ac:dyDescent="0.25">
      <c r="B1228" t="s">
        <v>13</v>
      </c>
      <c r="C1228" t="s">
        <v>46</v>
      </c>
      <c r="D1228" t="s">
        <v>52</v>
      </c>
      <c r="E1228">
        <v>2028</v>
      </c>
      <c r="F1228" t="s">
        <v>50</v>
      </c>
      <c r="G1228" t="s">
        <v>17</v>
      </c>
      <c r="H1228" t="s">
        <v>18</v>
      </c>
      <c r="I1228" s="8">
        <v>1771696.4183</v>
      </c>
      <c r="J1228" s="8">
        <v>1419112.3825788</v>
      </c>
      <c r="K1228" s="8">
        <f>I1228/1000000</f>
        <v>1.7716964182999999</v>
      </c>
      <c r="L1228" s="8">
        <f>J1228/1000000</f>
        <v>1.4191123825787999</v>
      </c>
      <c r="M1228" t="s">
        <v>19</v>
      </c>
    </row>
    <row r="1229" spans="2:13" x14ac:dyDescent="0.25">
      <c r="B1229" t="s">
        <v>13</v>
      </c>
      <c r="C1229" t="s">
        <v>46</v>
      </c>
      <c r="D1229" t="s">
        <v>103</v>
      </c>
      <c r="E1229">
        <v>2028</v>
      </c>
      <c r="F1229" t="s">
        <v>50</v>
      </c>
      <c r="G1229" t="s">
        <v>17</v>
      </c>
      <c r="H1229" t="s">
        <v>18</v>
      </c>
      <c r="I1229" s="8">
        <v>32781.124900000003</v>
      </c>
      <c r="J1229" s="8">
        <v>3211.5328282828</v>
      </c>
      <c r="K1229" s="8">
        <f>I1229/1000000</f>
        <v>3.27811249E-2</v>
      </c>
      <c r="L1229" s="8">
        <f>J1229/1000000</f>
        <v>3.2115328282828E-3</v>
      </c>
      <c r="M1229" t="s">
        <v>39</v>
      </c>
    </row>
    <row r="1230" spans="2:13" x14ac:dyDescent="0.25">
      <c r="B1230" t="s">
        <v>13</v>
      </c>
      <c r="C1230" t="s">
        <v>46</v>
      </c>
      <c r="D1230" t="s">
        <v>101</v>
      </c>
      <c r="E1230">
        <v>2030</v>
      </c>
      <c r="F1230" t="s">
        <v>50</v>
      </c>
      <c r="G1230" t="s">
        <v>17</v>
      </c>
      <c r="H1230" t="s">
        <v>18</v>
      </c>
      <c r="I1230" s="8">
        <v>687744.20499999996</v>
      </c>
      <c r="J1230" s="8">
        <v>621365.00706708804</v>
      </c>
      <c r="K1230" s="8">
        <f>I1230/1000000</f>
        <v>0.687744205</v>
      </c>
      <c r="L1230" s="8">
        <f>J1230/1000000</f>
        <v>0.62136500706708808</v>
      </c>
      <c r="M1230" t="s">
        <v>39</v>
      </c>
    </row>
    <row r="1231" spans="2:13" x14ac:dyDescent="0.25">
      <c r="B1231" t="s">
        <v>13</v>
      </c>
      <c r="C1231" t="s">
        <v>14</v>
      </c>
      <c r="D1231" t="s">
        <v>121</v>
      </c>
      <c r="E1231">
        <v>2026</v>
      </c>
      <c r="F1231" t="s">
        <v>50</v>
      </c>
      <c r="G1231" t="s">
        <v>17</v>
      </c>
      <c r="H1231" t="s">
        <v>18</v>
      </c>
      <c r="I1231" s="8">
        <v>2566237.0825</v>
      </c>
      <c r="J1231" s="8">
        <v>5137009.5160999997</v>
      </c>
      <c r="K1231" s="8">
        <f>I1231/1000000</f>
        <v>2.5662370824999998</v>
      </c>
      <c r="L1231" s="8">
        <f>J1231/1000000</f>
        <v>5.1370095161</v>
      </c>
      <c r="M1231" t="s">
        <v>19</v>
      </c>
    </row>
    <row r="1232" spans="2:13" x14ac:dyDescent="0.25">
      <c r="B1232" t="s">
        <v>13</v>
      </c>
      <c r="C1232" t="s">
        <v>14</v>
      </c>
      <c r="D1232" t="s">
        <v>101</v>
      </c>
      <c r="E1232">
        <v>2030</v>
      </c>
      <c r="F1232" t="s">
        <v>50</v>
      </c>
      <c r="G1232" t="s">
        <v>17</v>
      </c>
      <c r="H1232" t="s">
        <v>18</v>
      </c>
      <c r="I1232" s="8">
        <v>16224666.0538</v>
      </c>
      <c r="J1232" s="8">
        <v>14539287.824999999</v>
      </c>
      <c r="K1232" s="8">
        <f>I1232/1000000</f>
        <v>16.2246660538</v>
      </c>
      <c r="L1232" s="8">
        <f>J1232/1000000</f>
        <v>14.539287824999999</v>
      </c>
      <c r="M1232" t="s">
        <v>39</v>
      </c>
    </row>
    <row r="1233" spans="2:13" x14ac:dyDescent="0.25">
      <c r="B1233" t="s">
        <v>13</v>
      </c>
      <c r="C1233" t="s">
        <v>14</v>
      </c>
      <c r="D1233" t="s">
        <v>52</v>
      </c>
      <c r="E1233">
        <v>2028</v>
      </c>
      <c r="F1233" t="s">
        <v>50</v>
      </c>
      <c r="G1233" t="s">
        <v>17</v>
      </c>
      <c r="H1233" t="s">
        <v>18</v>
      </c>
      <c r="I1233" s="8">
        <v>9564195.4365999997</v>
      </c>
      <c r="J1233" s="8">
        <v>8660720.0846250001</v>
      </c>
      <c r="K1233" s="8">
        <f>I1233/1000000</f>
        <v>9.5641954366000004</v>
      </c>
      <c r="L1233" s="8">
        <f>J1233/1000000</f>
        <v>8.6607200846249999</v>
      </c>
      <c r="M1233" t="s">
        <v>19</v>
      </c>
    </row>
    <row r="1234" spans="2:13" x14ac:dyDescent="0.25">
      <c r="B1234" t="s">
        <v>13</v>
      </c>
      <c r="C1234" t="s">
        <v>14</v>
      </c>
      <c r="D1234" t="s">
        <v>52</v>
      </c>
      <c r="E1234">
        <v>2030</v>
      </c>
      <c r="F1234" t="s">
        <v>50</v>
      </c>
      <c r="G1234" t="s">
        <v>17</v>
      </c>
      <c r="H1234" t="s">
        <v>18</v>
      </c>
      <c r="I1234" s="8">
        <v>4779084.4666999998</v>
      </c>
      <c r="J1234" s="8">
        <v>3950338.1522343801</v>
      </c>
      <c r="K1234" s="8">
        <f>I1234/1000000</f>
        <v>4.7790844666999996</v>
      </c>
      <c r="L1234" s="8">
        <f>J1234/1000000</f>
        <v>3.9503381522343801</v>
      </c>
      <c r="M1234" t="s">
        <v>19</v>
      </c>
    </row>
    <row r="1235" spans="2:13" x14ac:dyDescent="0.25">
      <c r="B1235" t="s">
        <v>13</v>
      </c>
      <c r="C1235" t="s">
        <v>46</v>
      </c>
      <c r="D1235" t="s">
        <v>76</v>
      </c>
      <c r="E1235">
        <v>2028</v>
      </c>
      <c r="F1235" t="s">
        <v>79</v>
      </c>
      <c r="G1235" t="s">
        <v>17</v>
      </c>
      <c r="H1235" t="s">
        <v>18</v>
      </c>
      <c r="I1235" s="8">
        <v>3538658.8365000002</v>
      </c>
      <c r="J1235" s="8">
        <v>1100491.28509524</v>
      </c>
      <c r="K1235" s="8">
        <f>I1235/1000000</f>
        <v>3.5386588365000002</v>
      </c>
      <c r="L1235" s="8">
        <f>J1235/1000000</f>
        <v>1.10049128509524</v>
      </c>
      <c r="M1235" t="s">
        <v>39</v>
      </c>
    </row>
    <row r="1236" spans="2:13" x14ac:dyDescent="0.25">
      <c r="B1236" t="s">
        <v>13</v>
      </c>
      <c r="C1236" t="s">
        <v>46</v>
      </c>
      <c r="D1236" t="s">
        <v>76</v>
      </c>
      <c r="E1236">
        <v>2029</v>
      </c>
      <c r="F1236" t="s">
        <v>79</v>
      </c>
      <c r="G1236" t="s">
        <v>17</v>
      </c>
      <c r="H1236" t="s">
        <v>18</v>
      </c>
      <c r="I1236" s="8">
        <v>3608415.6031999998</v>
      </c>
      <c r="J1236" s="8">
        <v>1122185.0163552</v>
      </c>
      <c r="K1236" s="8">
        <f>I1236/1000000</f>
        <v>3.6084156031999997</v>
      </c>
      <c r="L1236" s="8">
        <f>J1236/1000000</f>
        <v>1.1221850163552001</v>
      </c>
      <c r="M1236" t="s">
        <v>39</v>
      </c>
    </row>
    <row r="1237" spans="2:13" x14ac:dyDescent="0.25">
      <c r="B1237" t="s">
        <v>13</v>
      </c>
      <c r="C1237" t="s">
        <v>46</v>
      </c>
      <c r="D1237" t="s">
        <v>76</v>
      </c>
      <c r="E1237">
        <v>2030</v>
      </c>
      <c r="F1237" t="s">
        <v>79</v>
      </c>
      <c r="G1237" t="s">
        <v>17</v>
      </c>
      <c r="H1237" t="s">
        <v>18</v>
      </c>
      <c r="I1237" s="8">
        <v>3679468.8747</v>
      </c>
      <c r="J1237" s="8">
        <v>1144281.9490138099</v>
      </c>
      <c r="K1237" s="8">
        <f>I1237/1000000</f>
        <v>3.6794688746999999</v>
      </c>
      <c r="L1237" s="8">
        <f>J1237/1000000</f>
        <v>1.1442819490138099</v>
      </c>
      <c r="M1237" t="s">
        <v>39</v>
      </c>
    </row>
    <row r="1238" spans="2:13" x14ac:dyDescent="0.25">
      <c r="B1238" t="s">
        <v>13</v>
      </c>
      <c r="C1238" t="s">
        <v>46</v>
      </c>
      <c r="D1238" t="s">
        <v>73</v>
      </c>
      <c r="E1238">
        <v>2026</v>
      </c>
      <c r="F1238" t="s">
        <v>79</v>
      </c>
      <c r="G1238" t="s">
        <v>17</v>
      </c>
      <c r="H1238" t="s">
        <v>18</v>
      </c>
      <c r="I1238" s="8">
        <v>1913249.0179999999</v>
      </c>
      <c r="J1238" s="8">
        <v>2003100</v>
      </c>
      <c r="K1238" s="8">
        <f>I1238/1000000</f>
        <v>1.9132490179999999</v>
      </c>
      <c r="L1238" s="8">
        <f>J1238/1000000</f>
        <v>2.0030999999999999</v>
      </c>
      <c r="M1238" t="s">
        <v>19</v>
      </c>
    </row>
    <row r="1239" spans="2:13" x14ac:dyDescent="0.25">
      <c r="B1239" t="s">
        <v>13</v>
      </c>
      <c r="C1239" t="s">
        <v>46</v>
      </c>
      <c r="D1239" t="s">
        <v>73</v>
      </c>
      <c r="E1239">
        <v>2027</v>
      </c>
      <c r="F1239" t="s">
        <v>79</v>
      </c>
      <c r="G1239" t="s">
        <v>17</v>
      </c>
      <c r="H1239" t="s">
        <v>18</v>
      </c>
      <c r="I1239" s="8">
        <v>1928301.7261000001</v>
      </c>
      <c r="J1239" s="8">
        <v>2024783.52076516</v>
      </c>
      <c r="K1239" s="8">
        <f>I1239/1000000</f>
        <v>1.9283017261000002</v>
      </c>
      <c r="L1239" s="8">
        <f>J1239/1000000</f>
        <v>2.0247835207651601</v>
      </c>
      <c r="M1239" t="s">
        <v>19</v>
      </c>
    </row>
    <row r="1240" spans="2:13" x14ac:dyDescent="0.25">
      <c r="B1240" t="s">
        <v>13</v>
      </c>
      <c r="C1240" t="s">
        <v>46</v>
      </c>
      <c r="D1240" t="s">
        <v>73</v>
      </c>
      <c r="E1240">
        <v>2028</v>
      </c>
      <c r="F1240" t="s">
        <v>79</v>
      </c>
      <c r="G1240" t="s">
        <v>17</v>
      </c>
      <c r="H1240" t="s">
        <v>18</v>
      </c>
      <c r="I1240" s="8">
        <v>2137232.2525999998</v>
      </c>
      <c r="J1240" s="8">
        <v>2099295.8261567201</v>
      </c>
      <c r="K1240" s="8">
        <f>I1240/1000000</f>
        <v>2.1372322525999996</v>
      </c>
      <c r="L1240" s="8">
        <f>J1240/1000000</f>
        <v>2.0992958261567201</v>
      </c>
      <c r="M1240" t="s">
        <v>19</v>
      </c>
    </row>
    <row r="1241" spans="2:13" x14ac:dyDescent="0.25">
      <c r="B1241" t="s">
        <v>13</v>
      </c>
      <c r="C1241" t="s">
        <v>46</v>
      </c>
      <c r="D1241" t="s">
        <v>73</v>
      </c>
      <c r="E1241">
        <v>2029</v>
      </c>
      <c r="F1241" t="s">
        <v>79</v>
      </c>
      <c r="G1241" t="s">
        <v>17</v>
      </c>
      <c r="H1241" t="s">
        <v>18</v>
      </c>
      <c r="I1241" s="8">
        <v>2171382.1516</v>
      </c>
      <c r="J1241" s="8">
        <v>2132839.5663118698</v>
      </c>
      <c r="K1241" s="8">
        <f>I1241/1000000</f>
        <v>2.1713821516</v>
      </c>
      <c r="L1241" s="8">
        <f>J1241/1000000</f>
        <v>2.1328395663118696</v>
      </c>
      <c r="M1241" t="s">
        <v>19</v>
      </c>
    </row>
    <row r="1242" spans="2:13" x14ac:dyDescent="0.25">
      <c r="B1242" t="s">
        <v>13</v>
      </c>
      <c r="C1242" t="s">
        <v>46</v>
      </c>
      <c r="D1242" t="s">
        <v>73</v>
      </c>
      <c r="E1242">
        <v>2030</v>
      </c>
      <c r="F1242" t="s">
        <v>79</v>
      </c>
      <c r="G1242" t="s">
        <v>17</v>
      </c>
      <c r="H1242" t="s">
        <v>18</v>
      </c>
      <c r="I1242" s="8">
        <v>2184062.2877000002</v>
      </c>
      <c r="J1242" s="8">
        <v>2145294.6270038499</v>
      </c>
      <c r="K1242" s="8">
        <f>I1242/1000000</f>
        <v>2.1840622877000002</v>
      </c>
      <c r="L1242" s="8">
        <f>J1242/1000000</f>
        <v>2.14529462700385</v>
      </c>
      <c r="M1242" t="s">
        <v>19</v>
      </c>
    </row>
    <row r="1243" spans="2:13" x14ac:dyDescent="0.25">
      <c r="B1243" t="s">
        <v>13</v>
      </c>
      <c r="C1243" t="s">
        <v>46</v>
      </c>
      <c r="D1243" t="s">
        <v>70</v>
      </c>
      <c r="E1243">
        <v>2026</v>
      </c>
      <c r="F1243" t="s">
        <v>79</v>
      </c>
      <c r="G1243" t="s">
        <v>17</v>
      </c>
      <c r="H1243" t="s">
        <v>18</v>
      </c>
      <c r="I1243" s="8">
        <v>2636137.4350000001</v>
      </c>
      <c r="J1243" s="8">
        <v>1527400</v>
      </c>
      <c r="K1243" s="8">
        <f>I1243/1000000</f>
        <v>2.6361374350000002</v>
      </c>
      <c r="L1243" s="8">
        <f>J1243/1000000</f>
        <v>1.5274000000000001</v>
      </c>
      <c r="M1243" t="s">
        <v>19</v>
      </c>
    </row>
    <row r="1244" spans="2:13" x14ac:dyDescent="0.25">
      <c r="B1244" t="s">
        <v>13</v>
      </c>
      <c r="C1244" t="s">
        <v>46</v>
      </c>
      <c r="D1244" t="s">
        <v>70</v>
      </c>
      <c r="E1244">
        <v>2027</v>
      </c>
      <c r="F1244" t="s">
        <v>79</v>
      </c>
      <c r="G1244" t="s">
        <v>17</v>
      </c>
      <c r="H1244" t="s">
        <v>18</v>
      </c>
      <c r="I1244" s="8">
        <v>2271992.8048999999</v>
      </c>
      <c r="J1244" s="8">
        <v>1626389.04275616</v>
      </c>
      <c r="K1244" s="8">
        <f>I1244/1000000</f>
        <v>2.2719928049</v>
      </c>
      <c r="L1244" s="8">
        <f>J1244/1000000</f>
        <v>1.62638904275616</v>
      </c>
      <c r="M1244" t="s">
        <v>19</v>
      </c>
    </row>
    <row r="1245" spans="2:13" x14ac:dyDescent="0.25">
      <c r="B1245" t="s">
        <v>13</v>
      </c>
      <c r="C1245" t="s">
        <v>46</v>
      </c>
      <c r="D1245" t="s">
        <v>70</v>
      </c>
      <c r="E1245">
        <v>2028</v>
      </c>
      <c r="F1245" t="s">
        <v>79</v>
      </c>
      <c r="G1245" t="s">
        <v>17</v>
      </c>
      <c r="H1245" t="s">
        <v>18</v>
      </c>
      <c r="I1245" s="8">
        <v>2343038.5693999999</v>
      </c>
      <c r="J1245" s="8">
        <v>1658470.8419069001</v>
      </c>
      <c r="K1245" s="8">
        <f>I1245/1000000</f>
        <v>2.3430385694</v>
      </c>
      <c r="L1245" s="8">
        <f>J1245/1000000</f>
        <v>1.6584708419069001</v>
      </c>
      <c r="M1245" t="s">
        <v>19</v>
      </c>
    </row>
    <row r="1246" spans="2:13" x14ac:dyDescent="0.25">
      <c r="B1246" t="s">
        <v>13</v>
      </c>
      <c r="C1246" t="s">
        <v>46</v>
      </c>
      <c r="D1246" t="s">
        <v>70</v>
      </c>
      <c r="E1246">
        <v>2029</v>
      </c>
      <c r="F1246" t="s">
        <v>79</v>
      </c>
      <c r="G1246" t="s">
        <v>17</v>
      </c>
      <c r="H1246" t="s">
        <v>18</v>
      </c>
      <c r="I1246" s="8">
        <v>2698356.3092999998</v>
      </c>
      <c r="J1246" s="8">
        <v>1696987.0846920901</v>
      </c>
      <c r="K1246" s="8">
        <f>I1246/1000000</f>
        <v>2.6983563092999998</v>
      </c>
      <c r="L1246" s="8">
        <f>J1246/1000000</f>
        <v>1.69698708469209</v>
      </c>
      <c r="M1246" t="s">
        <v>19</v>
      </c>
    </row>
    <row r="1247" spans="2:13" x14ac:dyDescent="0.25">
      <c r="B1247" t="s">
        <v>13</v>
      </c>
      <c r="C1247" t="s">
        <v>46</v>
      </c>
      <c r="D1247" t="s">
        <v>70</v>
      </c>
      <c r="E1247">
        <v>2030</v>
      </c>
      <c r="F1247" t="s">
        <v>79</v>
      </c>
      <c r="G1247" t="s">
        <v>17</v>
      </c>
      <c r="H1247" t="s">
        <v>18</v>
      </c>
      <c r="I1247" s="8">
        <v>2735799.9139</v>
      </c>
      <c r="J1247" s="8">
        <v>1719020.12056758</v>
      </c>
      <c r="K1247" s="8">
        <f>I1247/1000000</f>
        <v>2.7357999139000002</v>
      </c>
      <c r="L1247" s="8">
        <f>J1247/1000000</f>
        <v>1.7190201205675799</v>
      </c>
      <c r="M1247" t="s">
        <v>19</v>
      </c>
    </row>
    <row r="1248" spans="2:13" x14ac:dyDescent="0.25">
      <c r="B1248" t="s">
        <v>13</v>
      </c>
      <c r="C1248" t="s">
        <v>46</v>
      </c>
      <c r="D1248" t="s">
        <v>15</v>
      </c>
      <c r="E1248">
        <v>2028</v>
      </c>
      <c r="F1248" t="s">
        <v>79</v>
      </c>
      <c r="G1248" t="s">
        <v>17</v>
      </c>
      <c r="H1248" t="s">
        <v>18</v>
      </c>
      <c r="I1248" s="8">
        <v>501740.72070000001</v>
      </c>
      <c r="J1248" s="8">
        <v>166853.42511157901</v>
      </c>
      <c r="K1248" s="8">
        <f>I1248/1000000</f>
        <v>0.50174072069999998</v>
      </c>
      <c r="L1248" s="8">
        <f>J1248/1000000</f>
        <v>0.16685342511157902</v>
      </c>
      <c r="M1248" t="s">
        <v>19</v>
      </c>
    </row>
    <row r="1249" spans="2:13" x14ac:dyDescent="0.25">
      <c r="B1249" t="s">
        <v>13</v>
      </c>
      <c r="C1249" t="s">
        <v>46</v>
      </c>
      <c r="D1249" t="s">
        <v>15</v>
      </c>
      <c r="E1249">
        <v>2026</v>
      </c>
      <c r="F1249" t="s">
        <v>79</v>
      </c>
      <c r="G1249" t="s">
        <v>17</v>
      </c>
      <c r="H1249" t="s">
        <v>18</v>
      </c>
      <c r="I1249" s="8">
        <v>925487.24719999998</v>
      </c>
      <c r="J1249" s="8">
        <v>200110</v>
      </c>
      <c r="K1249" s="8">
        <f>I1249/1000000</f>
        <v>0.92548724719999997</v>
      </c>
      <c r="L1249" s="8">
        <f>J1249/1000000</f>
        <v>0.20011000000000001</v>
      </c>
      <c r="M1249" t="s">
        <v>19</v>
      </c>
    </row>
    <row r="1250" spans="2:13" x14ac:dyDescent="0.25">
      <c r="B1250" t="s">
        <v>13</v>
      </c>
      <c r="C1250" t="s">
        <v>46</v>
      </c>
      <c r="D1250" t="s">
        <v>15</v>
      </c>
      <c r="E1250">
        <v>2027</v>
      </c>
      <c r="F1250" t="s">
        <v>79</v>
      </c>
      <c r="G1250" t="s">
        <v>17</v>
      </c>
      <c r="H1250" t="s">
        <v>18</v>
      </c>
      <c r="I1250" s="8">
        <v>748592.77540000004</v>
      </c>
      <c r="J1250" s="8">
        <v>161860.06170947399</v>
      </c>
      <c r="K1250" s="8">
        <f>I1250/1000000</f>
        <v>0.74859277540000002</v>
      </c>
      <c r="L1250" s="8">
        <f>J1250/1000000</f>
        <v>0.16186006170947398</v>
      </c>
      <c r="M1250" t="s">
        <v>19</v>
      </c>
    </row>
    <row r="1251" spans="2:13" x14ac:dyDescent="0.25">
      <c r="B1251" t="s">
        <v>13</v>
      </c>
      <c r="C1251" t="s">
        <v>46</v>
      </c>
      <c r="D1251" t="s">
        <v>15</v>
      </c>
      <c r="E1251">
        <v>2030</v>
      </c>
      <c r="F1251" t="s">
        <v>79</v>
      </c>
      <c r="G1251" t="s">
        <v>17</v>
      </c>
      <c r="H1251" t="s">
        <v>18</v>
      </c>
      <c r="I1251" s="8">
        <v>530574.12109999999</v>
      </c>
      <c r="J1251" s="8">
        <v>176441.94644210499</v>
      </c>
      <c r="K1251" s="8">
        <f>I1251/1000000</f>
        <v>0.53057412110000002</v>
      </c>
      <c r="L1251" s="8">
        <f>J1251/1000000</f>
        <v>0.17644194644210498</v>
      </c>
      <c r="M1251" t="s">
        <v>19</v>
      </c>
    </row>
    <row r="1252" spans="2:13" x14ac:dyDescent="0.25">
      <c r="B1252" t="s">
        <v>13</v>
      </c>
      <c r="C1252" t="s">
        <v>46</v>
      </c>
      <c r="D1252" t="s">
        <v>100</v>
      </c>
      <c r="E1252">
        <v>2030</v>
      </c>
      <c r="F1252" t="s">
        <v>79</v>
      </c>
      <c r="G1252" t="s">
        <v>17</v>
      </c>
      <c r="H1252" t="s">
        <v>18</v>
      </c>
      <c r="I1252" s="8">
        <v>3560926.4470000002</v>
      </c>
      <c r="J1252" s="8">
        <v>1583626.83281212</v>
      </c>
      <c r="K1252" s="8">
        <f>I1252/1000000</f>
        <v>3.5609264469999999</v>
      </c>
      <c r="L1252" s="8">
        <f>J1252/1000000</f>
        <v>1.5836268328121199</v>
      </c>
      <c r="M1252" t="s">
        <v>19</v>
      </c>
    </row>
    <row r="1253" spans="2:13" x14ac:dyDescent="0.25">
      <c r="B1253" t="s">
        <v>13</v>
      </c>
      <c r="C1253" t="s">
        <v>46</v>
      </c>
      <c r="D1253" t="s">
        <v>100</v>
      </c>
      <c r="E1253">
        <v>2029</v>
      </c>
      <c r="F1253" t="s">
        <v>79</v>
      </c>
      <c r="G1253" t="s">
        <v>17</v>
      </c>
      <c r="H1253" t="s">
        <v>18</v>
      </c>
      <c r="I1253" s="8">
        <v>3574815.4037000001</v>
      </c>
      <c r="J1253" s="8">
        <v>1575787.7852107901</v>
      </c>
      <c r="K1253" s="8">
        <f>I1253/1000000</f>
        <v>3.5748154037000002</v>
      </c>
      <c r="L1253" s="8">
        <f>J1253/1000000</f>
        <v>1.5757877852107902</v>
      </c>
      <c r="M1253" t="s">
        <v>19</v>
      </c>
    </row>
    <row r="1254" spans="2:13" x14ac:dyDescent="0.25">
      <c r="B1254" t="s">
        <v>13</v>
      </c>
      <c r="C1254" t="s">
        <v>46</v>
      </c>
      <c r="D1254" t="s">
        <v>100</v>
      </c>
      <c r="E1254">
        <v>2026</v>
      </c>
      <c r="F1254" t="s">
        <v>79</v>
      </c>
      <c r="G1254" t="s">
        <v>17</v>
      </c>
      <c r="H1254" t="s">
        <v>18</v>
      </c>
      <c r="I1254" s="8">
        <v>3185658.4213</v>
      </c>
      <c r="J1254" s="8">
        <v>1496200</v>
      </c>
      <c r="K1254" s="8">
        <f>I1254/1000000</f>
        <v>3.1856584212999999</v>
      </c>
      <c r="L1254" s="8">
        <f>J1254/1000000</f>
        <v>1.4962</v>
      </c>
      <c r="M1254" t="s">
        <v>19</v>
      </c>
    </row>
    <row r="1255" spans="2:13" x14ac:dyDescent="0.25">
      <c r="B1255" t="s">
        <v>13</v>
      </c>
      <c r="C1255" t="s">
        <v>46</v>
      </c>
      <c r="D1255" t="s">
        <v>100</v>
      </c>
      <c r="E1255">
        <v>2027</v>
      </c>
      <c r="F1255" t="s">
        <v>79</v>
      </c>
      <c r="G1255" t="s">
        <v>17</v>
      </c>
      <c r="H1255" t="s">
        <v>18</v>
      </c>
      <c r="I1255" s="8">
        <v>3271463.1351000001</v>
      </c>
      <c r="J1255" s="8">
        <v>1522201.1136704199</v>
      </c>
      <c r="K1255" s="8">
        <f>I1255/1000000</f>
        <v>3.2714631350999999</v>
      </c>
      <c r="L1255" s="8">
        <f>J1255/1000000</f>
        <v>1.5222011136704199</v>
      </c>
      <c r="M1255" t="s">
        <v>19</v>
      </c>
    </row>
    <row r="1256" spans="2:13" x14ac:dyDescent="0.25">
      <c r="B1256" t="s">
        <v>13</v>
      </c>
      <c r="C1256" t="s">
        <v>46</v>
      </c>
      <c r="D1256" t="s">
        <v>100</v>
      </c>
      <c r="E1256">
        <v>2028</v>
      </c>
      <c r="F1256" t="s">
        <v>79</v>
      </c>
      <c r="G1256" t="s">
        <v>17</v>
      </c>
      <c r="H1256" t="s">
        <v>18</v>
      </c>
      <c r="I1256" s="8">
        <v>3280458.5413000002</v>
      </c>
      <c r="J1256" s="8">
        <v>1541142.0363316999</v>
      </c>
      <c r="K1256" s="8">
        <f>I1256/1000000</f>
        <v>3.2804585413000003</v>
      </c>
      <c r="L1256" s="8">
        <f>J1256/1000000</f>
        <v>1.5411420363316999</v>
      </c>
      <c r="M1256" t="s">
        <v>19</v>
      </c>
    </row>
    <row r="1257" spans="2:13" x14ac:dyDescent="0.25">
      <c r="B1257" t="s">
        <v>13</v>
      </c>
      <c r="C1257" t="s">
        <v>46</v>
      </c>
      <c r="D1257" t="s">
        <v>72</v>
      </c>
      <c r="E1257">
        <v>2030</v>
      </c>
      <c r="F1257" t="s">
        <v>79</v>
      </c>
      <c r="G1257" t="s">
        <v>17</v>
      </c>
      <c r="H1257" t="s">
        <v>18</v>
      </c>
      <c r="I1257" s="8">
        <v>5468969.0257000001</v>
      </c>
      <c r="J1257" s="8">
        <v>2542188.2606260702</v>
      </c>
      <c r="K1257" s="8">
        <f>I1257/1000000</f>
        <v>5.4689690256999999</v>
      </c>
      <c r="L1257" s="8">
        <f>J1257/1000000</f>
        <v>2.5421882606260704</v>
      </c>
      <c r="M1257" t="s">
        <v>19</v>
      </c>
    </row>
    <row r="1258" spans="2:13" x14ac:dyDescent="0.25">
      <c r="B1258" t="s">
        <v>13</v>
      </c>
      <c r="C1258" t="s">
        <v>46</v>
      </c>
      <c r="D1258" t="s">
        <v>72</v>
      </c>
      <c r="E1258">
        <v>2026</v>
      </c>
      <c r="F1258" t="s">
        <v>79</v>
      </c>
      <c r="G1258" t="s">
        <v>17</v>
      </c>
      <c r="H1258" t="s">
        <v>18</v>
      </c>
      <c r="I1258" s="8">
        <v>6878085.7193</v>
      </c>
      <c r="J1258" s="8">
        <v>2409200</v>
      </c>
      <c r="K1258" s="8">
        <f>I1258/1000000</f>
        <v>6.8780857192999996</v>
      </c>
      <c r="L1258" s="8">
        <f>J1258/1000000</f>
        <v>2.4091999999999998</v>
      </c>
      <c r="M1258" t="s">
        <v>19</v>
      </c>
    </row>
    <row r="1259" spans="2:13" x14ac:dyDescent="0.25">
      <c r="B1259" t="s">
        <v>13</v>
      </c>
      <c r="C1259" t="s">
        <v>46</v>
      </c>
      <c r="D1259" t="s">
        <v>72</v>
      </c>
      <c r="E1259">
        <v>2027</v>
      </c>
      <c r="F1259" t="s">
        <v>79</v>
      </c>
      <c r="G1259" t="s">
        <v>17</v>
      </c>
      <c r="H1259" t="s">
        <v>18</v>
      </c>
      <c r="I1259" s="8">
        <v>5976814.8321000002</v>
      </c>
      <c r="J1259" s="8">
        <v>2434563.0814440702</v>
      </c>
      <c r="K1259" s="8">
        <f>I1259/1000000</f>
        <v>5.9768148321000005</v>
      </c>
      <c r="L1259" s="8">
        <f>J1259/1000000</f>
        <v>2.4345630814440704</v>
      </c>
      <c r="M1259" t="s">
        <v>19</v>
      </c>
    </row>
    <row r="1260" spans="2:13" x14ac:dyDescent="0.25">
      <c r="B1260" t="s">
        <v>13</v>
      </c>
      <c r="C1260" t="s">
        <v>46</v>
      </c>
      <c r="D1260" t="s">
        <v>72</v>
      </c>
      <c r="E1260">
        <v>2028</v>
      </c>
      <c r="F1260" t="s">
        <v>79</v>
      </c>
      <c r="G1260" t="s">
        <v>17</v>
      </c>
      <c r="H1260" t="s">
        <v>18</v>
      </c>
      <c r="I1260" s="8">
        <v>6018593.0820000004</v>
      </c>
      <c r="J1260" s="8">
        <v>2464856.6284829602</v>
      </c>
      <c r="K1260" s="8">
        <f>I1260/1000000</f>
        <v>6.0185930820000006</v>
      </c>
      <c r="L1260" s="8">
        <f>J1260/1000000</f>
        <v>2.4648566284829601</v>
      </c>
      <c r="M1260" t="s">
        <v>19</v>
      </c>
    </row>
    <row r="1261" spans="2:13" x14ac:dyDescent="0.25">
      <c r="B1261" t="s">
        <v>13</v>
      </c>
      <c r="C1261" t="s">
        <v>46</v>
      </c>
      <c r="D1261" t="s">
        <v>72</v>
      </c>
      <c r="E1261">
        <v>2029</v>
      </c>
      <c r="F1261" t="s">
        <v>79</v>
      </c>
      <c r="G1261" t="s">
        <v>17</v>
      </c>
      <c r="H1261" t="s">
        <v>18</v>
      </c>
      <c r="I1261" s="8">
        <v>5449452.6770000001</v>
      </c>
      <c r="J1261" s="8">
        <v>2533116.3071602602</v>
      </c>
      <c r="K1261" s="8">
        <f>I1261/1000000</f>
        <v>5.449452677</v>
      </c>
      <c r="L1261" s="8">
        <f>J1261/1000000</f>
        <v>2.53311630716026</v>
      </c>
      <c r="M1261" t="s">
        <v>19</v>
      </c>
    </row>
    <row r="1262" spans="2:13" x14ac:dyDescent="0.25">
      <c r="B1262" t="s">
        <v>13</v>
      </c>
      <c r="C1262" t="s">
        <v>46</v>
      </c>
      <c r="D1262" t="s">
        <v>15</v>
      </c>
      <c r="E1262">
        <v>2029</v>
      </c>
      <c r="F1262" t="s">
        <v>79</v>
      </c>
      <c r="G1262" t="s">
        <v>17</v>
      </c>
      <c r="H1262" t="s">
        <v>18</v>
      </c>
      <c r="I1262" s="8">
        <v>516824.36690000002</v>
      </c>
      <c r="J1262" s="8">
        <v>171869.47806315799</v>
      </c>
      <c r="K1262" s="8">
        <f>I1262/1000000</f>
        <v>0.5168243669</v>
      </c>
      <c r="L1262" s="8">
        <f>J1262/1000000</f>
        <v>0.171869478063158</v>
      </c>
      <c r="M1262" t="s">
        <v>19</v>
      </c>
    </row>
    <row r="1263" spans="2:13" x14ac:dyDescent="0.25">
      <c r="B1263" t="s">
        <v>13</v>
      </c>
      <c r="C1263" t="s">
        <v>46</v>
      </c>
      <c r="D1263" t="s">
        <v>76</v>
      </c>
      <c r="E1263">
        <v>2026</v>
      </c>
      <c r="F1263" t="s">
        <v>79</v>
      </c>
      <c r="G1263" t="s">
        <v>17</v>
      </c>
      <c r="H1263" t="s">
        <v>18</v>
      </c>
      <c r="I1263" s="8">
        <v>3396583.0071</v>
      </c>
      <c r="J1263" s="8">
        <v>803750</v>
      </c>
      <c r="K1263" s="8">
        <f>I1263/1000000</f>
        <v>3.3965830070999998</v>
      </c>
      <c r="L1263" s="8">
        <f>J1263/1000000</f>
        <v>0.80374999999999996</v>
      </c>
      <c r="M1263" t="s">
        <v>39</v>
      </c>
    </row>
    <row r="1264" spans="2:13" x14ac:dyDescent="0.25">
      <c r="B1264" t="s">
        <v>13</v>
      </c>
      <c r="C1264" t="s">
        <v>46</v>
      </c>
      <c r="D1264" t="s">
        <v>76</v>
      </c>
      <c r="E1264">
        <v>2027</v>
      </c>
      <c r="F1264" t="s">
        <v>79</v>
      </c>
      <c r="G1264" t="s">
        <v>17</v>
      </c>
      <c r="H1264" t="s">
        <v>18</v>
      </c>
      <c r="I1264" s="8">
        <v>3628948.2563999998</v>
      </c>
      <c r="J1264" s="8">
        <v>1113045.7819013</v>
      </c>
      <c r="K1264" s="8">
        <f>I1264/1000000</f>
        <v>3.6289482563999997</v>
      </c>
      <c r="L1264" s="8">
        <f>J1264/1000000</f>
        <v>1.1130457819013</v>
      </c>
      <c r="M1264" t="s">
        <v>39</v>
      </c>
    </row>
    <row r="1265" spans="2:13" x14ac:dyDescent="0.25">
      <c r="B1265" t="s">
        <v>13</v>
      </c>
      <c r="C1265" t="s">
        <v>46</v>
      </c>
      <c r="D1265" t="s">
        <v>102</v>
      </c>
      <c r="E1265">
        <v>2030</v>
      </c>
      <c r="F1265" t="s">
        <v>79</v>
      </c>
      <c r="G1265" t="s">
        <v>17</v>
      </c>
      <c r="H1265" t="s">
        <v>18</v>
      </c>
      <c r="I1265" s="8">
        <v>11679.6656</v>
      </c>
      <c r="J1265" s="8">
        <v>26179.5240006036</v>
      </c>
      <c r="K1265" s="8">
        <f>I1265/1000000</f>
        <v>1.16796656E-2</v>
      </c>
      <c r="L1265" s="8">
        <f>J1265/1000000</f>
        <v>2.61795240006036E-2</v>
      </c>
      <c r="M1265" t="s">
        <v>19</v>
      </c>
    </row>
    <row r="1266" spans="2:13" x14ac:dyDescent="0.25">
      <c r="B1266" t="s">
        <v>13</v>
      </c>
      <c r="C1266" t="s">
        <v>14</v>
      </c>
      <c r="D1266" t="s">
        <v>109</v>
      </c>
      <c r="E1266">
        <v>2028</v>
      </c>
      <c r="F1266" t="s">
        <v>79</v>
      </c>
      <c r="G1266" t="s">
        <v>17</v>
      </c>
      <c r="H1266" t="s">
        <v>18</v>
      </c>
      <c r="I1266" s="8">
        <v>9153833.4894999992</v>
      </c>
      <c r="J1266" s="8">
        <v>5402118</v>
      </c>
      <c r="K1266" s="8">
        <f>I1266/1000000</f>
        <v>9.1538334894999984</v>
      </c>
      <c r="L1266" s="8">
        <f>J1266/1000000</f>
        <v>5.4021179999999998</v>
      </c>
      <c r="M1266" t="s">
        <v>39</v>
      </c>
    </row>
    <row r="1267" spans="2:13" x14ac:dyDescent="0.25">
      <c r="B1267" t="s">
        <v>13</v>
      </c>
      <c r="C1267" t="s">
        <v>14</v>
      </c>
      <c r="D1267" t="s">
        <v>109</v>
      </c>
      <c r="E1267">
        <v>2029</v>
      </c>
      <c r="F1267" t="s">
        <v>79</v>
      </c>
      <c r="G1267" t="s">
        <v>17</v>
      </c>
      <c r="H1267" t="s">
        <v>18</v>
      </c>
      <c r="I1267" s="8">
        <v>2333234.9701</v>
      </c>
      <c r="J1267" s="8">
        <v>1277736.7</v>
      </c>
      <c r="K1267" s="8">
        <f>I1267/1000000</f>
        <v>2.3332349700999999</v>
      </c>
      <c r="L1267" s="8">
        <f>J1267/1000000</f>
        <v>1.2777366999999999</v>
      </c>
      <c r="M1267" t="s">
        <v>39</v>
      </c>
    </row>
    <row r="1268" spans="2:13" x14ac:dyDescent="0.25">
      <c r="B1268" t="s">
        <v>13</v>
      </c>
      <c r="C1268" t="s">
        <v>14</v>
      </c>
      <c r="D1268" t="s">
        <v>52</v>
      </c>
      <c r="E1268">
        <v>2026</v>
      </c>
      <c r="F1268" t="s">
        <v>79</v>
      </c>
      <c r="G1268" t="s">
        <v>17</v>
      </c>
      <c r="H1268" t="s">
        <v>18</v>
      </c>
      <c r="I1268" s="8">
        <v>5802103.6489000004</v>
      </c>
      <c r="J1268" s="8">
        <v>5721500</v>
      </c>
      <c r="K1268" s="8">
        <f>I1268/1000000</f>
        <v>5.8021036489000002</v>
      </c>
      <c r="L1268" s="8">
        <f>J1268/1000000</f>
        <v>5.7214999999999998</v>
      </c>
      <c r="M1268" t="s">
        <v>19</v>
      </c>
    </row>
    <row r="1269" spans="2:13" x14ac:dyDescent="0.25">
      <c r="B1269" t="s">
        <v>13</v>
      </c>
      <c r="C1269" t="s">
        <v>14</v>
      </c>
      <c r="D1269" t="s">
        <v>52</v>
      </c>
      <c r="E1269">
        <v>2029</v>
      </c>
      <c r="F1269" t="s">
        <v>79</v>
      </c>
      <c r="G1269" t="s">
        <v>17</v>
      </c>
      <c r="H1269" t="s">
        <v>18</v>
      </c>
      <c r="I1269" s="8">
        <v>3645237.1342000002</v>
      </c>
      <c r="J1269" s="8">
        <v>3153950.2912499998</v>
      </c>
      <c r="K1269" s="8">
        <f>I1269/1000000</f>
        <v>3.6452371342000003</v>
      </c>
      <c r="L1269" s="8">
        <f>J1269/1000000</f>
        <v>3.1539502912499997</v>
      </c>
      <c r="M1269" t="s">
        <v>19</v>
      </c>
    </row>
    <row r="1270" spans="2:13" x14ac:dyDescent="0.25">
      <c r="B1270" t="s">
        <v>13</v>
      </c>
      <c r="C1270" t="s">
        <v>46</v>
      </c>
      <c r="D1270" t="s">
        <v>101</v>
      </c>
      <c r="E1270">
        <v>2026</v>
      </c>
      <c r="F1270" t="s">
        <v>79</v>
      </c>
      <c r="G1270" t="s">
        <v>17</v>
      </c>
      <c r="H1270" t="s">
        <v>18</v>
      </c>
      <c r="I1270" s="8">
        <v>803411.10970000003</v>
      </c>
      <c r="J1270" s="8">
        <v>722150</v>
      </c>
      <c r="K1270" s="8">
        <f>I1270/1000000</f>
        <v>0.80341110970000007</v>
      </c>
      <c r="L1270" s="8">
        <f>J1270/1000000</f>
        <v>0.72214999999999996</v>
      </c>
      <c r="M1270" t="s">
        <v>39</v>
      </c>
    </row>
    <row r="1271" spans="2:13" x14ac:dyDescent="0.25">
      <c r="B1271" t="s">
        <v>13</v>
      </c>
      <c r="C1271" t="s">
        <v>46</v>
      </c>
      <c r="D1271" t="s">
        <v>101</v>
      </c>
      <c r="E1271">
        <v>2027</v>
      </c>
      <c r="F1271" t="s">
        <v>79</v>
      </c>
      <c r="G1271" t="s">
        <v>17</v>
      </c>
      <c r="H1271" t="s">
        <v>18</v>
      </c>
      <c r="I1271" s="8">
        <v>781199.51930000004</v>
      </c>
      <c r="J1271" s="8">
        <v>700784.29078098596</v>
      </c>
      <c r="K1271" s="8">
        <f>I1271/1000000</f>
        <v>0.78119951930000009</v>
      </c>
      <c r="L1271" s="8">
        <f>J1271/1000000</f>
        <v>0.70078429078098592</v>
      </c>
      <c r="M1271" t="s">
        <v>39</v>
      </c>
    </row>
    <row r="1272" spans="2:13" x14ac:dyDescent="0.25">
      <c r="B1272" t="s">
        <v>13</v>
      </c>
      <c r="C1272" t="s">
        <v>46</v>
      </c>
      <c r="D1272" t="s">
        <v>101</v>
      </c>
      <c r="E1272">
        <v>2028</v>
      </c>
      <c r="F1272" t="s">
        <v>79</v>
      </c>
      <c r="G1272" t="s">
        <v>17</v>
      </c>
      <c r="H1272" t="s">
        <v>18</v>
      </c>
      <c r="I1272" s="8">
        <v>787993.60199999996</v>
      </c>
      <c r="J1272" s="8">
        <v>711938.60526379605</v>
      </c>
      <c r="K1272" s="8">
        <f>I1272/1000000</f>
        <v>0.7879936019999999</v>
      </c>
      <c r="L1272" s="8">
        <f>J1272/1000000</f>
        <v>0.71193860526379604</v>
      </c>
      <c r="M1272" t="s">
        <v>39</v>
      </c>
    </row>
    <row r="1273" spans="2:13" x14ac:dyDescent="0.25">
      <c r="B1273" t="s">
        <v>13</v>
      </c>
      <c r="C1273" t="s">
        <v>46</v>
      </c>
      <c r="D1273" t="s">
        <v>101</v>
      </c>
      <c r="E1273">
        <v>2029</v>
      </c>
      <c r="F1273" t="s">
        <v>79</v>
      </c>
      <c r="G1273" t="s">
        <v>17</v>
      </c>
      <c r="H1273" t="s">
        <v>18</v>
      </c>
      <c r="I1273" s="8">
        <v>800498.55870000005</v>
      </c>
      <c r="J1273" s="8">
        <v>723236.61757644801</v>
      </c>
      <c r="K1273" s="8">
        <f>I1273/1000000</f>
        <v>0.80049855870000008</v>
      </c>
      <c r="L1273" s="8">
        <f>J1273/1000000</f>
        <v>0.72323661757644797</v>
      </c>
      <c r="M1273" t="s">
        <v>39</v>
      </c>
    </row>
    <row r="1274" spans="2:13" x14ac:dyDescent="0.25">
      <c r="B1274" t="s">
        <v>13</v>
      </c>
      <c r="C1274" t="s">
        <v>46</v>
      </c>
      <c r="D1274" t="s">
        <v>101</v>
      </c>
      <c r="E1274">
        <v>2030</v>
      </c>
      <c r="F1274" t="s">
        <v>79</v>
      </c>
      <c r="G1274" t="s">
        <v>17</v>
      </c>
      <c r="H1274" t="s">
        <v>18</v>
      </c>
      <c r="I1274" s="8">
        <v>813164.42390000005</v>
      </c>
      <c r="J1274" s="8">
        <v>734680.00794913399</v>
      </c>
      <c r="K1274" s="8">
        <f>I1274/1000000</f>
        <v>0.8131644239000001</v>
      </c>
      <c r="L1274" s="8">
        <f>J1274/1000000</f>
        <v>0.73468000794913402</v>
      </c>
      <c r="M1274" t="s">
        <v>39</v>
      </c>
    </row>
    <row r="1275" spans="2:13" x14ac:dyDescent="0.25">
      <c r="B1275" t="s">
        <v>13</v>
      </c>
      <c r="C1275" t="s">
        <v>14</v>
      </c>
      <c r="D1275" t="s">
        <v>40</v>
      </c>
      <c r="E1275">
        <v>2028</v>
      </c>
      <c r="F1275" t="s">
        <v>41</v>
      </c>
      <c r="G1275" t="s">
        <v>17</v>
      </c>
      <c r="H1275" t="s">
        <v>18</v>
      </c>
      <c r="I1275" s="8">
        <v>27730191.9791</v>
      </c>
      <c r="J1275" s="8">
        <v>7836334.4027777798</v>
      </c>
      <c r="K1275" s="8">
        <f>I1275/1000000</f>
        <v>27.730191979099999</v>
      </c>
      <c r="L1275" s="8">
        <f>J1275/1000000</f>
        <v>7.8363344027777799</v>
      </c>
      <c r="M1275" t="s">
        <v>39</v>
      </c>
    </row>
    <row r="1276" spans="2:13" x14ac:dyDescent="0.25">
      <c r="B1276" t="s">
        <v>13</v>
      </c>
      <c r="C1276" t="s">
        <v>46</v>
      </c>
      <c r="D1276" t="s">
        <v>52</v>
      </c>
      <c r="E1276">
        <v>2026</v>
      </c>
      <c r="F1276" t="s">
        <v>41</v>
      </c>
      <c r="G1276" t="s">
        <v>17</v>
      </c>
      <c r="H1276" t="s">
        <v>18</v>
      </c>
      <c r="I1276" s="8">
        <v>1877336.4609000001</v>
      </c>
      <c r="J1276" s="8">
        <v>1866461.18339525</v>
      </c>
      <c r="K1276" s="8">
        <f>I1276/1000000</f>
        <v>1.8773364609000001</v>
      </c>
      <c r="L1276" s="8">
        <f>J1276/1000000</f>
        <v>1.86646118339525</v>
      </c>
      <c r="M1276" t="s">
        <v>19</v>
      </c>
    </row>
    <row r="1277" spans="2:13" x14ac:dyDescent="0.25">
      <c r="B1277" t="s">
        <v>13</v>
      </c>
      <c r="C1277" t="s">
        <v>46</v>
      </c>
      <c r="D1277" t="s">
        <v>52</v>
      </c>
      <c r="E1277">
        <v>2029</v>
      </c>
      <c r="F1277" t="s">
        <v>41</v>
      </c>
      <c r="G1277" t="s">
        <v>17</v>
      </c>
      <c r="H1277" t="s">
        <v>18</v>
      </c>
      <c r="I1277" s="8">
        <v>1880472.9606999999</v>
      </c>
      <c r="J1277" s="8">
        <v>1502837.7434700101</v>
      </c>
      <c r="K1277" s="8">
        <f>I1277/1000000</f>
        <v>1.8804729606999999</v>
      </c>
      <c r="L1277" s="8">
        <f>J1277/1000000</f>
        <v>1.5028377434700102</v>
      </c>
      <c r="M1277" t="s">
        <v>19</v>
      </c>
    </row>
    <row r="1278" spans="2:13" x14ac:dyDescent="0.25">
      <c r="B1278" t="s">
        <v>13</v>
      </c>
      <c r="C1278" t="s">
        <v>46</v>
      </c>
      <c r="D1278" t="s">
        <v>52</v>
      </c>
      <c r="E1278">
        <v>2030</v>
      </c>
      <c r="F1278" t="s">
        <v>41</v>
      </c>
      <c r="G1278" t="s">
        <v>17</v>
      </c>
      <c r="H1278" t="s">
        <v>18</v>
      </c>
      <c r="I1278" s="8">
        <v>1818244.9458999999</v>
      </c>
      <c r="J1278" s="8">
        <v>1439882.363294</v>
      </c>
      <c r="K1278" s="8">
        <f>I1278/1000000</f>
        <v>1.8182449458999999</v>
      </c>
      <c r="L1278" s="8">
        <f>J1278/1000000</f>
        <v>1.4398823632940001</v>
      </c>
      <c r="M1278" t="s">
        <v>19</v>
      </c>
    </row>
    <row r="1279" spans="2:13" x14ac:dyDescent="0.25">
      <c r="B1279" t="s">
        <v>13</v>
      </c>
      <c r="C1279" t="s">
        <v>46</v>
      </c>
      <c r="D1279" t="s">
        <v>52</v>
      </c>
      <c r="E1279">
        <v>2028</v>
      </c>
      <c r="F1279" t="s">
        <v>41</v>
      </c>
      <c r="G1279" t="s">
        <v>17</v>
      </c>
      <c r="H1279" t="s">
        <v>18</v>
      </c>
      <c r="I1279" s="8">
        <v>2173170.1518999999</v>
      </c>
      <c r="J1279" s="8">
        <v>1760652.12356316</v>
      </c>
      <c r="K1279" s="8">
        <f>I1279/1000000</f>
        <v>2.1731701519</v>
      </c>
      <c r="L1279" s="8">
        <f>J1279/1000000</f>
        <v>1.76065212356316</v>
      </c>
      <c r="M1279" t="s">
        <v>19</v>
      </c>
    </row>
    <row r="1280" spans="2:13" x14ac:dyDescent="0.25">
      <c r="B1280" t="s">
        <v>13</v>
      </c>
      <c r="C1280" t="s">
        <v>46</v>
      </c>
      <c r="D1280" t="s">
        <v>75</v>
      </c>
      <c r="E1280">
        <v>2030</v>
      </c>
      <c r="F1280" t="s">
        <v>41</v>
      </c>
      <c r="G1280" t="s">
        <v>17</v>
      </c>
      <c r="H1280" t="s">
        <v>18</v>
      </c>
      <c r="I1280" s="8">
        <v>181280.65820000001</v>
      </c>
      <c r="J1280" s="8">
        <v>448893.75588650198</v>
      </c>
      <c r="K1280" s="8">
        <f>I1280/1000000</f>
        <v>0.1812806582</v>
      </c>
      <c r="L1280" s="8">
        <f>J1280/1000000</f>
        <v>0.44889375588650199</v>
      </c>
      <c r="M1280" t="s">
        <v>39</v>
      </c>
    </row>
    <row r="1281" spans="2:13" x14ac:dyDescent="0.25">
      <c r="B1281" t="s">
        <v>13</v>
      </c>
      <c r="C1281" t="s">
        <v>46</v>
      </c>
      <c r="D1281" t="s">
        <v>69</v>
      </c>
      <c r="E1281">
        <v>2029</v>
      </c>
      <c r="F1281" t="s">
        <v>41</v>
      </c>
      <c r="G1281" t="s">
        <v>17</v>
      </c>
      <c r="H1281" t="s">
        <v>18</v>
      </c>
      <c r="I1281" s="8">
        <v>6079399.6321999999</v>
      </c>
      <c r="J1281" s="8">
        <v>2661560.1019145302</v>
      </c>
      <c r="K1281" s="8">
        <f>I1281/1000000</f>
        <v>6.0793996321999995</v>
      </c>
      <c r="L1281" s="8">
        <f>J1281/1000000</f>
        <v>2.6615601019145303</v>
      </c>
      <c r="M1281" t="s">
        <v>19</v>
      </c>
    </row>
    <row r="1282" spans="2:13" x14ac:dyDescent="0.25">
      <c r="B1282" t="s">
        <v>13</v>
      </c>
      <c r="C1282" t="s">
        <v>46</v>
      </c>
      <c r="D1282" t="s">
        <v>69</v>
      </c>
      <c r="E1282">
        <v>2030</v>
      </c>
      <c r="F1282" t="s">
        <v>41</v>
      </c>
      <c r="G1282" t="s">
        <v>17</v>
      </c>
      <c r="H1282" t="s">
        <v>18</v>
      </c>
      <c r="I1282" s="8">
        <v>6080438.8579000002</v>
      </c>
      <c r="J1282" s="8">
        <v>2655789.7323607001</v>
      </c>
      <c r="K1282" s="8">
        <f>I1282/1000000</f>
        <v>6.0804388578999999</v>
      </c>
      <c r="L1282" s="8">
        <f>J1282/1000000</f>
        <v>2.6557897323607</v>
      </c>
      <c r="M1282" t="s">
        <v>19</v>
      </c>
    </row>
    <row r="1283" spans="2:13" x14ac:dyDescent="0.25">
      <c r="B1283" t="s">
        <v>13</v>
      </c>
      <c r="C1283" t="s">
        <v>46</v>
      </c>
      <c r="D1283" t="s">
        <v>74</v>
      </c>
      <c r="E1283">
        <v>2029</v>
      </c>
      <c r="F1283" t="s">
        <v>41</v>
      </c>
      <c r="G1283" t="s">
        <v>17</v>
      </c>
      <c r="H1283" t="s">
        <v>18</v>
      </c>
      <c r="I1283" s="8">
        <v>1260189.1351999999</v>
      </c>
      <c r="J1283" s="8">
        <v>843141.92179498496</v>
      </c>
      <c r="K1283" s="8">
        <f>I1283/1000000</f>
        <v>1.2601891351999999</v>
      </c>
      <c r="L1283" s="8">
        <f>J1283/1000000</f>
        <v>0.84314192179498493</v>
      </c>
      <c r="M1283" t="s">
        <v>19</v>
      </c>
    </row>
    <row r="1284" spans="2:13" x14ac:dyDescent="0.25">
      <c r="B1284" t="s">
        <v>13</v>
      </c>
      <c r="C1284" t="s">
        <v>46</v>
      </c>
      <c r="D1284" t="s">
        <v>74</v>
      </c>
      <c r="E1284">
        <v>2030</v>
      </c>
      <c r="F1284" t="s">
        <v>41</v>
      </c>
      <c r="G1284" t="s">
        <v>17</v>
      </c>
      <c r="H1284" t="s">
        <v>18</v>
      </c>
      <c r="I1284" s="8">
        <v>1248069.7967000001</v>
      </c>
      <c r="J1284" s="8">
        <v>838029.97730703605</v>
      </c>
      <c r="K1284" s="8">
        <f>I1284/1000000</f>
        <v>1.2480697967000001</v>
      </c>
      <c r="L1284" s="8">
        <f>J1284/1000000</f>
        <v>0.8380299773070361</v>
      </c>
      <c r="M1284" t="s">
        <v>19</v>
      </c>
    </row>
    <row r="1285" spans="2:13" x14ac:dyDescent="0.25">
      <c r="B1285" t="s">
        <v>13</v>
      </c>
      <c r="C1285" t="s">
        <v>46</v>
      </c>
      <c r="D1285" t="s">
        <v>74</v>
      </c>
      <c r="E1285">
        <v>2026</v>
      </c>
      <c r="F1285" t="s">
        <v>41</v>
      </c>
      <c r="G1285" t="s">
        <v>17</v>
      </c>
      <c r="H1285" t="s">
        <v>18</v>
      </c>
      <c r="I1285" s="8">
        <v>1319128.4634</v>
      </c>
      <c r="J1285" s="8">
        <v>778308.24747169099</v>
      </c>
      <c r="K1285" s="8">
        <f>I1285/1000000</f>
        <v>1.3191284634</v>
      </c>
      <c r="L1285" s="8">
        <f>J1285/1000000</f>
        <v>0.77830824747169103</v>
      </c>
      <c r="M1285" t="s">
        <v>19</v>
      </c>
    </row>
    <row r="1286" spans="2:13" x14ac:dyDescent="0.25">
      <c r="B1286" t="s">
        <v>13</v>
      </c>
      <c r="C1286" t="s">
        <v>46</v>
      </c>
      <c r="D1286" t="s">
        <v>74</v>
      </c>
      <c r="E1286">
        <v>2027</v>
      </c>
      <c r="F1286" t="s">
        <v>41</v>
      </c>
      <c r="G1286" t="s">
        <v>17</v>
      </c>
      <c r="H1286" t="s">
        <v>18</v>
      </c>
      <c r="I1286" s="8">
        <v>1342926.2394999999</v>
      </c>
      <c r="J1286" s="8">
        <v>808504.459450169</v>
      </c>
      <c r="K1286" s="8">
        <f>I1286/1000000</f>
        <v>1.3429262394999999</v>
      </c>
      <c r="L1286" s="8">
        <f>J1286/1000000</f>
        <v>0.80850445945016902</v>
      </c>
      <c r="M1286" t="s">
        <v>19</v>
      </c>
    </row>
    <row r="1287" spans="2:13" x14ac:dyDescent="0.25">
      <c r="B1287" t="s">
        <v>13</v>
      </c>
      <c r="C1287" t="s">
        <v>46</v>
      </c>
      <c r="D1287" t="s">
        <v>74</v>
      </c>
      <c r="E1287">
        <v>2028</v>
      </c>
      <c r="F1287" t="s">
        <v>41</v>
      </c>
      <c r="G1287" t="s">
        <v>17</v>
      </c>
      <c r="H1287" t="s">
        <v>18</v>
      </c>
      <c r="I1287" s="8">
        <v>1269335.4787999999</v>
      </c>
      <c r="J1287" s="8">
        <v>827782.60253472696</v>
      </c>
      <c r="K1287" s="8">
        <f>I1287/1000000</f>
        <v>1.2693354788</v>
      </c>
      <c r="L1287" s="8">
        <f>J1287/1000000</f>
        <v>0.82778260253472691</v>
      </c>
      <c r="M1287" t="s">
        <v>19</v>
      </c>
    </row>
    <row r="1288" spans="2:13" x14ac:dyDescent="0.25">
      <c r="B1288" t="s">
        <v>13</v>
      </c>
      <c r="C1288" t="s">
        <v>46</v>
      </c>
      <c r="D1288" t="s">
        <v>73</v>
      </c>
      <c r="E1288">
        <v>2026</v>
      </c>
      <c r="F1288" t="s">
        <v>41</v>
      </c>
      <c r="G1288" t="s">
        <v>17</v>
      </c>
      <c r="H1288" t="s">
        <v>18</v>
      </c>
      <c r="I1288" s="8">
        <v>2525066.1496000001</v>
      </c>
      <c r="J1288" s="8">
        <v>2643384.1298176702</v>
      </c>
      <c r="K1288" s="8">
        <f>I1288/1000000</f>
        <v>2.5250661496000002</v>
      </c>
      <c r="L1288" s="8">
        <f>J1288/1000000</f>
        <v>2.6433841298176701</v>
      </c>
      <c r="M1288" t="s">
        <v>19</v>
      </c>
    </row>
    <row r="1289" spans="2:13" x14ac:dyDescent="0.25">
      <c r="B1289" t="s">
        <v>13</v>
      </c>
      <c r="C1289" t="s">
        <v>46</v>
      </c>
      <c r="D1289" t="s">
        <v>73</v>
      </c>
      <c r="E1289">
        <v>2027</v>
      </c>
      <c r="F1289" t="s">
        <v>41</v>
      </c>
      <c r="G1289" t="s">
        <v>17</v>
      </c>
      <c r="H1289" t="s">
        <v>18</v>
      </c>
      <c r="I1289" s="8">
        <v>2108240.3103999998</v>
      </c>
      <c r="J1289" s="8">
        <v>2213725.26098294</v>
      </c>
      <c r="K1289" s="8">
        <f>I1289/1000000</f>
        <v>2.1082403103999998</v>
      </c>
      <c r="L1289" s="8">
        <f>J1289/1000000</f>
        <v>2.2137252609829399</v>
      </c>
      <c r="M1289" t="s">
        <v>19</v>
      </c>
    </row>
    <row r="1290" spans="2:13" x14ac:dyDescent="0.25">
      <c r="B1290" t="s">
        <v>13</v>
      </c>
      <c r="C1290" t="s">
        <v>46</v>
      </c>
      <c r="D1290" t="s">
        <v>70</v>
      </c>
      <c r="E1290">
        <v>2026</v>
      </c>
      <c r="F1290" t="s">
        <v>41</v>
      </c>
      <c r="G1290" t="s">
        <v>17</v>
      </c>
      <c r="H1290" t="s">
        <v>18</v>
      </c>
      <c r="I1290" s="8">
        <v>2709588.4709999999</v>
      </c>
      <c r="J1290" s="8">
        <v>1569958.1424</v>
      </c>
      <c r="K1290" s="8">
        <f>I1290/1000000</f>
        <v>2.709588471</v>
      </c>
      <c r="L1290" s="8">
        <f>J1290/1000000</f>
        <v>1.5699581424</v>
      </c>
      <c r="M1290" t="s">
        <v>19</v>
      </c>
    </row>
    <row r="1291" spans="2:13" x14ac:dyDescent="0.25">
      <c r="B1291" t="s">
        <v>13</v>
      </c>
      <c r="C1291" t="s">
        <v>46</v>
      </c>
      <c r="D1291" t="s">
        <v>70</v>
      </c>
      <c r="E1291">
        <v>2027</v>
      </c>
      <c r="F1291" t="s">
        <v>41</v>
      </c>
      <c r="G1291" t="s">
        <v>17</v>
      </c>
      <c r="H1291" t="s">
        <v>18</v>
      </c>
      <c r="I1291" s="8">
        <v>2361597.3366999999</v>
      </c>
      <c r="J1291" s="8">
        <v>1690531.7760000001</v>
      </c>
      <c r="K1291" s="8">
        <f>I1291/1000000</f>
        <v>2.3615973367</v>
      </c>
      <c r="L1291" s="8">
        <f>J1291/1000000</f>
        <v>1.690531776</v>
      </c>
      <c r="M1291" t="s">
        <v>19</v>
      </c>
    </row>
    <row r="1292" spans="2:13" x14ac:dyDescent="0.25">
      <c r="B1292" t="s">
        <v>13</v>
      </c>
      <c r="C1292" t="s">
        <v>46</v>
      </c>
      <c r="D1292" t="s">
        <v>40</v>
      </c>
      <c r="E1292">
        <v>2029</v>
      </c>
      <c r="F1292" t="s">
        <v>41</v>
      </c>
      <c r="G1292" t="s">
        <v>17</v>
      </c>
      <c r="H1292" t="s">
        <v>18</v>
      </c>
      <c r="I1292" s="8">
        <v>1998888.4091</v>
      </c>
      <c r="J1292" s="8">
        <v>564870.16099526</v>
      </c>
      <c r="K1292" s="8">
        <f>I1292/1000000</f>
        <v>1.9988884091000001</v>
      </c>
      <c r="L1292" s="8">
        <f>J1292/1000000</f>
        <v>0.56487016099526</v>
      </c>
      <c r="M1292" t="s">
        <v>39</v>
      </c>
    </row>
    <row r="1293" spans="2:13" x14ac:dyDescent="0.25">
      <c r="B1293" t="s">
        <v>13</v>
      </c>
      <c r="C1293" t="s">
        <v>46</v>
      </c>
      <c r="D1293" t="s">
        <v>40</v>
      </c>
      <c r="E1293">
        <v>2030</v>
      </c>
      <c r="F1293" t="s">
        <v>41</v>
      </c>
      <c r="G1293" t="s">
        <v>17</v>
      </c>
      <c r="H1293" t="s">
        <v>18</v>
      </c>
      <c r="I1293" s="8">
        <v>1986768.6938</v>
      </c>
      <c r="J1293" s="8">
        <v>561445.224671887</v>
      </c>
      <c r="K1293" s="8">
        <f>I1293/1000000</f>
        <v>1.9867686938</v>
      </c>
      <c r="L1293" s="8">
        <f>J1293/1000000</f>
        <v>0.56144522467188696</v>
      </c>
      <c r="M1293" t="s">
        <v>39</v>
      </c>
    </row>
    <row r="1294" spans="2:13" x14ac:dyDescent="0.25">
      <c r="B1294" t="s">
        <v>13</v>
      </c>
      <c r="C1294" t="s">
        <v>46</v>
      </c>
      <c r="D1294" t="s">
        <v>38</v>
      </c>
      <c r="E1294">
        <v>2026</v>
      </c>
      <c r="F1294" t="s">
        <v>41</v>
      </c>
      <c r="G1294" t="s">
        <v>17</v>
      </c>
      <c r="H1294" t="s">
        <v>18</v>
      </c>
      <c r="I1294" s="8">
        <v>563949.75430000003</v>
      </c>
      <c r="J1294" s="8">
        <v>660162.96101152396</v>
      </c>
      <c r="K1294" s="8">
        <f>I1294/1000000</f>
        <v>0.56394975430000005</v>
      </c>
      <c r="L1294" s="8">
        <f>J1294/1000000</f>
        <v>0.66016296101152394</v>
      </c>
      <c r="M1294" t="s">
        <v>39</v>
      </c>
    </row>
    <row r="1295" spans="2:13" x14ac:dyDescent="0.25">
      <c r="B1295" t="s">
        <v>13</v>
      </c>
      <c r="C1295" t="s">
        <v>46</v>
      </c>
      <c r="D1295" t="s">
        <v>38</v>
      </c>
      <c r="E1295">
        <v>2027</v>
      </c>
      <c r="F1295" t="s">
        <v>41</v>
      </c>
      <c r="G1295" t="s">
        <v>17</v>
      </c>
      <c r="H1295" t="s">
        <v>18</v>
      </c>
      <c r="I1295" s="8">
        <v>622837.36829999997</v>
      </c>
      <c r="J1295" s="8">
        <v>698821.40807768598</v>
      </c>
      <c r="K1295" s="8">
        <f>I1295/1000000</f>
        <v>0.62283736830000003</v>
      </c>
      <c r="L1295" s="8">
        <f>J1295/1000000</f>
        <v>0.698821408077686</v>
      </c>
      <c r="M1295" t="s">
        <v>39</v>
      </c>
    </row>
    <row r="1296" spans="2:13" x14ac:dyDescent="0.25">
      <c r="B1296" t="s">
        <v>13</v>
      </c>
      <c r="C1296" t="s">
        <v>46</v>
      </c>
      <c r="D1296" t="s">
        <v>15</v>
      </c>
      <c r="E1296">
        <v>2028</v>
      </c>
      <c r="F1296" t="s">
        <v>41</v>
      </c>
      <c r="G1296" t="s">
        <v>17</v>
      </c>
      <c r="H1296" t="s">
        <v>18</v>
      </c>
      <c r="I1296" s="8">
        <v>900694.28029999998</v>
      </c>
      <c r="J1296" s="8">
        <v>299735.32048091799</v>
      </c>
      <c r="K1296" s="8">
        <f>I1296/1000000</f>
        <v>0.90069428029999998</v>
      </c>
      <c r="L1296" s="8">
        <f>J1296/1000000</f>
        <v>0.299735320480918</v>
      </c>
      <c r="M1296" t="s">
        <v>19</v>
      </c>
    </row>
    <row r="1297" spans="2:13" x14ac:dyDescent="0.25">
      <c r="B1297" t="s">
        <v>13</v>
      </c>
      <c r="C1297" t="s">
        <v>46</v>
      </c>
      <c r="D1297" t="s">
        <v>15</v>
      </c>
      <c r="E1297">
        <v>2026</v>
      </c>
      <c r="F1297" t="s">
        <v>41</v>
      </c>
      <c r="G1297" t="s">
        <v>17</v>
      </c>
      <c r="H1297" t="s">
        <v>18</v>
      </c>
      <c r="I1297" s="8">
        <v>1114293.1431</v>
      </c>
      <c r="J1297" s="8">
        <v>240931.4688</v>
      </c>
      <c r="K1297" s="8">
        <f>I1297/1000000</f>
        <v>1.1142931431</v>
      </c>
      <c r="L1297" s="8">
        <f>J1297/1000000</f>
        <v>0.24093146879999999</v>
      </c>
      <c r="M1297" t="s">
        <v>19</v>
      </c>
    </row>
    <row r="1298" spans="2:13" x14ac:dyDescent="0.25">
      <c r="B1298" t="s">
        <v>13</v>
      </c>
      <c r="C1298" t="s">
        <v>46</v>
      </c>
      <c r="D1298" t="s">
        <v>15</v>
      </c>
      <c r="E1298">
        <v>2027</v>
      </c>
      <c r="F1298" t="s">
        <v>41</v>
      </c>
      <c r="G1298" t="s">
        <v>17</v>
      </c>
      <c r="H1298" t="s">
        <v>18</v>
      </c>
      <c r="I1298" s="8">
        <v>1320421.051</v>
      </c>
      <c r="J1298" s="8">
        <v>285500.26105263201</v>
      </c>
      <c r="K1298" s="8">
        <f>I1298/1000000</f>
        <v>1.3204210510000001</v>
      </c>
      <c r="L1298" s="8">
        <f>J1298/1000000</f>
        <v>0.28550026105263199</v>
      </c>
      <c r="M1298" t="s">
        <v>19</v>
      </c>
    </row>
    <row r="1299" spans="2:13" x14ac:dyDescent="0.25">
      <c r="B1299" t="s">
        <v>13</v>
      </c>
      <c r="C1299" t="s">
        <v>46</v>
      </c>
      <c r="D1299" t="s">
        <v>15</v>
      </c>
      <c r="E1299">
        <v>2030</v>
      </c>
      <c r="F1299" t="s">
        <v>41</v>
      </c>
      <c r="G1299" t="s">
        <v>17</v>
      </c>
      <c r="H1299" t="s">
        <v>18</v>
      </c>
      <c r="I1299" s="8">
        <v>512908.46620000002</v>
      </c>
      <c r="J1299" s="8">
        <v>170685.48203802499</v>
      </c>
      <c r="K1299" s="8">
        <f>I1299/1000000</f>
        <v>0.51290846620000008</v>
      </c>
      <c r="L1299" s="8">
        <f>J1299/1000000</f>
        <v>0.170685482038025</v>
      </c>
      <c r="M1299" t="s">
        <v>19</v>
      </c>
    </row>
    <row r="1300" spans="2:13" x14ac:dyDescent="0.25">
      <c r="B1300" t="s">
        <v>13</v>
      </c>
      <c r="C1300" t="s">
        <v>46</v>
      </c>
      <c r="D1300" t="s">
        <v>100</v>
      </c>
      <c r="E1300">
        <v>2029</v>
      </c>
      <c r="F1300" t="s">
        <v>41</v>
      </c>
      <c r="G1300" t="s">
        <v>17</v>
      </c>
      <c r="H1300" t="s">
        <v>18</v>
      </c>
      <c r="I1300" s="8">
        <v>2907309.4375999998</v>
      </c>
      <c r="J1300" s="8">
        <v>2506301.239296</v>
      </c>
      <c r="K1300" s="8">
        <f>I1300/1000000</f>
        <v>2.9073094375999999</v>
      </c>
      <c r="L1300" s="8">
        <f>J1300/1000000</f>
        <v>2.506301239296</v>
      </c>
      <c r="M1300" t="s">
        <v>19</v>
      </c>
    </row>
    <row r="1301" spans="2:13" x14ac:dyDescent="0.25">
      <c r="B1301" t="s">
        <v>13</v>
      </c>
      <c r="C1301" t="s">
        <v>46</v>
      </c>
      <c r="D1301" t="s">
        <v>100</v>
      </c>
      <c r="E1301">
        <v>2030</v>
      </c>
      <c r="F1301" t="s">
        <v>41</v>
      </c>
      <c r="G1301" t="s">
        <v>17</v>
      </c>
      <c r="H1301" t="s">
        <v>18</v>
      </c>
      <c r="I1301" s="8">
        <v>2912204.2806000002</v>
      </c>
      <c r="J1301" s="8">
        <v>2510520.9315629499</v>
      </c>
      <c r="K1301" s="8">
        <f>I1301/1000000</f>
        <v>2.9122042806000001</v>
      </c>
      <c r="L1301" s="8">
        <f>J1301/1000000</f>
        <v>2.51052093156295</v>
      </c>
      <c r="M1301" t="s">
        <v>19</v>
      </c>
    </row>
    <row r="1302" spans="2:13" x14ac:dyDescent="0.25">
      <c r="B1302" t="s">
        <v>13</v>
      </c>
      <c r="C1302" t="s">
        <v>46</v>
      </c>
      <c r="D1302" t="s">
        <v>100</v>
      </c>
      <c r="E1302">
        <v>2026</v>
      </c>
      <c r="F1302" t="s">
        <v>41</v>
      </c>
      <c r="G1302" t="s">
        <v>17</v>
      </c>
      <c r="H1302" t="s">
        <v>18</v>
      </c>
      <c r="I1302" s="8">
        <v>2450141.0811000001</v>
      </c>
      <c r="J1302" s="8">
        <v>2410715.3582025701</v>
      </c>
      <c r="K1302" s="8">
        <f>I1302/1000000</f>
        <v>2.4501410811</v>
      </c>
      <c r="L1302" s="8">
        <f>J1302/1000000</f>
        <v>2.41071535820257</v>
      </c>
      <c r="M1302" t="s">
        <v>19</v>
      </c>
    </row>
    <row r="1303" spans="2:13" x14ac:dyDescent="0.25">
      <c r="B1303" t="s">
        <v>13</v>
      </c>
      <c r="C1303" t="s">
        <v>46</v>
      </c>
      <c r="D1303" t="s">
        <v>100</v>
      </c>
      <c r="E1303">
        <v>2027</v>
      </c>
      <c r="F1303" t="s">
        <v>41</v>
      </c>
      <c r="G1303" t="s">
        <v>17</v>
      </c>
      <c r="H1303" t="s">
        <v>18</v>
      </c>
      <c r="I1303" s="8">
        <v>2398593.9476000001</v>
      </c>
      <c r="J1303" s="8">
        <v>2379557.4877566299</v>
      </c>
      <c r="K1303" s="8">
        <f>I1303/1000000</f>
        <v>2.3985939476000002</v>
      </c>
      <c r="L1303" s="8">
        <f>J1303/1000000</f>
        <v>2.3795574877566299</v>
      </c>
      <c r="M1303" t="s">
        <v>19</v>
      </c>
    </row>
    <row r="1304" spans="2:13" x14ac:dyDescent="0.25">
      <c r="B1304" t="s">
        <v>13</v>
      </c>
      <c r="C1304" t="s">
        <v>46</v>
      </c>
      <c r="D1304" t="s">
        <v>100</v>
      </c>
      <c r="E1304">
        <v>2028</v>
      </c>
      <c r="F1304" t="s">
        <v>41</v>
      </c>
      <c r="G1304" t="s">
        <v>17</v>
      </c>
      <c r="H1304" t="s">
        <v>18</v>
      </c>
      <c r="I1304" s="8">
        <v>2443575.1145000001</v>
      </c>
      <c r="J1304" s="8">
        <v>2545390.74430766</v>
      </c>
      <c r="K1304" s="8">
        <f>I1304/1000000</f>
        <v>2.4435751145000002</v>
      </c>
      <c r="L1304" s="8">
        <f>J1304/1000000</f>
        <v>2.5453907443076602</v>
      </c>
      <c r="M1304" t="s">
        <v>19</v>
      </c>
    </row>
    <row r="1305" spans="2:13" x14ac:dyDescent="0.25">
      <c r="B1305" t="s">
        <v>13</v>
      </c>
      <c r="C1305" t="s">
        <v>46</v>
      </c>
      <c r="D1305" t="s">
        <v>72</v>
      </c>
      <c r="E1305">
        <v>2026</v>
      </c>
      <c r="F1305" t="s">
        <v>41</v>
      </c>
      <c r="G1305" t="s">
        <v>17</v>
      </c>
      <c r="H1305" t="s">
        <v>18</v>
      </c>
      <c r="I1305" s="8">
        <v>7987316.7093000002</v>
      </c>
      <c r="J1305" s="8">
        <v>2797674.1996828802</v>
      </c>
      <c r="K1305" s="8">
        <f>I1305/1000000</f>
        <v>7.9873167092999999</v>
      </c>
      <c r="L1305" s="8">
        <f>J1305/1000000</f>
        <v>2.7976741996828802</v>
      </c>
      <c r="M1305" t="s">
        <v>19</v>
      </c>
    </row>
    <row r="1306" spans="2:13" x14ac:dyDescent="0.25">
      <c r="B1306" t="s">
        <v>13</v>
      </c>
      <c r="C1306" t="s">
        <v>46</v>
      </c>
      <c r="D1306" t="s">
        <v>72</v>
      </c>
      <c r="E1306">
        <v>2029</v>
      </c>
      <c r="F1306" t="s">
        <v>41</v>
      </c>
      <c r="G1306" t="s">
        <v>17</v>
      </c>
      <c r="H1306" t="s">
        <v>18</v>
      </c>
      <c r="I1306" s="8">
        <v>5233446.7187000001</v>
      </c>
      <c r="J1306" s="8">
        <v>2506301.239296</v>
      </c>
      <c r="K1306" s="8">
        <f>I1306/1000000</f>
        <v>5.2334467186999998</v>
      </c>
      <c r="L1306" s="8">
        <f>J1306/1000000</f>
        <v>2.506301239296</v>
      </c>
      <c r="M1306" t="s">
        <v>19</v>
      </c>
    </row>
    <row r="1307" spans="2:13" x14ac:dyDescent="0.25">
      <c r="B1307" t="s">
        <v>13</v>
      </c>
      <c r="C1307" t="s">
        <v>46</v>
      </c>
      <c r="D1307" t="s">
        <v>72</v>
      </c>
      <c r="E1307">
        <v>2030</v>
      </c>
      <c r="F1307" t="s">
        <v>41</v>
      </c>
      <c r="G1307" t="s">
        <v>17</v>
      </c>
      <c r="H1307" t="s">
        <v>18</v>
      </c>
      <c r="I1307" s="8">
        <v>5242257.9239999996</v>
      </c>
      <c r="J1307" s="8">
        <v>2510520.9315629499</v>
      </c>
      <c r="K1307" s="8">
        <f>I1307/1000000</f>
        <v>5.2422579239999996</v>
      </c>
      <c r="L1307" s="8">
        <f>J1307/1000000</f>
        <v>2.51052093156295</v>
      </c>
      <c r="M1307" t="s">
        <v>19</v>
      </c>
    </row>
    <row r="1308" spans="2:13" x14ac:dyDescent="0.25">
      <c r="B1308" t="s">
        <v>13</v>
      </c>
      <c r="C1308" t="s">
        <v>46</v>
      </c>
      <c r="D1308" t="s">
        <v>72</v>
      </c>
      <c r="E1308">
        <v>2027</v>
      </c>
      <c r="F1308" t="s">
        <v>41</v>
      </c>
      <c r="G1308" t="s">
        <v>17</v>
      </c>
      <c r="H1308" t="s">
        <v>18</v>
      </c>
      <c r="I1308" s="8">
        <v>6580003.2922</v>
      </c>
      <c r="J1308" s="8">
        <v>2680262.5714425598</v>
      </c>
      <c r="K1308" s="8">
        <f>I1308/1000000</f>
        <v>6.5800032921999998</v>
      </c>
      <c r="L1308" s="8">
        <f>J1308/1000000</f>
        <v>2.6802625714425599</v>
      </c>
      <c r="M1308" t="s">
        <v>19</v>
      </c>
    </row>
    <row r="1309" spans="2:13" x14ac:dyDescent="0.25">
      <c r="B1309" t="s">
        <v>13</v>
      </c>
      <c r="C1309" t="s">
        <v>46</v>
      </c>
      <c r="D1309" t="s">
        <v>72</v>
      </c>
      <c r="E1309">
        <v>2028</v>
      </c>
      <c r="F1309" t="s">
        <v>41</v>
      </c>
      <c r="G1309" t="s">
        <v>17</v>
      </c>
      <c r="H1309" t="s">
        <v>18</v>
      </c>
      <c r="I1309" s="8">
        <v>6744952.0477</v>
      </c>
      <c r="J1309" s="8">
        <v>2766461.1328227599</v>
      </c>
      <c r="K1309" s="8">
        <f>I1309/1000000</f>
        <v>6.7449520477</v>
      </c>
      <c r="L1309" s="8">
        <f>J1309/1000000</f>
        <v>2.76646113282276</v>
      </c>
      <c r="M1309" t="s">
        <v>19</v>
      </c>
    </row>
    <row r="1310" spans="2:13" x14ac:dyDescent="0.25">
      <c r="B1310" t="s">
        <v>13</v>
      </c>
      <c r="C1310" t="s">
        <v>46</v>
      </c>
      <c r="D1310" t="s">
        <v>76</v>
      </c>
      <c r="E1310">
        <v>2029</v>
      </c>
      <c r="F1310" t="s">
        <v>41</v>
      </c>
      <c r="G1310" t="s">
        <v>17</v>
      </c>
      <c r="H1310" t="s">
        <v>18</v>
      </c>
      <c r="I1310" s="8">
        <v>6460660.1262999997</v>
      </c>
      <c r="J1310" s="8">
        <v>2025917.80889514</v>
      </c>
      <c r="K1310" s="8">
        <f>I1310/1000000</f>
        <v>6.4606601262999996</v>
      </c>
      <c r="L1310" s="8">
        <f>J1310/1000000</f>
        <v>2.0259178088951399</v>
      </c>
      <c r="M1310" t="s">
        <v>39</v>
      </c>
    </row>
    <row r="1311" spans="2:13" x14ac:dyDescent="0.25">
      <c r="B1311" t="s">
        <v>13</v>
      </c>
      <c r="C1311" t="s">
        <v>46</v>
      </c>
      <c r="D1311" t="s">
        <v>76</v>
      </c>
      <c r="E1311">
        <v>2030</v>
      </c>
      <c r="F1311" t="s">
        <v>41</v>
      </c>
      <c r="G1311" t="s">
        <v>17</v>
      </c>
      <c r="H1311" t="s">
        <v>18</v>
      </c>
      <c r="I1311" s="8">
        <v>6305012.3833999997</v>
      </c>
      <c r="J1311" s="8">
        <v>1977110.1750088001</v>
      </c>
      <c r="K1311" s="8">
        <f>I1311/1000000</f>
        <v>6.3050123833999994</v>
      </c>
      <c r="L1311" s="8">
        <f>J1311/1000000</f>
        <v>1.9771101750088</v>
      </c>
      <c r="M1311" t="s">
        <v>39</v>
      </c>
    </row>
    <row r="1312" spans="2:13" x14ac:dyDescent="0.25">
      <c r="B1312" t="s">
        <v>13</v>
      </c>
      <c r="C1312" t="s">
        <v>46</v>
      </c>
      <c r="D1312" t="s">
        <v>76</v>
      </c>
      <c r="E1312">
        <v>2027</v>
      </c>
      <c r="F1312" t="s">
        <v>41</v>
      </c>
      <c r="G1312" t="s">
        <v>17</v>
      </c>
      <c r="H1312" t="s">
        <v>18</v>
      </c>
      <c r="I1312" s="8">
        <v>6329752.3076999998</v>
      </c>
      <c r="J1312" s="8">
        <v>1955303.5900960099</v>
      </c>
      <c r="K1312" s="8">
        <f>I1312/1000000</f>
        <v>6.3297523076999997</v>
      </c>
      <c r="L1312" s="8">
        <f>J1312/1000000</f>
        <v>1.9553035900960098</v>
      </c>
      <c r="M1312" t="s">
        <v>39</v>
      </c>
    </row>
    <row r="1313" spans="2:13" x14ac:dyDescent="0.25">
      <c r="B1313" t="s">
        <v>13</v>
      </c>
      <c r="C1313" t="s">
        <v>46</v>
      </c>
      <c r="D1313" t="s">
        <v>76</v>
      </c>
      <c r="E1313">
        <v>2028</v>
      </c>
      <c r="F1313" t="s">
        <v>41</v>
      </c>
      <c r="G1313" t="s">
        <v>17</v>
      </c>
      <c r="H1313" t="s">
        <v>18</v>
      </c>
      <c r="I1313" s="8">
        <v>5861758.9181000004</v>
      </c>
      <c r="J1313" s="8">
        <v>1838115.8506481401</v>
      </c>
      <c r="K1313" s="8">
        <f>I1313/1000000</f>
        <v>5.8617589181000005</v>
      </c>
      <c r="L1313" s="8">
        <f>J1313/1000000</f>
        <v>1.8381158506481401</v>
      </c>
      <c r="M1313" t="s">
        <v>39</v>
      </c>
    </row>
    <row r="1314" spans="2:13" x14ac:dyDescent="0.25">
      <c r="B1314" t="s">
        <v>13</v>
      </c>
      <c r="C1314" t="s">
        <v>46</v>
      </c>
      <c r="D1314" t="s">
        <v>75</v>
      </c>
      <c r="E1314">
        <v>2030</v>
      </c>
      <c r="F1314" t="s">
        <v>41</v>
      </c>
      <c r="G1314" t="s">
        <v>17</v>
      </c>
      <c r="H1314" t="s">
        <v>18</v>
      </c>
      <c r="I1314" s="8">
        <v>7266.6454000000003</v>
      </c>
      <c r="J1314" s="8">
        <v>29230.307013891201</v>
      </c>
      <c r="K1314" s="8">
        <f>I1314/1000000</f>
        <v>7.2666454000000005E-3</v>
      </c>
      <c r="L1314" s="8">
        <f>J1314/1000000</f>
        <v>2.9230307013891201E-2</v>
      </c>
      <c r="M1314" t="s">
        <v>39</v>
      </c>
    </row>
    <row r="1315" spans="2:13" x14ac:dyDescent="0.25">
      <c r="B1315" t="s">
        <v>13</v>
      </c>
      <c r="C1315" t="s">
        <v>46</v>
      </c>
      <c r="D1315" t="s">
        <v>75</v>
      </c>
      <c r="E1315">
        <v>2030</v>
      </c>
      <c r="F1315" t="s">
        <v>41</v>
      </c>
      <c r="G1315" t="s">
        <v>17</v>
      </c>
      <c r="H1315" t="s">
        <v>18</v>
      </c>
      <c r="I1315" s="8">
        <v>7266.6454000000003</v>
      </c>
      <c r="J1315" s="8">
        <v>29230.307013891201</v>
      </c>
      <c r="K1315" s="8">
        <f>I1315/1000000</f>
        <v>7.2666454000000005E-3</v>
      </c>
      <c r="L1315" s="8">
        <f>J1315/1000000</f>
        <v>2.9230307013891201E-2</v>
      </c>
      <c r="M1315" t="s">
        <v>39</v>
      </c>
    </row>
    <row r="1316" spans="2:13" x14ac:dyDescent="0.25">
      <c r="B1316" t="s">
        <v>13</v>
      </c>
      <c r="C1316" t="s">
        <v>46</v>
      </c>
      <c r="D1316" t="s">
        <v>69</v>
      </c>
      <c r="E1316">
        <v>2028</v>
      </c>
      <c r="F1316" t="s">
        <v>41</v>
      </c>
      <c r="G1316" t="s">
        <v>17</v>
      </c>
      <c r="H1316" t="s">
        <v>18</v>
      </c>
      <c r="I1316" s="8">
        <v>7040074.3058000002</v>
      </c>
      <c r="J1316" s="8">
        <v>2687870.2616979899</v>
      </c>
      <c r="K1316" s="8">
        <f>I1316/1000000</f>
        <v>7.0400743058000002</v>
      </c>
      <c r="L1316" s="8">
        <f>J1316/1000000</f>
        <v>2.6878702616979897</v>
      </c>
      <c r="M1316" t="s">
        <v>19</v>
      </c>
    </row>
    <row r="1317" spans="2:13" x14ac:dyDescent="0.25">
      <c r="B1317" t="s">
        <v>13</v>
      </c>
      <c r="C1317" t="s">
        <v>46</v>
      </c>
      <c r="D1317" t="s">
        <v>52</v>
      </c>
      <c r="E1317">
        <v>2027</v>
      </c>
      <c r="F1317" t="s">
        <v>41</v>
      </c>
      <c r="G1317" t="s">
        <v>17</v>
      </c>
      <c r="H1317" t="s">
        <v>18</v>
      </c>
      <c r="I1317" s="8">
        <v>2424927.9240999999</v>
      </c>
      <c r="J1317" s="8">
        <v>1946539.9120879101</v>
      </c>
      <c r="K1317" s="8">
        <f>I1317/1000000</f>
        <v>2.4249279240999999</v>
      </c>
      <c r="L1317" s="8">
        <f>J1317/1000000</f>
        <v>1.9465399120879101</v>
      </c>
      <c r="M1317" t="s">
        <v>19</v>
      </c>
    </row>
    <row r="1318" spans="2:13" x14ac:dyDescent="0.25">
      <c r="B1318" t="s">
        <v>13</v>
      </c>
      <c r="C1318" t="s">
        <v>46</v>
      </c>
      <c r="D1318" t="s">
        <v>40</v>
      </c>
      <c r="E1318">
        <v>2028</v>
      </c>
      <c r="F1318" t="s">
        <v>41</v>
      </c>
      <c r="G1318" t="s">
        <v>17</v>
      </c>
      <c r="H1318" t="s">
        <v>18</v>
      </c>
      <c r="I1318" s="8">
        <v>3185435.1598999999</v>
      </c>
      <c r="J1318" s="8">
        <v>901519.58455486398</v>
      </c>
      <c r="K1318" s="8">
        <f>I1318/1000000</f>
        <v>3.1854351598999999</v>
      </c>
      <c r="L1318" s="8">
        <f>J1318/1000000</f>
        <v>0.90151958455486403</v>
      </c>
      <c r="M1318" t="s">
        <v>39</v>
      </c>
    </row>
    <row r="1319" spans="2:13" x14ac:dyDescent="0.25">
      <c r="B1319" t="s">
        <v>13</v>
      </c>
      <c r="C1319" t="s">
        <v>46</v>
      </c>
      <c r="D1319" t="s">
        <v>15</v>
      </c>
      <c r="E1319">
        <v>2029</v>
      </c>
      <c r="F1319" t="s">
        <v>41</v>
      </c>
      <c r="G1319" t="s">
        <v>17</v>
      </c>
      <c r="H1319" t="s">
        <v>18</v>
      </c>
      <c r="I1319" s="8">
        <v>507761.07459999999</v>
      </c>
      <c r="J1319" s="8">
        <v>168972.53503352799</v>
      </c>
      <c r="K1319" s="8">
        <f>I1319/1000000</f>
        <v>0.50776107459999997</v>
      </c>
      <c r="L1319" s="8">
        <f>J1319/1000000</f>
        <v>0.16897253503352799</v>
      </c>
      <c r="M1319" t="s">
        <v>19</v>
      </c>
    </row>
    <row r="1320" spans="2:13" x14ac:dyDescent="0.25">
      <c r="B1320" t="s">
        <v>13</v>
      </c>
      <c r="C1320" t="s">
        <v>46</v>
      </c>
      <c r="D1320" t="s">
        <v>75</v>
      </c>
      <c r="E1320">
        <v>2029</v>
      </c>
      <c r="F1320" t="s">
        <v>41</v>
      </c>
      <c r="G1320" t="s">
        <v>17</v>
      </c>
      <c r="H1320" t="s">
        <v>18</v>
      </c>
      <c r="I1320" s="8">
        <v>98005.946400000001</v>
      </c>
      <c r="J1320" s="8">
        <v>242685.887382724</v>
      </c>
      <c r="K1320" s="8">
        <f>I1320/1000000</f>
        <v>9.8005946400000002E-2</v>
      </c>
      <c r="L1320" s="8">
        <f>J1320/1000000</f>
        <v>0.24268588738272401</v>
      </c>
      <c r="M1320" t="s">
        <v>39</v>
      </c>
    </row>
    <row r="1321" spans="2:13" x14ac:dyDescent="0.25">
      <c r="B1321" t="s">
        <v>13</v>
      </c>
      <c r="C1321" t="s">
        <v>46</v>
      </c>
      <c r="D1321" t="s">
        <v>102</v>
      </c>
      <c r="E1321">
        <v>2030</v>
      </c>
      <c r="F1321" t="s">
        <v>41</v>
      </c>
      <c r="G1321" t="s">
        <v>17</v>
      </c>
      <c r="H1321" t="s">
        <v>18</v>
      </c>
      <c r="I1321" s="8">
        <v>9135.0229999999992</v>
      </c>
      <c r="J1321" s="8">
        <v>27007.1905061982</v>
      </c>
      <c r="K1321" s="8">
        <f>I1321/1000000</f>
        <v>9.1350229999999991E-3</v>
      </c>
      <c r="L1321" s="8">
        <f>J1321/1000000</f>
        <v>2.7007190506198198E-2</v>
      </c>
      <c r="M1321" t="s">
        <v>19</v>
      </c>
    </row>
    <row r="1322" spans="2:13" x14ac:dyDescent="0.25">
      <c r="B1322" t="s">
        <v>13</v>
      </c>
      <c r="C1322" t="s">
        <v>46</v>
      </c>
      <c r="D1322" t="s">
        <v>75</v>
      </c>
      <c r="E1322">
        <v>2029</v>
      </c>
      <c r="F1322" t="s">
        <v>41</v>
      </c>
      <c r="G1322" t="s">
        <v>17</v>
      </c>
      <c r="H1322" t="s">
        <v>18</v>
      </c>
      <c r="I1322" s="8">
        <v>3934.2258999999999</v>
      </c>
      <c r="J1322" s="8">
        <v>15825.545868403</v>
      </c>
      <c r="K1322" s="8">
        <f>I1322/1000000</f>
        <v>3.9342259000000003E-3</v>
      </c>
      <c r="L1322" s="8">
        <f>J1322/1000000</f>
        <v>1.5825545868402999E-2</v>
      </c>
      <c r="M1322" t="s">
        <v>39</v>
      </c>
    </row>
    <row r="1323" spans="2:13" x14ac:dyDescent="0.25">
      <c r="B1323" t="s">
        <v>13</v>
      </c>
      <c r="C1323" t="s">
        <v>46</v>
      </c>
      <c r="D1323" t="s">
        <v>75</v>
      </c>
      <c r="E1323">
        <v>2029</v>
      </c>
      <c r="F1323" t="s">
        <v>41</v>
      </c>
      <c r="G1323" t="s">
        <v>17</v>
      </c>
      <c r="H1323" t="s">
        <v>18</v>
      </c>
      <c r="I1323" s="8">
        <v>3934.2258999999999</v>
      </c>
      <c r="J1323" s="8">
        <v>15825.545868403</v>
      </c>
      <c r="K1323" s="8">
        <f>I1323/1000000</f>
        <v>3.9342259000000003E-3</v>
      </c>
      <c r="L1323" s="8">
        <f>J1323/1000000</f>
        <v>1.5825545868402999E-2</v>
      </c>
      <c r="M1323" t="s">
        <v>39</v>
      </c>
    </row>
    <row r="1324" spans="2:13" x14ac:dyDescent="0.25">
      <c r="B1324" t="s">
        <v>13</v>
      </c>
      <c r="C1324" t="s">
        <v>46</v>
      </c>
      <c r="D1324" t="s">
        <v>76</v>
      </c>
      <c r="E1324">
        <v>2026</v>
      </c>
      <c r="F1324" t="s">
        <v>41</v>
      </c>
      <c r="G1324" t="s">
        <v>17</v>
      </c>
      <c r="H1324" t="s">
        <v>18</v>
      </c>
      <c r="I1324" s="8">
        <v>3650835.5114000002</v>
      </c>
      <c r="J1324" s="8">
        <v>868100</v>
      </c>
      <c r="K1324" s="8">
        <f>I1324/1000000</f>
        <v>3.6508355114000004</v>
      </c>
      <c r="L1324" s="8">
        <f>J1324/1000000</f>
        <v>0.86809999999999998</v>
      </c>
      <c r="M1324" t="s">
        <v>39</v>
      </c>
    </row>
    <row r="1325" spans="2:13" x14ac:dyDescent="0.25">
      <c r="B1325" t="s">
        <v>13</v>
      </c>
      <c r="C1325" t="s">
        <v>14</v>
      </c>
      <c r="D1325" t="s">
        <v>52</v>
      </c>
      <c r="E1325">
        <v>2027</v>
      </c>
      <c r="F1325" t="s">
        <v>41</v>
      </c>
      <c r="G1325" t="s">
        <v>17</v>
      </c>
      <c r="H1325" t="s">
        <v>18</v>
      </c>
      <c r="I1325" s="8">
        <v>3771304.4550000001</v>
      </c>
      <c r="J1325" s="8">
        <v>3554977.0224374998</v>
      </c>
      <c r="K1325" s="8">
        <f>I1325/1000000</f>
        <v>3.7713044550000001</v>
      </c>
      <c r="L1325" s="8">
        <f>J1325/1000000</f>
        <v>3.5549770224374999</v>
      </c>
      <c r="M1325" t="s">
        <v>19</v>
      </c>
    </row>
    <row r="1326" spans="2:13" x14ac:dyDescent="0.25">
      <c r="B1326" t="s">
        <v>13</v>
      </c>
      <c r="C1326" t="s">
        <v>14</v>
      </c>
      <c r="D1326" t="s">
        <v>52</v>
      </c>
      <c r="E1326">
        <v>2030</v>
      </c>
      <c r="F1326" t="s">
        <v>41</v>
      </c>
      <c r="G1326" t="s">
        <v>17</v>
      </c>
      <c r="H1326" t="s">
        <v>18</v>
      </c>
      <c r="I1326" s="8">
        <v>4318245.4029000001</v>
      </c>
      <c r="J1326" s="8">
        <v>3577593.12384375</v>
      </c>
      <c r="K1326" s="8">
        <f>I1326/1000000</f>
        <v>4.3182454028999997</v>
      </c>
      <c r="L1326" s="8">
        <f>J1326/1000000</f>
        <v>3.5775931238437502</v>
      </c>
      <c r="M1326" t="s">
        <v>19</v>
      </c>
    </row>
    <row r="1327" spans="2:13" x14ac:dyDescent="0.25">
      <c r="B1327" t="s">
        <v>13</v>
      </c>
      <c r="C1327" t="s">
        <v>46</v>
      </c>
      <c r="D1327" t="s">
        <v>52</v>
      </c>
      <c r="E1327">
        <v>2026</v>
      </c>
      <c r="F1327" t="s">
        <v>59</v>
      </c>
      <c r="G1327" t="s">
        <v>17</v>
      </c>
      <c r="H1327" t="s">
        <v>18</v>
      </c>
      <c r="I1327" s="8">
        <v>83672.767900000006</v>
      </c>
      <c r="J1327" s="8">
        <v>84500</v>
      </c>
      <c r="K1327" s="8">
        <f>I1327/1000000</f>
        <v>8.36727679E-2</v>
      </c>
      <c r="L1327" s="8">
        <f>J1327/1000000</f>
        <v>8.4500000000000006E-2</v>
      </c>
      <c r="M1327" t="s">
        <v>19</v>
      </c>
    </row>
    <row r="1328" spans="2:13" x14ac:dyDescent="0.25">
      <c r="B1328" t="s">
        <v>13</v>
      </c>
      <c r="C1328" t="s">
        <v>46</v>
      </c>
      <c r="D1328" t="s">
        <v>52</v>
      </c>
      <c r="E1328">
        <v>2028</v>
      </c>
      <c r="F1328" t="s">
        <v>59</v>
      </c>
      <c r="G1328" t="s">
        <v>17</v>
      </c>
      <c r="H1328" t="s">
        <v>18</v>
      </c>
      <c r="I1328" s="8">
        <v>92381.591899999999</v>
      </c>
      <c r="J1328" s="8">
        <v>74845.426071428607</v>
      </c>
      <c r="K1328" s="8">
        <f>I1328/1000000</f>
        <v>9.2381591900000004E-2</v>
      </c>
      <c r="L1328" s="8">
        <f>J1328/1000000</f>
        <v>7.4845426071428606E-2</v>
      </c>
      <c r="M1328" t="s">
        <v>19</v>
      </c>
    </row>
    <row r="1329" spans="2:13" x14ac:dyDescent="0.25">
      <c r="B1329" t="s">
        <v>13</v>
      </c>
      <c r="C1329" t="s">
        <v>46</v>
      </c>
      <c r="D1329" t="s">
        <v>52</v>
      </c>
      <c r="E1329">
        <v>2029</v>
      </c>
      <c r="F1329" t="s">
        <v>59</v>
      </c>
      <c r="G1329" t="s">
        <v>17</v>
      </c>
      <c r="H1329" t="s">
        <v>18</v>
      </c>
      <c r="I1329" s="8">
        <v>94832.559699999998</v>
      </c>
      <c r="J1329" s="8">
        <v>75788.353749999995</v>
      </c>
      <c r="K1329" s="8">
        <f>I1329/1000000</f>
        <v>9.4832559699999999E-2</v>
      </c>
      <c r="L1329" s="8">
        <f>J1329/1000000</f>
        <v>7.5788353749999995E-2</v>
      </c>
      <c r="M1329" t="s">
        <v>19</v>
      </c>
    </row>
    <row r="1330" spans="2:13" x14ac:dyDescent="0.25">
      <c r="B1330" t="s">
        <v>13</v>
      </c>
      <c r="C1330" t="s">
        <v>46</v>
      </c>
      <c r="D1330" t="s">
        <v>52</v>
      </c>
      <c r="E1330">
        <v>2030</v>
      </c>
      <c r="F1330" t="s">
        <v>59</v>
      </c>
      <c r="G1330" t="s">
        <v>17</v>
      </c>
      <c r="H1330" t="s">
        <v>18</v>
      </c>
      <c r="I1330" s="8">
        <v>97343.567899999995</v>
      </c>
      <c r="J1330" s="8">
        <v>77087.1311607143</v>
      </c>
      <c r="K1330" s="8">
        <f>I1330/1000000</f>
        <v>9.7343567899999997E-2</v>
      </c>
      <c r="L1330" s="8">
        <f>J1330/1000000</f>
        <v>7.7087131160714306E-2</v>
      </c>
      <c r="M1330" t="s">
        <v>19</v>
      </c>
    </row>
    <row r="1331" spans="2:13" x14ac:dyDescent="0.25">
      <c r="B1331" t="s">
        <v>13</v>
      </c>
      <c r="C1331" t="s">
        <v>46</v>
      </c>
      <c r="D1331" t="s">
        <v>69</v>
      </c>
      <c r="E1331">
        <v>2026</v>
      </c>
      <c r="F1331" t="s">
        <v>59</v>
      </c>
      <c r="G1331" t="s">
        <v>17</v>
      </c>
      <c r="H1331" t="s">
        <v>18</v>
      </c>
      <c r="I1331" s="8">
        <v>1313043.8577000001</v>
      </c>
      <c r="J1331" s="8">
        <v>420800</v>
      </c>
      <c r="K1331" s="8">
        <f>I1331/1000000</f>
        <v>1.3130438577000001</v>
      </c>
      <c r="L1331" s="8">
        <f>J1331/1000000</f>
        <v>0.42080000000000001</v>
      </c>
      <c r="M1331" t="s">
        <v>19</v>
      </c>
    </row>
    <row r="1332" spans="2:13" x14ac:dyDescent="0.25">
      <c r="B1332" t="s">
        <v>13</v>
      </c>
      <c r="C1332" t="s">
        <v>46</v>
      </c>
      <c r="D1332" t="s">
        <v>69</v>
      </c>
      <c r="E1332">
        <v>2027</v>
      </c>
      <c r="F1332" t="s">
        <v>59</v>
      </c>
      <c r="G1332" t="s">
        <v>17</v>
      </c>
      <c r="H1332" t="s">
        <v>18</v>
      </c>
      <c r="I1332" s="8">
        <v>1171427.9342</v>
      </c>
      <c r="J1332" s="8">
        <v>394252.21685397101</v>
      </c>
      <c r="K1332" s="8">
        <f>I1332/1000000</f>
        <v>1.1714279342</v>
      </c>
      <c r="L1332" s="8">
        <f>J1332/1000000</f>
        <v>0.39425221685397099</v>
      </c>
      <c r="M1332" t="s">
        <v>19</v>
      </c>
    </row>
    <row r="1333" spans="2:13" x14ac:dyDescent="0.25">
      <c r="B1333" t="s">
        <v>13</v>
      </c>
      <c r="C1333" t="s">
        <v>46</v>
      </c>
      <c r="D1333" t="s">
        <v>69</v>
      </c>
      <c r="E1333">
        <v>2028</v>
      </c>
      <c r="F1333" t="s">
        <v>59</v>
      </c>
      <c r="G1333" t="s">
        <v>17</v>
      </c>
      <c r="H1333" t="s">
        <v>18</v>
      </c>
      <c r="I1333" s="8">
        <v>1051865.5046999999</v>
      </c>
      <c r="J1333" s="8">
        <v>401597.75118785899</v>
      </c>
      <c r="K1333" s="8">
        <f>I1333/1000000</f>
        <v>1.0518655046999998</v>
      </c>
      <c r="L1333" s="8">
        <f>J1333/1000000</f>
        <v>0.40159775118785901</v>
      </c>
      <c r="M1333" t="s">
        <v>19</v>
      </c>
    </row>
    <row r="1334" spans="2:13" x14ac:dyDescent="0.25">
      <c r="B1334" t="s">
        <v>13</v>
      </c>
      <c r="C1334" t="s">
        <v>46</v>
      </c>
      <c r="D1334" t="s">
        <v>69</v>
      </c>
      <c r="E1334">
        <v>2029</v>
      </c>
      <c r="F1334" t="s">
        <v>59</v>
      </c>
      <c r="G1334" t="s">
        <v>17</v>
      </c>
      <c r="H1334" t="s">
        <v>18</v>
      </c>
      <c r="I1334" s="8">
        <v>941727.13439999998</v>
      </c>
      <c r="J1334" s="8">
        <v>412287.97570145398</v>
      </c>
      <c r="K1334" s="8">
        <f>I1334/1000000</f>
        <v>0.9417271344</v>
      </c>
      <c r="L1334" s="8">
        <f>J1334/1000000</f>
        <v>0.41228797570145398</v>
      </c>
      <c r="M1334" t="s">
        <v>19</v>
      </c>
    </row>
    <row r="1335" spans="2:13" x14ac:dyDescent="0.25">
      <c r="B1335" t="s">
        <v>13</v>
      </c>
      <c r="C1335" t="s">
        <v>46</v>
      </c>
      <c r="D1335" t="s">
        <v>69</v>
      </c>
      <c r="E1335">
        <v>2030</v>
      </c>
      <c r="F1335" t="s">
        <v>59</v>
      </c>
      <c r="G1335" t="s">
        <v>17</v>
      </c>
      <c r="H1335" t="s">
        <v>18</v>
      </c>
      <c r="I1335" s="8">
        <v>849410.88430000003</v>
      </c>
      <c r="J1335" s="8">
        <v>371002.284189909</v>
      </c>
      <c r="K1335" s="8">
        <f>I1335/1000000</f>
        <v>0.8494108843</v>
      </c>
      <c r="L1335" s="8">
        <f>J1335/1000000</f>
        <v>0.37100228418990899</v>
      </c>
      <c r="M1335" t="s">
        <v>19</v>
      </c>
    </row>
    <row r="1336" spans="2:13" x14ac:dyDescent="0.25">
      <c r="B1336" t="s">
        <v>13</v>
      </c>
      <c r="C1336" t="s">
        <v>46</v>
      </c>
      <c r="D1336" t="s">
        <v>73</v>
      </c>
      <c r="E1336">
        <v>2026</v>
      </c>
      <c r="F1336" t="s">
        <v>59</v>
      </c>
      <c r="G1336" t="s">
        <v>17</v>
      </c>
      <c r="H1336" t="s">
        <v>18</v>
      </c>
      <c r="I1336" s="8">
        <v>295158.11</v>
      </c>
      <c r="J1336" s="8">
        <v>313800</v>
      </c>
      <c r="K1336" s="8">
        <f>I1336/1000000</f>
        <v>0.29515810999999997</v>
      </c>
      <c r="L1336" s="8">
        <f>J1336/1000000</f>
        <v>0.31380000000000002</v>
      </c>
      <c r="M1336" t="s">
        <v>19</v>
      </c>
    </row>
    <row r="1337" spans="2:13" x14ac:dyDescent="0.25">
      <c r="B1337" t="s">
        <v>13</v>
      </c>
      <c r="C1337" t="s">
        <v>46</v>
      </c>
      <c r="D1337" t="s">
        <v>70</v>
      </c>
      <c r="E1337">
        <v>2026</v>
      </c>
      <c r="F1337" t="s">
        <v>59</v>
      </c>
      <c r="G1337" t="s">
        <v>17</v>
      </c>
      <c r="H1337" t="s">
        <v>18</v>
      </c>
      <c r="I1337" s="8">
        <v>212630.70050000001</v>
      </c>
      <c r="J1337" s="8">
        <v>123200</v>
      </c>
      <c r="K1337" s="8">
        <f>I1337/1000000</f>
        <v>0.21263070050000002</v>
      </c>
      <c r="L1337" s="8">
        <f>J1337/1000000</f>
        <v>0.1232</v>
      </c>
      <c r="M1337" t="s">
        <v>19</v>
      </c>
    </row>
    <row r="1338" spans="2:13" x14ac:dyDescent="0.25">
      <c r="B1338" t="s">
        <v>13</v>
      </c>
      <c r="C1338" t="s">
        <v>46</v>
      </c>
      <c r="D1338" t="s">
        <v>15</v>
      </c>
      <c r="E1338">
        <v>2026</v>
      </c>
      <c r="F1338" t="s">
        <v>59</v>
      </c>
      <c r="G1338" t="s">
        <v>17</v>
      </c>
      <c r="H1338" t="s">
        <v>18</v>
      </c>
      <c r="I1338" s="8">
        <v>34540.806700000001</v>
      </c>
      <c r="J1338" s="8">
        <v>7470</v>
      </c>
      <c r="K1338" s="8">
        <f>I1338/1000000</f>
        <v>3.4540806700000003E-2</v>
      </c>
      <c r="L1338" s="8">
        <f>J1338/1000000</f>
        <v>7.4700000000000001E-3</v>
      </c>
      <c r="M1338" t="s">
        <v>19</v>
      </c>
    </row>
    <row r="1339" spans="2:13" x14ac:dyDescent="0.25">
      <c r="B1339" t="s">
        <v>13</v>
      </c>
      <c r="C1339" t="s">
        <v>46</v>
      </c>
      <c r="D1339" t="s">
        <v>15</v>
      </c>
      <c r="E1339">
        <v>2027</v>
      </c>
      <c r="F1339" t="s">
        <v>59</v>
      </c>
      <c r="G1339" t="s">
        <v>17</v>
      </c>
      <c r="H1339" t="s">
        <v>18</v>
      </c>
      <c r="I1339" s="8">
        <v>88201.923599999995</v>
      </c>
      <c r="J1339" s="8">
        <v>19075.073122336798</v>
      </c>
      <c r="K1339" s="8">
        <f>I1339/1000000</f>
        <v>8.8201923599999996E-2</v>
      </c>
      <c r="L1339" s="8">
        <f>J1339/1000000</f>
        <v>1.9075073122336798E-2</v>
      </c>
      <c r="M1339" t="s">
        <v>19</v>
      </c>
    </row>
    <row r="1340" spans="2:13" x14ac:dyDescent="0.25">
      <c r="B1340" t="s">
        <v>13</v>
      </c>
      <c r="C1340" t="s">
        <v>46</v>
      </c>
      <c r="D1340" t="s">
        <v>15</v>
      </c>
      <c r="E1340">
        <v>2029</v>
      </c>
      <c r="F1340" t="s">
        <v>59</v>
      </c>
      <c r="G1340" t="s">
        <v>17</v>
      </c>
      <c r="H1340" t="s">
        <v>18</v>
      </c>
      <c r="I1340" s="8">
        <v>53779.991900000001</v>
      </c>
      <c r="J1340" s="8">
        <v>17890.619056099698</v>
      </c>
      <c r="K1340" s="8">
        <f>I1340/1000000</f>
        <v>5.3779991900000004E-2</v>
      </c>
      <c r="L1340" s="8">
        <f>J1340/1000000</f>
        <v>1.7890619056099698E-2</v>
      </c>
      <c r="M1340" t="s">
        <v>19</v>
      </c>
    </row>
    <row r="1341" spans="2:13" x14ac:dyDescent="0.25">
      <c r="B1341" t="s">
        <v>13</v>
      </c>
      <c r="C1341" t="s">
        <v>46</v>
      </c>
      <c r="D1341" t="s">
        <v>15</v>
      </c>
      <c r="E1341">
        <v>2030</v>
      </c>
      <c r="F1341" t="s">
        <v>59</v>
      </c>
      <c r="G1341" t="s">
        <v>17</v>
      </c>
      <c r="H1341" t="s">
        <v>18</v>
      </c>
      <c r="I1341" s="8">
        <v>49539.256300000001</v>
      </c>
      <c r="J1341" s="8">
        <v>16479.882781185599</v>
      </c>
      <c r="K1341" s="8">
        <f>I1341/1000000</f>
        <v>4.9539256300000001E-2</v>
      </c>
      <c r="L1341" s="8">
        <f>J1341/1000000</f>
        <v>1.64798827811856E-2</v>
      </c>
      <c r="M1341" t="s">
        <v>19</v>
      </c>
    </row>
    <row r="1342" spans="2:13" x14ac:dyDescent="0.25">
      <c r="B1342" t="s">
        <v>13</v>
      </c>
      <c r="C1342" t="s">
        <v>46</v>
      </c>
      <c r="D1342" t="s">
        <v>100</v>
      </c>
      <c r="E1342">
        <v>2026</v>
      </c>
      <c r="F1342" t="s">
        <v>59</v>
      </c>
      <c r="G1342" t="s">
        <v>17</v>
      </c>
      <c r="H1342" t="s">
        <v>18</v>
      </c>
      <c r="I1342" s="8">
        <v>437543.64769999997</v>
      </c>
      <c r="J1342" s="8">
        <v>205500</v>
      </c>
      <c r="K1342" s="8">
        <f>I1342/1000000</f>
        <v>0.43754364769999998</v>
      </c>
      <c r="L1342" s="8">
        <f>J1342/1000000</f>
        <v>0.20549999999999999</v>
      </c>
      <c r="M1342" t="s">
        <v>19</v>
      </c>
    </row>
    <row r="1343" spans="2:13" x14ac:dyDescent="0.25">
      <c r="B1343" t="s">
        <v>13</v>
      </c>
      <c r="C1343" t="s">
        <v>46</v>
      </c>
      <c r="D1343" t="s">
        <v>100</v>
      </c>
      <c r="E1343">
        <v>2029</v>
      </c>
      <c r="F1343" t="s">
        <v>59</v>
      </c>
      <c r="G1343" t="s">
        <v>17</v>
      </c>
      <c r="H1343" t="s">
        <v>18</v>
      </c>
      <c r="I1343" s="8">
        <v>380733.55900000001</v>
      </c>
      <c r="J1343" s="8">
        <v>167828.32788744799</v>
      </c>
      <c r="K1343" s="8">
        <f>I1343/1000000</f>
        <v>0.380733559</v>
      </c>
      <c r="L1343" s="8">
        <f>J1343/1000000</f>
        <v>0.16782832788744798</v>
      </c>
      <c r="M1343" t="s">
        <v>19</v>
      </c>
    </row>
    <row r="1344" spans="2:13" x14ac:dyDescent="0.25">
      <c r="B1344" t="s">
        <v>13</v>
      </c>
      <c r="C1344" t="s">
        <v>46</v>
      </c>
      <c r="D1344" t="s">
        <v>100</v>
      </c>
      <c r="E1344">
        <v>2030</v>
      </c>
      <c r="F1344" t="s">
        <v>59</v>
      </c>
      <c r="G1344" t="s">
        <v>17</v>
      </c>
      <c r="H1344" t="s">
        <v>18</v>
      </c>
      <c r="I1344" s="8">
        <v>334203.19620000001</v>
      </c>
      <c r="J1344" s="8">
        <v>148627.93631001899</v>
      </c>
      <c r="K1344" s="8">
        <f>I1344/1000000</f>
        <v>0.3342031962</v>
      </c>
      <c r="L1344" s="8">
        <f>J1344/1000000</f>
        <v>0.148627936310019</v>
      </c>
      <c r="M1344" t="s">
        <v>19</v>
      </c>
    </row>
    <row r="1345" spans="2:13" x14ac:dyDescent="0.25">
      <c r="B1345" t="s">
        <v>13</v>
      </c>
      <c r="C1345" t="s">
        <v>46</v>
      </c>
      <c r="D1345" t="s">
        <v>100</v>
      </c>
      <c r="E1345">
        <v>2027</v>
      </c>
      <c r="F1345" t="s">
        <v>59</v>
      </c>
      <c r="G1345" t="s">
        <v>17</v>
      </c>
      <c r="H1345" t="s">
        <v>18</v>
      </c>
      <c r="I1345" s="8">
        <v>421779.49599999998</v>
      </c>
      <c r="J1345" s="8">
        <v>196252.62218155299</v>
      </c>
      <c r="K1345" s="8">
        <f>I1345/1000000</f>
        <v>0.42177949599999998</v>
      </c>
      <c r="L1345" s="8">
        <f>J1345/1000000</f>
        <v>0.19625262218155298</v>
      </c>
      <c r="M1345" t="s">
        <v>19</v>
      </c>
    </row>
    <row r="1346" spans="2:13" x14ac:dyDescent="0.25">
      <c r="B1346" t="s">
        <v>13</v>
      </c>
      <c r="C1346" t="s">
        <v>46</v>
      </c>
      <c r="D1346" t="s">
        <v>100</v>
      </c>
      <c r="E1346">
        <v>2028</v>
      </c>
      <c r="F1346" t="s">
        <v>59</v>
      </c>
      <c r="G1346" t="s">
        <v>17</v>
      </c>
      <c r="H1346" t="s">
        <v>18</v>
      </c>
      <c r="I1346" s="8">
        <v>391531.10560000001</v>
      </c>
      <c r="J1346" s="8">
        <v>183939.23828615999</v>
      </c>
      <c r="K1346" s="8">
        <f>I1346/1000000</f>
        <v>0.39153110559999998</v>
      </c>
      <c r="L1346" s="8">
        <f>J1346/1000000</f>
        <v>0.18393923828615999</v>
      </c>
      <c r="M1346" t="s">
        <v>19</v>
      </c>
    </row>
    <row r="1347" spans="2:13" x14ac:dyDescent="0.25">
      <c r="B1347" t="s">
        <v>13</v>
      </c>
      <c r="C1347" t="s">
        <v>46</v>
      </c>
      <c r="D1347" t="s">
        <v>72</v>
      </c>
      <c r="E1347">
        <v>2026</v>
      </c>
      <c r="F1347" t="s">
        <v>59</v>
      </c>
      <c r="G1347" t="s">
        <v>17</v>
      </c>
      <c r="H1347" t="s">
        <v>18</v>
      </c>
      <c r="I1347" s="8">
        <v>895320.09380000003</v>
      </c>
      <c r="J1347" s="8">
        <v>314000</v>
      </c>
      <c r="K1347" s="8">
        <f>I1347/1000000</f>
        <v>0.89532009379999999</v>
      </c>
      <c r="L1347" s="8">
        <f>J1347/1000000</f>
        <v>0.314</v>
      </c>
      <c r="M1347" t="s">
        <v>19</v>
      </c>
    </row>
    <row r="1348" spans="2:13" x14ac:dyDescent="0.25">
      <c r="B1348" t="s">
        <v>13</v>
      </c>
      <c r="C1348" t="s">
        <v>46</v>
      </c>
      <c r="D1348" t="s">
        <v>72</v>
      </c>
      <c r="E1348">
        <v>2029</v>
      </c>
      <c r="F1348" t="s">
        <v>59</v>
      </c>
      <c r="G1348" t="s">
        <v>17</v>
      </c>
      <c r="H1348" t="s">
        <v>18</v>
      </c>
      <c r="I1348" s="8">
        <v>535458.50540000002</v>
      </c>
      <c r="J1348" s="8">
        <v>256431.447129665</v>
      </c>
      <c r="K1348" s="8">
        <f>I1348/1000000</f>
        <v>0.53545850540000006</v>
      </c>
      <c r="L1348" s="8">
        <f>J1348/1000000</f>
        <v>0.25643144712966498</v>
      </c>
      <c r="M1348" t="s">
        <v>19</v>
      </c>
    </row>
    <row r="1349" spans="2:13" x14ac:dyDescent="0.25">
      <c r="B1349" t="s">
        <v>13</v>
      </c>
      <c r="C1349" t="s">
        <v>46</v>
      </c>
      <c r="D1349" t="s">
        <v>72</v>
      </c>
      <c r="E1349">
        <v>2030</v>
      </c>
      <c r="F1349" t="s">
        <v>59</v>
      </c>
      <c r="G1349" t="s">
        <v>17</v>
      </c>
      <c r="H1349" t="s">
        <v>18</v>
      </c>
      <c r="I1349" s="8">
        <v>474265.01209999999</v>
      </c>
      <c r="J1349" s="8">
        <v>227125.84106751101</v>
      </c>
      <c r="K1349" s="8">
        <f>I1349/1000000</f>
        <v>0.47426501209999999</v>
      </c>
      <c r="L1349" s="8">
        <f>J1349/1000000</f>
        <v>0.22712584106751102</v>
      </c>
      <c r="M1349" t="s">
        <v>19</v>
      </c>
    </row>
    <row r="1350" spans="2:13" x14ac:dyDescent="0.25">
      <c r="B1350" t="s">
        <v>13</v>
      </c>
      <c r="C1350" t="s">
        <v>46</v>
      </c>
      <c r="D1350" t="s">
        <v>72</v>
      </c>
      <c r="E1350">
        <v>2027</v>
      </c>
      <c r="F1350" t="s">
        <v>59</v>
      </c>
      <c r="G1350" t="s">
        <v>17</v>
      </c>
      <c r="H1350" t="s">
        <v>18</v>
      </c>
      <c r="I1350" s="8">
        <v>734855.11580000003</v>
      </c>
      <c r="J1350" s="8">
        <v>299777.11760414799</v>
      </c>
      <c r="K1350" s="8">
        <f>I1350/1000000</f>
        <v>0.73485511580000007</v>
      </c>
      <c r="L1350" s="8">
        <f>J1350/1000000</f>
        <v>0.29977711760414799</v>
      </c>
      <c r="M1350" t="s">
        <v>19</v>
      </c>
    </row>
    <row r="1351" spans="2:13" x14ac:dyDescent="0.25">
      <c r="B1351" t="s">
        <v>13</v>
      </c>
      <c r="C1351" t="s">
        <v>46</v>
      </c>
      <c r="D1351" t="s">
        <v>72</v>
      </c>
      <c r="E1351">
        <v>2028</v>
      </c>
      <c r="F1351" t="s">
        <v>59</v>
      </c>
      <c r="G1351" t="s">
        <v>17</v>
      </c>
      <c r="H1351" t="s">
        <v>18</v>
      </c>
      <c r="I1351" s="8">
        <v>685131.00679999997</v>
      </c>
      <c r="J1351" s="8">
        <v>281008.41750667198</v>
      </c>
      <c r="K1351" s="8">
        <f>I1351/1000000</f>
        <v>0.68513100679999994</v>
      </c>
      <c r="L1351" s="8">
        <f>J1351/1000000</f>
        <v>0.28100841750667199</v>
      </c>
      <c r="M1351" t="s">
        <v>19</v>
      </c>
    </row>
    <row r="1352" spans="2:13" x14ac:dyDescent="0.25">
      <c r="B1352" t="s">
        <v>13</v>
      </c>
      <c r="C1352" t="s">
        <v>46</v>
      </c>
      <c r="D1352" t="s">
        <v>52</v>
      </c>
      <c r="E1352">
        <v>2027</v>
      </c>
      <c r="F1352" t="s">
        <v>59</v>
      </c>
      <c r="G1352" t="s">
        <v>17</v>
      </c>
      <c r="H1352" t="s">
        <v>18</v>
      </c>
      <c r="I1352" s="8">
        <v>97347.915699999998</v>
      </c>
      <c r="J1352" s="8">
        <v>79064.517354174401</v>
      </c>
      <c r="K1352" s="8">
        <f>I1352/1000000</f>
        <v>9.7347915699999996E-2</v>
      </c>
      <c r="L1352" s="8">
        <f>J1352/1000000</f>
        <v>7.9064517354174399E-2</v>
      </c>
      <c r="M1352" t="s">
        <v>19</v>
      </c>
    </row>
    <row r="1353" spans="2:13" x14ac:dyDescent="0.25">
      <c r="B1353" t="s">
        <v>13</v>
      </c>
      <c r="C1353" t="s">
        <v>46</v>
      </c>
      <c r="D1353" t="s">
        <v>15</v>
      </c>
      <c r="E1353">
        <v>2028</v>
      </c>
      <c r="F1353" t="s">
        <v>59</v>
      </c>
      <c r="G1353" t="s">
        <v>17</v>
      </c>
      <c r="H1353" t="s">
        <v>18</v>
      </c>
      <c r="I1353" s="8">
        <v>56285.1276</v>
      </c>
      <c r="J1353" s="8">
        <v>18723.985272422698</v>
      </c>
      <c r="K1353" s="8">
        <f>I1353/1000000</f>
        <v>5.6285127599999998E-2</v>
      </c>
      <c r="L1353" s="8">
        <f>J1353/1000000</f>
        <v>1.8723985272422698E-2</v>
      </c>
      <c r="M1353" t="s">
        <v>19</v>
      </c>
    </row>
    <row r="1354" spans="2:13" x14ac:dyDescent="0.25">
      <c r="B1354" t="s">
        <v>13</v>
      </c>
      <c r="C1354" t="s">
        <v>14</v>
      </c>
      <c r="D1354" t="s">
        <v>52</v>
      </c>
      <c r="E1354">
        <v>2030</v>
      </c>
      <c r="F1354" t="s">
        <v>59</v>
      </c>
      <c r="G1354" t="s">
        <v>17</v>
      </c>
      <c r="H1354" t="s">
        <v>18</v>
      </c>
      <c r="I1354" s="8">
        <v>814425.00840000005</v>
      </c>
      <c r="J1354" s="8">
        <v>674737.3153125</v>
      </c>
      <c r="K1354" s="8">
        <f>I1354/1000000</f>
        <v>0.81442500840000009</v>
      </c>
      <c r="L1354" s="8">
        <f>J1354/1000000</f>
        <v>0.67473731531250003</v>
      </c>
      <c r="M1354" t="s">
        <v>19</v>
      </c>
    </row>
    <row r="1355" spans="2:13" x14ac:dyDescent="0.25">
      <c r="B1355" t="s">
        <v>13</v>
      </c>
      <c r="C1355" t="s">
        <v>14</v>
      </c>
      <c r="D1355" t="s">
        <v>52</v>
      </c>
      <c r="E1355">
        <v>2027</v>
      </c>
      <c r="F1355" t="s">
        <v>59</v>
      </c>
      <c r="G1355" t="s">
        <v>17</v>
      </c>
      <c r="H1355" t="s">
        <v>18</v>
      </c>
      <c r="I1355" s="8">
        <v>688704.53489999997</v>
      </c>
      <c r="J1355" s="8">
        <v>650897.12886043603</v>
      </c>
      <c r="K1355" s="8">
        <f>I1355/1000000</f>
        <v>0.68870453489999994</v>
      </c>
      <c r="L1355" s="8">
        <f>J1355/1000000</f>
        <v>0.65089712886043605</v>
      </c>
      <c r="M1355" t="s">
        <v>19</v>
      </c>
    </row>
    <row r="1356" spans="2:13" x14ac:dyDescent="0.25">
      <c r="B1356" t="s">
        <v>13</v>
      </c>
      <c r="C1356" t="s">
        <v>46</v>
      </c>
      <c r="D1356" t="s">
        <v>52</v>
      </c>
      <c r="E1356">
        <v>2026</v>
      </c>
      <c r="F1356" t="s">
        <v>61</v>
      </c>
      <c r="G1356" t="s">
        <v>17</v>
      </c>
      <c r="H1356" t="s">
        <v>18</v>
      </c>
      <c r="I1356" s="8">
        <v>406350.4326</v>
      </c>
      <c r="J1356" s="8">
        <v>404199.06674185902</v>
      </c>
      <c r="K1356" s="8">
        <f>I1356/1000000</f>
        <v>0.40635043259999998</v>
      </c>
      <c r="L1356" s="8">
        <f>J1356/1000000</f>
        <v>0.40419906674185901</v>
      </c>
      <c r="M1356" t="s">
        <v>19</v>
      </c>
    </row>
    <row r="1357" spans="2:13" x14ac:dyDescent="0.25">
      <c r="B1357" t="s">
        <v>13</v>
      </c>
      <c r="C1357" t="s">
        <v>46</v>
      </c>
      <c r="D1357" t="s">
        <v>52</v>
      </c>
      <c r="E1357">
        <v>2027</v>
      </c>
      <c r="F1357" t="s">
        <v>61</v>
      </c>
      <c r="G1357" t="s">
        <v>17</v>
      </c>
      <c r="H1357" t="s">
        <v>18</v>
      </c>
      <c r="I1357" s="8">
        <v>2443104.2549999999</v>
      </c>
      <c r="J1357" s="8">
        <v>2321942.5326468698</v>
      </c>
      <c r="K1357" s="8">
        <f>I1357/1000000</f>
        <v>2.4431042549999997</v>
      </c>
      <c r="L1357" s="8">
        <f>J1357/1000000</f>
        <v>2.3219425326468697</v>
      </c>
      <c r="M1357" t="s">
        <v>19</v>
      </c>
    </row>
    <row r="1358" spans="2:13" x14ac:dyDescent="0.25">
      <c r="B1358" t="s">
        <v>13</v>
      </c>
      <c r="C1358" t="s">
        <v>46</v>
      </c>
      <c r="D1358" t="s">
        <v>52</v>
      </c>
      <c r="E1358">
        <v>2029</v>
      </c>
      <c r="F1358" t="s">
        <v>61</v>
      </c>
      <c r="G1358" t="s">
        <v>17</v>
      </c>
      <c r="H1358" t="s">
        <v>18</v>
      </c>
      <c r="I1358" s="8">
        <v>2455623.3177999998</v>
      </c>
      <c r="J1358" s="8">
        <v>1940939.52297791</v>
      </c>
      <c r="K1358" s="8">
        <f>I1358/1000000</f>
        <v>2.4556233177999998</v>
      </c>
      <c r="L1358" s="8">
        <f>J1358/1000000</f>
        <v>1.9409395229779101</v>
      </c>
      <c r="M1358" t="s">
        <v>19</v>
      </c>
    </row>
    <row r="1359" spans="2:13" x14ac:dyDescent="0.25">
      <c r="B1359" t="s">
        <v>13</v>
      </c>
      <c r="C1359" t="s">
        <v>46</v>
      </c>
      <c r="D1359" t="s">
        <v>52</v>
      </c>
      <c r="E1359">
        <v>2030</v>
      </c>
      <c r="F1359" t="s">
        <v>61</v>
      </c>
      <c r="G1359" t="s">
        <v>17</v>
      </c>
      <c r="H1359" t="s">
        <v>18</v>
      </c>
      <c r="I1359" s="8">
        <v>2530503.0514000002</v>
      </c>
      <c r="J1359" s="8">
        <v>1982390.1279555799</v>
      </c>
      <c r="K1359" s="8">
        <f>I1359/1000000</f>
        <v>2.5305030514000002</v>
      </c>
      <c r="L1359" s="8">
        <f>J1359/1000000</f>
        <v>1.98239012795558</v>
      </c>
      <c r="M1359" t="s">
        <v>19</v>
      </c>
    </row>
    <row r="1360" spans="2:13" x14ac:dyDescent="0.25">
      <c r="B1360" t="s">
        <v>13</v>
      </c>
      <c r="C1360" t="s">
        <v>46</v>
      </c>
      <c r="D1360" t="s">
        <v>69</v>
      </c>
      <c r="E1360">
        <v>2028</v>
      </c>
      <c r="F1360" t="s">
        <v>61</v>
      </c>
      <c r="G1360" t="s">
        <v>17</v>
      </c>
      <c r="H1360" t="s">
        <v>18</v>
      </c>
      <c r="I1360" s="8">
        <v>8777457.9586999994</v>
      </c>
      <c r="J1360" s="8">
        <v>3345975.1042252998</v>
      </c>
      <c r="K1360" s="8">
        <f>I1360/1000000</f>
        <v>8.7774579586999995</v>
      </c>
      <c r="L1360" s="8">
        <f>J1360/1000000</f>
        <v>3.3459751042252996</v>
      </c>
      <c r="M1360" t="s">
        <v>19</v>
      </c>
    </row>
    <row r="1361" spans="2:13" x14ac:dyDescent="0.25">
      <c r="B1361" t="s">
        <v>13</v>
      </c>
      <c r="C1361" t="s">
        <v>46</v>
      </c>
      <c r="D1361" t="s">
        <v>69</v>
      </c>
      <c r="E1361">
        <v>2029</v>
      </c>
      <c r="F1361" t="s">
        <v>61</v>
      </c>
      <c r="G1361" t="s">
        <v>17</v>
      </c>
      <c r="H1361" t="s">
        <v>18</v>
      </c>
      <c r="I1361" s="8">
        <v>5107078.9227999998</v>
      </c>
      <c r="J1361" s="8">
        <v>2231229.0896478901</v>
      </c>
      <c r="K1361" s="8">
        <f>I1361/1000000</f>
        <v>5.1070789227999995</v>
      </c>
      <c r="L1361" s="8">
        <f>J1361/1000000</f>
        <v>2.2312290896478899</v>
      </c>
      <c r="M1361" t="s">
        <v>19</v>
      </c>
    </row>
    <row r="1362" spans="2:13" x14ac:dyDescent="0.25">
      <c r="B1362" t="s">
        <v>13</v>
      </c>
      <c r="C1362" t="s">
        <v>46</v>
      </c>
      <c r="D1362" t="s">
        <v>69</v>
      </c>
      <c r="E1362">
        <v>2030</v>
      </c>
      <c r="F1362" t="s">
        <v>61</v>
      </c>
      <c r="G1362" t="s">
        <v>17</v>
      </c>
      <c r="H1362" t="s">
        <v>18</v>
      </c>
      <c r="I1362" s="8">
        <v>5246294.8737000003</v>
      </c>
      <c r="J1362" s="8">
        <v>2286714.4877302302</v>
      </c>
      <c r="K1362" s="8">
        <f>I1362/1000000</f>
        <v>5.2462948737000001</v>
      </c>
      <c r="L1362" s="8">
        <f>J1362/1000000</f>
        <v>2.2867144877302303</v>
      </c>
      <c r="M1362" t="s">
        <v>19</v>
      </c>
    </row>
    <row r="1363" spans="2:13" x14ac:dyDescent="0.25">
      <c r="B1363" t="s">
        <v>13</v>
      </c>
      <c r="C1363" t="s">
        <v>46</v>
      </c>
      <c r="D1363" t="s">
        <v>73</v>
      </c>
      <c r="E1363">
        <v>2026</v>
      </c>
      <c r="F1363" t="s">
        <v>61</v>
      </c>
      <c r="G1363" t="s">
        <v>17</v>
      </c>
      <c r="H1363" t="s">
        <v>18</v>
      </c>
      <c r="I1363" s="8">
        <v>1623071.2423</v>
      </c>
      <c r="J1363" s="8">
        <v>1699124.1057511701</v>
      </c>
      <c r="K1363" s="8">
        <f>I1363/1000000</f>
        <v>1.6230712423</v>
      </c>
      <c r="L1363" s="8">
        <f>J1363/1000000</f>
        <v>1.6991241057511701</v>
      </c>
      <c r="M1363" t="s">
        <v>19</v>
      </c>
    </row>
    <row r="1364" spans="2:13" x14ac:dyDescent="0.25">
      <c r="B1364" t="s">
        <v>13</v>
      </c>
      <c r="C1364" t="s">
        <v>46</v>
      </c>
      <c r="D1364" t="s">
        <v>70</v>
      </c>
      <c r="E1364">
        <v>2026</v>
      </c>
      <c r="F1364" t="s">
        <v>61</v>
      </c>
      <c r="G1364" t="s">
        <v>17</v>
      </c>
      <c r="H1364" t="s">
        <v>18</v>
      </c>
      <c r="I1364" s="8">
        <v>4390609.0882000001</v>
      </c>
      <c r="J1364" s="8">
        <v>2543955.4980000001</v>
      </c>
      <c r="K1364" s="8">
        <f>I1364/1000000</f>
        <v>4.3906090881999997</v>
      </c>
      <c r="L1364" s="8">
        <f>J1364/1000000</f>
        <v>2.5439554980000003</v>
      </c>
      <c r="M1364" t="s">
        <v>19</v>
      </c>
    </row>
    <row r="1365" spans="2:13" x14ac:dyDescent="0.25">
      <c r="B1365" t="s">
        <v>13</v>
      </c>
      <c r="C1365" t="s">
        <v>46</v>
      </c>
      <c r="D1365" t="s">
        <v>15</v>
      </c>
      <c r="E1365">
        <v>2028</v>
      </c>
      <c r="F1365" t="s">
        <v>61</v>
      </c>
      <c r="G1365" t="s">
        <v>17</v>
      </c>
      <c r="H1365" t="s">
        <v>18</v>
      </c>
      <c r="I1365" s="8">
        <v>1523339.9981</v>
      </c>
      <c r="J1365" s="8">
        <v>506493.01750000002</v>
      </c>
      <c r="K1365" s="8">
        <f>I1365/1000000</f>
        <v>1.5233399981</v>
      </c>
      <c r="L1365" s="8">
        <f>J1365/1000000</f>
        <v>0.50649301749999998</v>
      </c>
      <c r="M1365" t="s">
        <v>19</v>
      </c>
    </row>
    <row r="1366" spans="2:13" x14ac:dyDescent="0.25">
      <c r="B1366" t="s">
        <v>13</v>
      </c>
      <c r="C1366" t="s">
        <v>46</v>
      </c>
      <c r="D1366" t="s">
        <v>15</v>
      </c>
      <c r="E1366">
        <v>2026</v>
      </c>
      <c r="F1366" t="s">
        <v>61</v>
      </c>
      <c r="G1366" t="s">
        <v>17</v>
      </c>
      <c r="H1366" t="s">
        <v>18</v>
      </c>
      <c r="I1366" s="8">
        <v>1.1083000000000001</v>
      </c>
      <c r="J1366" s="8">
        <v>0.239616</v>
      </c>
      <c r="K1366" s="8">
        <f>I1366/1000000</f>
        <v>1.1083E-6</v>
      </c>
      <c r="L1366" s="8">
        <f>J1366/1000000</f>
        <v>2.3961600000000002E-7</v>
      </c>
      <c r="M1366" t="s">
        <v>19</v>
      </c>
    </row>
    <row r="1367" spans="2:13" x14ac:dyDescent="0.25">
      <c r="B1367" t="s">
        <v>13</v>
      </c>
      <c r="C1367" t="s">
        <v>46</v>
      </c>
      <c r="D1367" t="s">
        <v>15</v>
      </c>
      <c r="E1367">
        <v>2027</v>
      </c>
      <c r="F1367" t="s">
        <v>61</v>
      </c>
      <c r="G1367" t="s">
        <v>17</v>
      </c>
      <c r="H1367" t="s">
        <v>18</v>
      </c>
      <c r="I1367" s="8">
        <v>950184.67370000004</v>
      </c>
      <c r="J1367" s="8">
        <v>205423.0975</v>
      </c>
      <c r="K1367" s="8">
        <f>I1367/1000000</f>
        <v>0.95018467370000004</v>
      </c>
      <c r="L1367" s="8">
        <f>J1367/1000000</f>
        <v>0.20542309750000001</v>
      </c>
      <c r="M1367" t="s">
        <v>19</v>
      </c>
    </row>
    <row r="1368" spans="2:13" x14ac:dyDescent="0.25">
      <c r="B1368" t="s">
        <v>13</v>
      </c>
      <c r="C1368" t="s">
        <v>46</v>
      </c>
      <c r="D1368" t="s">
        <v>15</v>
      </c>
      <c r="E1368">
        <v>2030</v>
      </c>
      <c r="F1368" t="s">
        <v>61</v>
      </c>
      <c r="G1368" t="s">
        <v>17</v>
      </c>
      <c r="H1368" t="s">
        <v>18</v>
      </c>
      <c r="I1368" s="8">
        <v>1456896.781</v>
      </c>
      <c r="J1368" s="8">
        <v>484401.41249999998</v>
      </c>
      <c r="K1368" s="8">
        <f>I1368/1000000</f>
        <v>1.456896781</v>
      </c>
      <c r="L1368" s="8">
        <f>J1368/1000000</f>
        <v>0.48440141249999996</v>
      </c>
      <c r="M1368" t="s">
        <v>19</v>
      </c>
    </row>
    <row r="1369" spans="2:13" x14ac:dyDescent="0.25">
      <c r="B1369" t="s">
        <v>13</v>
      </c>
      <c r="C1369" t="s">
        <v>46</v>
      </c>
      <c r="D1369" t="s">
        <v>100</v>
      </c>
      <c r="E1369">
        <v>2029</v>
      </c>
      <c r="F1369" t="s">
        <v>61</v>
      </c>
      <c r="G1369" t="s">
        <v>17</v>
      </c>
      <c r="H1369" t="s">
        <v>18</v>
      </c>
      <c r="I1369" s="8">
        <v>3670544.5545999999</v>
      </c>
      <c r="J1369" s="8">
        <v>1617985.4400887699</v>
      </c>
      <c r="K1369" s="8">
        <f>I1369/1000000</f>
        <v>3.6705445545999997</v>
      </c>
      <c r="L1369" s="8">
        <f>J1369/1000000</f>
        <v>1.6179854400887699</v>
      </c>
      <c r="M1369" t="s">
        <v>19</v>
      </c>
    </row>
    <row r="1370" spans="2:13" x14ac:dyDescent="0.25">
      <c r="B1370" t="s">
        <v>13</v>
      </c>
      <c r="C1370" t="s">
        <v>46</v>
      </c>
      <c r="D1370" t="s">
        <v>100</v>
      </c>
      <c r="E1370">
        <v>2030</v>
      </c>
      <c r="F1370" t="s">
        <v>61</v>
      </c>
      <c r="G1370" t="s">
        <v>17</v>
      </c>
      <c r="H1370" t="s">
        <v>18</v>
      </c>
      <c r="I1370" s="8">
        <v>3719887.3097999999</v>
      </c>
      <c r="J1370" s="8">
        <v>1654320.42654403</v>
      </c>
      <c r="K1370" s="8">
        <f>I1370/1000000</f>
        <v>3.7198873097999998</v>
      </c>
      <c r="L1370" s="8">
        <f>J1370/1000000</f>
        <v>1.6543204265440299</v>
      </c>
      <c r="M1370" t="s">
        <v>19</v>
      </c>
    </row>
    <row r="1371" spans="2:13" x14ac:dyDescent="0.25">
      <c r="B1371" t="s">
        <v>13</v>
      </c>
      <c r="C1371" t="s">
        <v>46</v>
      </c>
      <c r="D1371" t="s">
        <v>100</v>
      </c>
      <c r="E1371">
        <v>2026</v>
      </c>
      <c r="F1371" t="s">
        <v>61</v>
      </c>
      <c r="G1371" t="s">
        <v>17</v>
      </c>
      <c r="H1371" t="s">
        <v>18</v>
      </c>
      <c r="I1371" s="8">
        <v>6398649.0343000004</v>
      </c>
      <c r="J1371" s="8">
        <v>1123217.4772049999</v>
      </c>
      <c r="K1371" s="8">
        <f>I1371/1000000</f>
        <v>6.3986490343</v>
      </c>
      <c r="L1371" s="8">
        <f>J1371/1000000</f>
        <v>1.1232174772049999</v>
      </c>
      <c r="M1371" t="s">
        <v>19</v>
      </c>
    </row>
    <row r="1372" spans="2:13" x14ac:dyDescent="0.25">
      <c r="B1372" t="s">
        <v>13</v>
      </c>
      <c r="C1372" t="s">
        <v>46</v>
      </c>
      <c r="D1372" t="s">
        <v>100</v>
      </c>
      <c r="E1372">
        <v>2028</v>
      </c>
      <c r="F1372" t="s">
        <v>61</v>
      </c>
      <c r="G1372" t="s">
        <v>17</v>
      </c>
      <c r="H1372" t="s">
        <v>18</v>
      </c>
      <c r="I1372" s="8">
        <v>4195659.5957000004</v>
      </c>
      <c r="J1372" s="8">
        <v>1971098.64113111</v>
      </c>
      <c r="K1372" s="8">
        <f>I1372/1000000</f>
        <v>4.1956595957000005</v>
      </c>
      <c r="L1372" s="8">
        <f>J1372/1000000</f>
        <v>1.97109864113111</v>
      </c>
      <c r="M1372" t="s">
        <v>19</v>
      </c>
    </row>
    <row r="1373" spans="2:13" x14ac:dyDescent="0.25">
      <c r="B1373" t="s">
        <v>13</v>
      </c>
      <c r="C1373" t="s">
        <v>46</v>
      </c>
      <c r="D1373" t="s">
        <v>100</v>
      </c>
      <c r="E1373">
        <v>2027</v>
      </c>
      <c r="F1373" t="s">
        <v>61</v>
      </c>
      <c r="G1373" t="s">
        <v>17</v>
      </c>
      <c r="H1373" t="s">
        <v>18</v>
      </c>
      <c r="I1373" s="8">
        <v>4079652.2234</v>
      </c>
      <c r="J1373" s="8">
        <v>1898248.85728629</v>
      </c>
      <c r="K1373" s="8">
        <f>I1373/1000000</f>
        <v>4.0796522234000001</v>
      </c>
      <c r="L1373" s="8">
        <f>J1373/1000000</f>
        <v>1.8982488572862901</v>
      </c>
      <c r="M1373" t="s">
        <v>19</v>
      </c>
    </row>
    <row r="1374" spans="2:13" x14ac:dyDescent="0.25">
      <c r="B1374" t="s">
        <v>13</v>
      </c>
      <c r="C1374" t="s">
        <v>46</v>
      </c>
      <c r="D1374" t="s">
        <v>72</v>
      </c>
      <c r="E1374">
        <v>2030</v>
      </c>
      <c r="F1374" t="s">
        <v>61</v>
      </c>
      <c r="G1374" t="s">
        <v>17</v>
      </c>
      <c r="H1374" t="s">
        <v>18</v>
      </c>
      <c r="I1374" s="8">
        <v>5579398.3398000002</v>
      </c>
      <c r="J1374" s="8">
        <v>2593520.0755735398</v>
      </c>
      <c r="K1374" s="8">
        <f>I1374/1000000</f>
        <v>5.5793983398</v>
      </c>
      <c r="L1374" s="8">
        <f>J1374/1000000</f>
        <v>2.5935200755735397</v>
      </c>
      <c r="M1374" t="s">
        <v>19</v>
      </c>
    </row>
    <row r="1375" spans="2:13" x14ac:dyDescent="0.25">
      <c r="B1375" t="s">
        <v>13</v>
      </c>
      <c r="C1375" t="s">
        <v>46</v>
      </c>
      <c r="D1375" t="s">
        <v>72</v>
      </c>
      <c r="E1375">
        <v>2026</v>
      </c>
      <c r="F1375" t="s">
        <v>61</v>
      </c>
      <c r="G1375" t="s">
        <v>17</v>
      </c>
      <c r="H1375" t="s">
        <v>18</v>
      </c>
      <c r="I1375" s="8">
        <v>5954256.5919000003</v>
      </c>
      <c r="J1375" s="8">
        <v>2085565.2344225999</v>
      </c>
      <c r="K1375" s="8">
        <f>I1375/1000000</f>
        <v>5.9542565919000001</v>
      </c>
      <c r="L1375" s="8">
        <f>J1375/1000000</f>
        <v>2.0855652344225999</v>
      </c>
      <c r="M1375" t="s">
        <v>19</v>
      </c>
    </row>
    <row r="1376" spans="2:13" x14ac:dyDescent="0.25">
      <c r="B1376" t="s">
        <v>13</v>
      </c>
      <c r="C1376" t="s">
        <v>46</v>
      </c>
      <c r="D1376" t="s">
        <v>72</v>
      </c>
      <c r="E1376">
        <v>2027</v>
      </c>
      <c r="F1376" t="s">
        <v>61</v>
      </c>
      <c r="G1376" t="s">
        <v>17</v>
      </c>
      <c r="H1376" t="s">
        <v>18</v>
      </c>
      <c r="I1376" s="8">
        <v>7312556.8084000004</v>
      </c>
      <c r="J1376" s="8">
        <v>2978656.9162559998</v>
      </c>
      <c r="K1376" s="8">
        <f>I1376/1000000</f>
        <v>7.3125568084000001</v>
      </c>
      <c r="L1376" s="8">
        <f>J1376/1000000</f>
        <v>2.9786569162559999</v>
      </c>
      <c r="M1376" t="s">
        <v>19</v>
      </c>
    </row>
    <row r="1377" spans="2:13" x14ac:dyDescent="0.25">
      <c r="B1377" t="s">
        <v>13</v>
      </c>
      <c r="C1377" t="s">
        <v>46</v>
      </c>
      <c r="D1377" t="s">
        <v>72</v>
      </c>
      <c r="E1377">
        <v>2028</v>
      </c>
      <c r="F1377" t="s">
        <v>61</v>
      </c>
      <c r="G1377" t="s">
        <v>17</v>
      </c>
      <c r="H1377" t="s">
        <v>18</v>
      </c>
      <c r="I1377" s="8">
        <v>7554542.9757000003</v>
      </c>
      <c r="J1377" s="8">
        <v>3093890.06283525</v>
      </c>
      <c r="K1377" s="8">
        <f>I1377/1000000</f>
        <v>7.5545429757000004</v>
      </c>
      <c r="L1377" s="8">
        <f>J1377/1000000</f>
        <v>3.0938900628352499</v>
      </c>
      <c r="M1377" t="s">
        <v>19</v>
      </c>
    </row>
    <row r="1378" spans="2:13" x14ac:dyDescent="0.25">
      <c r="B1378" t="s">
        <v>13</v>
      </c>
      <c r="C1378" t="s">
        <v>46</v>
      </c>
      <c r="D1378" t="s">
        <v>76</v>
      </c>
      <c r="E1378">
        <v>2028</v>
      </c>
      <c r="F1378" t="s">
        <v>61</v>
      </c>
      <c r="G1378" t="s">
        <v>17</v>
      </c>
      <c r="H1378" t="s">
        <v>18</v>
      </c>
      <c r="I1378" s="8">
        <v>12308641.964</v>
      </c>
      <c r="J1378" s="8">
        <v>3855641.18464409</v>
      </c>
      <c r="K1378" s="8">
        <f>I1378/1000000</f>
        <v>12.308641964</v>
      </c>
      <c r="L1378" s="8">
        <f>J1378/1000000</f>
        <v>3.8556411846440901</v>
      </c>
      <c r="M1378" t="s">
        <v>39</v>
      </c>
    </row>
    <row r="1379" spans="2:13" x14ac:dyDescent="0.25">
      <c r="B1379" t="s">
        <v>13</v>
      </c>
      <c r="C1379" t="s">
        <v>46</v>
      </c>
      <c r="D1379" t="s">
        <v>76</v>
      </c>
      <c r="E1379">
        <v>2029</v>
      </c>
      <c r="F1379" t="s">
        <v>61</v>
      </c>
      <c r="G1379" t="s">
        <v>17</v>
      </c>
      <c r="H1379" t="s">
        <v>18</v>
      </c>
      <c r="I1379" s="8">
        <v>11656103.565099999</v>
      </c>
      <c r="J1379" s="8">
        <v>3651235.7000601399</v>
      </c>
      <c r="K1379" s="8">
        <f>I1379/1000000</f>
        <v>11.656103565099999</v>
      </c>
      <c r="L1379" s="8">
        <f>J1379/1000000</f>
        <v>3.6512357000601399</v>
      </c>
      <c r="M1379" t="s">
        <v>39</v>
      </c>
    </row>
    <row r="1380" spans="2:13" x14ac:dyDescent="0.25">
      <c r="B1380" t="s">
        <v>13</v>
      </c>
      <c r="C1380" t="s">
        <v>46</v>
      </c>
      <c r="D1380" t="s">
        <v>76</v>
      </c>
      <c r="E1380">
        <v>2030</v>
      </c>
      <c r="F1380" t="s">
        <v>61</v>
      </c>
      <c r="G1380" t="s">
        <v>17</v>
      </c>
      <c r="H1380" t="s">
        <v>18</v>
      </c>
      <c r="I1380" s="8">
        <v>11998034.533299999</v>
      </c>
      <c r="J1380" s="8">
        <v>3758344.4393593399</v>
      </c>
      <c r="K1380" s="8">
        <f>I1380/1000000</f>
        <v>11.998034533299998</v>
      </c>
      <c r="L1380" s="8">
        <f>J1380/1000000</f>
        <v>3.7583444393593397</v>
      </c>
      <c r="M1380" t="s">
        <v>39</v>
      </c>
    </row>
    <row r="1381" spans="2:13" x14ac:dyDescent="0.25">
      <c r="B1381" t="s">
        <v>13</v>
      </c>
      <c r="C1381" t="s">
        <v>46</v>
      </c>
      <c r="D1381" t="s">
        <v>76</v>
      </c>
      <c r="E1381">
        <v>2027</v>
      </c>
      <c r="F1381" t="s">
        <v>61</v>
      </c>
      <c r="G1381" t="s">
        <v>17</v>
      </c>
      <c r="H1381" t="s">
        <v>18</v>
      </c>
      <c r="I1381" s="8">
        <v>13121607.7524</v>
      </c>
      <c r="J1381" s="8">
        <v>4053353.9858635399</v>
      </c>
      <c r="K1381" s="8">
        <f>I1381/1000000</f>
        <v>13.121607752399999</v>
      </c>
      <c r="L1381" s="8">
        <f>J1381/1000000</f>
        <v>4.0533539858635397</v>
      </c>
      <c r="M1381" t="s">
        <v>39</v>
      </c>
    </row>
    <row r="1382" spans="2:13" x14ac:dyDescent="0.25">
      <c r="B1382" t="s">
        <v>13</v>
      </c>
      <c r="C1382" t="s">
        <v>46</v>
      </c>
      <c r="D1382" t="s">
        <v>76</v>
      </c>
      <c r="E1382">
        <v>2026</v>
      </c>
      <c r="F1382" t="s">
        <v>61</v>
      </c>
      <c r="G1382" t="s">
        <v>17</v>
      </c>
      <c r="H1382" t="s">
        <v>18</v>
      </c>
      <c r="I1382" s="8">
        <v>10865984.0998</v>
      </c>
      <c r="J1382" s="8">
        <v>4113200</v>
      </c>
      <c r="K1382" s="8">
        <f>I1382/1000000</f>
        <v>10.8659840998</v>
      </c>
      <c r="L1382" s="8">
        <f>J1382/1000000</f>
        <v>4.1132</v>
      </c>
      <c r="M1382" t="s">
        <v>39</v>
      </c>
    </row>
    <row r="1383" spans="2:13" x14ac:dyDescent="0.25">
      <c r="B1383" t="s">
        <v>13</v>
      </c>
      <c r="C1383" t="s">
        <v>46</v>
      </c>
      <c r="D1383" t="s">
        <v>102</v>
      </c>
      <c r="E1383">
        <v>2028</v>
      </c>
      <c r="F1383" t="s">
        <v>61</v>
      </c>
      <c r="G1383" t="s">
        <v>17</v>
      </c>
      <c r="H1383" t="s">
        <v>18</v>
      </c>
      <c r="I1383" s="8">
        <v>207879.9584</v>
      </c>
      <c r="J1383" s="8">
        <v>465954.97962063801</v>
      </c>
      <c r="K1383" s="8">
        <f>I1383/1000000</f>
        <v>0.20787995840000001</v>
      </c>
      <c r="L1383" s="8">
        <f>J1383/1000000</f>
        <v>0.46595497962063803</v>
      </c>
      <c r="M1383" t="s">
        <v>19</v>
      </c>
    </row>
    <row r="1384" spans="2:13" x14ac:dyDescent="0.25">
      <c r="B1384" t="s">
        <v>13</v>
      </c>
      <c r="C1384" t="s">
        <v>46</v>
      </c>
      <c r="D1384" t="s">
        <v>102</v>
      </c>
      <c r="E1384">
        <v>2029</v>
      </c>
      <c r="F1384" t="s">
        <v>61</v>
      </c>
      <c r="G1384" t="s">
        <v>17</v>
      </c>
      <c r="H1384" t="s">
        <v>18</v>
      </c>
      <c r="I1384" s="8">
        <v>211930.9086</v>
      </c>
      <c r="J1384" s="8">
        <v>475035.029554562</v>
      </c>
      <c r="K1384" s="8">
        <f>I1384/1000000</f>
        <v>0.2119309086</v>
      </c>
      <c r="L1384" s="8">
        <f>J1384/1000000</f>
        <v>0.475035029554562</v>
      </c>
      <c r="M1384" t="s">
        <v>19</v>
      </c>
    </row>
    <row r="1385" spans="2:13" x14ac:dyDescent="0.25">
      <c r="B1385" t="s">
        <v>13</v>
      </c>
      <c r="C1385" t="s">
        <v>46</v>
      </c>
      <c r="D1385" t="s">
        <v>102</v>
      </c>
      <c r="E1385">
        <v>2030</v>
      </c>
      <c r="F1385" t="s">
        <v>61</v>
      </c>
      <c r="G1385" t="s">
        <v>17</v>
      </c>
      <c r="H1385" t="s">
        <v>18</v>
      </c>
      <c r="I1385" s="8">
        <v>216530.74220000001</v>
      </c>
      <c r="J1385" s="8">
        <v>485345.38073295</v>
      </c>
      <c r="K1385" s="8">
        <f>I1385/1000000</f>
        <v>0.21653074220000001</v>
      </c>
      <c r="L1385" s="8">
        <f>J1385/1000000</f>
        <v>0.48534538073294997</v>
      </c>
      <c r="M1385" t="s">
        <v>19</v>
      </c>
    </row>
    <row r="1386" spans="2:13" x14ac:dyDescent="0.25">
      <c r="B1386" t="s">
        <v>13</v>
      </c>
      <c r="C1386" t="s">
        <v>46</v>
      </c>
      <c r="D1386" t="s">
        <v>102</v>
      </c>
      <c r="E1386">
        <v>2027</v>
      </c>
      <c r="F1386" t="s">
        <v>61</v>
      </c>
      <c r="G1386" t="s">
        <v>17</v>
      </c>
      <c r="H1386" t="s">
        <v>18</v>
      </c>
      <c r="I1386" s="8">
        <v>198438.93849999999</v>
      </c>
      <c r="J1386" s="8">
        <v>427624.23699163698</v>
      </c>
      <c r="K1386" s="8">
        <f>I1386/1000000</f>
        <v>0.1984389385</v>
      </c>
      <c r="L1386" s="8">
        <f>J1386/1000000</f>
        <v>0.42762423699163699</v>
      </c>
      <c r="M1386" t="s">
        <v>19</v>
      </c>
    </row>
    <row r="1387" spans="2:13" x14ac:dyDescent="0.25">
      <c r="B1387" t="s">
        <v>13</v>
      </c>
      <c r="C1387" t="s">
        <v>46</v>
      </c>
      <c r="D1387" t="s">
        <v>69</v>
      </c>
      <c r="E1387">
        <v>2027</v>
      </c>
      <c r="F1387" t="s">
        <v>61</v>
      </c>
      <c r="G1387" t="s">
        <v>17</v>
      </c>
      <c r="H1387" t="s">
        <v>18</v>
      </c>
      <c r="I1387" s="8">
        <v>9689121.5274</v>
      </c>
      <c r="J1387" s="8">
        <v>3257014.9374131798</v>
      </c>
      <c r="K1387" s="8">
        <f>I1387/1000000</f>
        <v>9.6891215273999993</v>
      </c>
      <c r="L1387" s="8">
        <f>J1387/1000000</f>
        <v>3.2570149374131798</v>
      </c>
      <c r="M1387" t="s">
        <v>19</v>
      </c>
    </row>
    <row r="1388" spans="2:13" x14ac:dyDescent="0.25">
      <c r="B1388" t="s">
        <v>13</v>
      </c>
      <c r="C1388" t="s">
        <v>46</v>
      </c>
      <c r="D1388" t="s">
        <v>52</v>
      </c>
      <c r="E1388">
        <v>2028</v>
      </c>
      <c r="F1388" t="s">
        <v>61</v>
      </c>
      <c r="G1388" t="s">
        <v>17</v>
      </c>
      <c r="H1388" t="s">
        <v>18</v>
      </c>
      <c r="I1388" s="8">
        <v>2695296.5043000001</v>
      </c>
      <c r="J1388" s="8">
        <v>2158907.4768063799</v>
      </c>
      <c r="K1388" s="8">
        <f>I1388/1000000</f>
        <v>2.6952965043000003</v>
      </c>
      <c r="L1388" s="8">
        <f>J1388/1000000</f>
        <v>2.1589074768063798</v>
      </c>
      <c r="M1388" t="s">
        <v>19</v>
      </c>
    </row>
    <row r="1389" spans="2:13" x14ac:dyDescent="0.25">
      <c r="B1389" t="s">
        <v>13</v>
      </c>
      <c r="C1389" t="s">
        <v>46</v>
      </c>
      <c r="D1389" t="s">
        <v>72</v>
      </c>
      <c r="E1389">
        <v>2029</v>
      </c>
      <c r="F1389" t="s">
        <v>61</v>
      </c>
      <c r="G1389" t="s">
        <v>17</v>
      </c>
      <c r="H1389" t="s">
        <v>18</v>
      </c>
      <c r="I1389" s="8">
        <v>5463034.8580999998</v>
      </c>
      <c r="J1389" s="8">
        <v>2539429.83011284</v>
      </c>
      <c r="K1389" s="8">
        <f>I1389/1000000</f>
        <v>5.4630348580999994</v>
      </c>
      <c r="L1389" s="8">
        <f>J1389/1000000</f>
        <v>2.53942983011284</v>
      </c>
      <c r="M1389" t="s">
        <v>19</v>
      </c>
    </row>
    <row r="1390" spans="2:13" x14ac:dyDescent="0.25">
      <c r="B1390" t="s">
        <v>13</v>
      </c>
      <c r="C1390" t="s">
        <v>46</v>
      </c>
      <c r="D1390" t="s">
        <v>15</v>
      </c>
      <c r="E1390">
        <v>2029</v>
      </c>
      <c r="F1390" t="s">
        <v>61</v>
      </c>
      <c r="G1390" t="s">
        <v>17</v>
      </c>
      <c r="H1390" t="s">
        <v>18</v>
      </c>
      <c r="I1390" s="8">
        <v>1425278.6039</v>
      </c>
      <c r="J1390" s="8">
        <v>473888.73249999998</v>
      </c>
      <c r="K1390" s="8">
        <f>I1390/1000000</f>
        <v>1.4252786039000001</v>
      </c>
      <c r="L1390" s="8">
        <f>J1390/1000000</f>
        <v>0.47388873249999997</v>
      </c>
      <c r="M1390" t="s">
        <v>19</v>
      </c>
    </row>
    <row r="1391" spans="2:13" x14ac:dyDescent="0.25">
      <c r="B1391" t="s">
        <v>13</v>
      </c>
      <c r="C1391" t="s">
        <v>46</v>
      </c>
      <c r="D1391" t="s">
        <v>102</v>
      </c>
      <c r="E1391">
        <v>2026</v>
      </c>
      <c r="F1391" t="s">
        <v>61</v>
      </c>
      <c r="G1391" t="s">
        <v>17</v>
      </c>
      <c r="H1391" t="s">
        <v>18</v>
      </c>
      <c r="I1391" s="8">
        <v>202136.6465</v>
      </c>
      <c r="J1391" s="8">
        <v>602300</v>
      </c>
      <c r="K1391" s="8">
        <f>I1391/1000000</f>
        <v>0.20213664649999999</v>
      </c>
      <c r="L1391" s="8">
        <f>J1391/1000000</f>
        <v>0.60229999999999995</v>
      </c>
      <c r="M1391" t="s">
        <v>19</v>
      </c>
    </row>
    <row r="1392" spans="2:13" x14ac:dyDescent="0.25">
      <c r="B1392" t="s">
        <v>13</v>
      </c>
      <c r="C1392" t="s">
        <v>14</v>
      </c>
      <c r="D1392" t="s">
        <v>109</v>
      </c>
      <c r="E1392">
        <v>2027</v>
      </c>
      <c r="F1392" t="s">
        <v>61</v>
      </c>
      <c r="G1392" t="s">
        <v>17</v>
      </c>
      <c r="H1392" t="s">
        <v>18</v>
      </c>
      <c r="I1392" s="8">
        <v>10086597.2322</v>
      </c>
      <c r="J1392" s="8">
        <v>6300000</v>
      </c>
      <c r="K1392" s="8">
        <f>I1392/1000000</f>
        <v>10.086597232200001</v>
      </c>
      <c r="L1392" s="8">
        <f>J1392/1000000</f>
        <v>6.3</v>
      </c>
      <c r="M1392" t="s">
        <v>39</v>
      </c>
    </row>
    <row r="1393" spans="2:13" x14ac:dyDescent="0.25">
      <c r="B1393" t="s">
        <v>13</v>
      </c>
      <c r="C1393" t="s">
        <v>14</v>
      </c>
      <c r="D1393" t="s">
        <v>109</v>
      </c>
      <c r="E1393">
        <v>2026</v>
      </c>
      <c r="F1393" t="s">
        <v>61</v>
      </c>
      <c r="G1393" t="s">
        <v>17</v>
      </c>
      <c r="H1393" t="s">
        <v>18</v>
      </c>
      <c r="I1393" s="8">
        <v>14435471.7972</v>
      </c>
      <c r="J1393" s="8">
        <v>10000000</v>
      </c>
      <c r="K1393" s="8">
        <f>I1393/1000000</f>
        <v>14.4354717972</v>
      </c>
      <c r="L1393" s="8">
        <f>J1393/1000000</f>
        <v>10</v>
      </c>
      <c r="M1393" t="s">
        <v>39</v>
      </c>
    </row>
    <row r="1394" spans="2:13" x14ac:dyDescent="0.25">
      <c r="B1394" t="s">
        <v>13</v>
      </c>
      <c r="C1394" t="s">
        <v>14</v>
      </c>
      <c r="D1394" t="s">
        <v>52</v>
      </c>
      <c r="E1394">
        <v>2027</v>
      </c>
      <c r="F1394" t="s">
        <v>61</v>
      </c>
      <c r="G1394" t="s">
        <v>17</v>
      </c>
      <c r="H1394" t="s">
        <v>18</v>
      </c>
      <c r="I1394" s="8">
        <v>8553200.7152999993</v>
      </c>
      <c r="J1394" s="8">
        <v>8062576.8547499999</v>
      </c>
      <c r="K1394" s="8">
        <f>I1394/1000000</f>
        <v>8.5532007152999991</v>
      </c>
      <c r="L1394" s="8">
        <f>J1394/1000000</f>
        <v>8.0625768547500005</v>
      </c>
      <c r="M1394" t="s">
        <v>19</v>
      </c>
    </row>
    <row r="1395" spans="2:13" x14ac:dyDescent="0.25">
      <c r="B1395" t="s">
        <v>13</v>
      </c>
      <c r="C1395" t="s">
        <v>14</v>
      </c>
      <c r="D1395" t="s">
        <v>15</v>
      </c>
      <c r="E1395">
        <v>2026</v>
      </c>
      <c r="F1395" t="s">
        <v>28</v>
      </c>
      <c r="G1395" t="s">
        <v>17</v>
      </c>
      <c r="H1395" t="s">
        <v>18</v>
      </c>
      <c r="I1395" s="8">
        <v>13067394.886399999</v>
      </c>
      <c r="J1395" s="8">
        <v>2826693.5510204099</v>
      </c>
      <c r="K1395" s="8">
        <f>I1395/1000000</f>
        <v>13.067394886399999</v>
      </c>
      <c r="L1395" s="8">
        <f>J1395/1000000</f>
        <v>2.8266935510204099</v>
      </c>
      <c r="M1395" t="s">
        <v>19</v>
      </c>
    </row>
    <row r="1396" spans="2:13" x14ac:dyDescent="0.25">
      <c r="B1396" t="s">
        <v>13</v>
      </c>
      <c r="C1396" t="s">
        <v>46</v>
      </c>
      <c r="D1396" t="s">
        <v>70</v>
      </c>
      <c r="E1396">
        <v>2028</v>
      </c>
      <c r="F1396" t="s">
        <v>28</v>
      </c>
      <c r="G1396" t="s">
        <v>17</v>
      </c>
      <c r="H1396" t="s">
        <v>18</v>
      </c>
      <c r="I1396" s="8">
        <v>465022.97230000002</v>
      </c>
      <c r="J1396" s="8">
        <v>329156.78399999999</v>
      </c>
      <c r="K1396" s="8">
        <f>I1396/1000000</f>
        <v>0.4650229723</v>
      </c>
      <c r="L1396" s="8">
        <f>J1396/1000000</f>
        <v>0.32915678399999998</v>
      </c>
      <c r="M1396" t="s">
        <v>19</v>
      </c>
    </row>
    <row r="1397" spans="2:13" x14ac:dyDescent="0.25">
      <c r="B1397" t="s">
        <v>13</v>
      </c>
      <c r="C1397" t="s">
        <v>46</v>
      </c>
      <c r="D1397" t="s">
        <v>70</v>
      </c>
      <c r="E1397">
        <v>2027</v>
      </c>
      <c r="F1397" t="s">
        <v>28</v>
      </c>
      <c r="G1397" t="s">
        <v>17</v>
      </c>
      <c r="H1397" t="s">
        <v>18</v>
      </c>
      <c r="I1397" s="8">
        <v>289165.7254</v>
      </c>
      <c r="J1397" s="8">
        <v>206997.12</v>
      </c>
      <c r="K1397" s="8">
        <f>I1397/1000000</f>
        <v>0.28916572540000002</v>
      </c>
      <c r="L1397" s="8">
        <f>J1397/1000000</f>
        <v>0.20699712000000001</v>
      </c>
      <c r="M1397" t="s">
        <v>19</v>
      </c>
    </row>
    <row r="1398" spans="2:13" x14ac:dyDescent="0.25">
      <c r="B1398" t="s">
        <v>13</v>
      </c>
      <c r="C1398" t="s">
        <v>46</v>
      </c>
      <c r="D1398" t="s">
        <v>70</v>
      </c>
      <c r="E1398">
        <v>2026</v>
      </c>
      <c r="F1398" t="s">
        <v>28</v>
      </c>
      <c r="G1398" t="s">
        <v>17</v>
      </c>
      <c r="H1398" t="s">
        <v>18</v>
      </c>
      <c r="I1398" s="8">
        <v>446570.03490000003</v>
      </c>
      <c r="J1398" s="8">
        <v>258746.4</v>
      </c>
      <c r="K1398" s="8">
        <f>I1398/1000000</f>
        <v>0.44657003490000002</v>
      </c>
      <c r="L1398" s="8">
        <f>J1398/1000000</f>
        <v>0.25874639999999999</v>
      </c>
      <c r="M1398" t="s">
        <v>19</v>
      </c>
    </row>
    <row r="1399" spans="2:13" x14ac:dyDescent="0.25">
      <c r="B1399" t="s">
        <v>13</v>
      </c>
      <c r="C1399" t="s">
        <v>46</v>
      </c>
      <c r="D1399" t="s">
        <v>73</v>
      </c>
      <c r="E1399">
        <v>2026</v>
      </c>
      <c r="F1399" t="s">
        <v>28</v>
      </c>
      <c r="G1399" t="s">
        <v>17</v>
      </c>
      <c r="H1399" t="s">
        <v>18</v>
      </c>
      <c r="I1399" s="8">
        <v>391046.42090000003</v>
      </c>
      <c r="J1399" s="8">
        <v>415562.4</v>
      </c>
      <c r="K1399" s="8">
        <f>I1399/1000000</f>
        <v>0.39104642090000002</v>
      </c>
      <c r="L1399" s="8">
        <f>J1399/1000000</f>
        <v>0.4155624</v>
      </c>
      <c r="M1399" t="s">
        <v>19</v>
      </c>
    </row>
    <row r="1400" spans="2:13" x14ac:dyDescent="0.25">
      <c r="B1400" t="s">
        <v>13</v>
      </c>
      <c r="C1400" t="s">
        <v>46</v>
      </c>
      <c r="D1400" t="s">
        <v>73</v>
      </c>
      <c r="E1400">
        <v>2027</v>
      </c>
      <c r="F1400" t="s">
        <v>28</v>
      </c>
      <c r="G1400" t="s">
        <v>17</v>
      </c>
      <c r="H1400" t="s">
        <v>18</v>
      </c>
      <c r="I1400" s="8">
        <v>315091.84980000003</v>
      </c>
      <c r="J1400" s="8">
        <v>335899.87199999997</v>
      </c>
      <c r="K1400" s="8">
        <f>I1400/1000000</f>
        <v>0.31509184980000005</v>
      </c>
      <c r="L1400" s="8">
        <f>J1400/1000000</f>
        <v>0.33589987199999999</v>
      </c>
      <c r="M1400" t="s">
        <v>19</v>
      </c>
    </row>
    <row r="1401" spans="2:13" x14ac:dyDescent="0.25">
      <c r="B1401" t="s">
        <v>13</v>
      </c>
      <c r="C1401" t="s">
        <v>46</v>
      </c>
      <c r="D1401" t="s">
        <v>73</v>
      </c>
      <c r="E1401">
        <v>2028</v>
      </c>
      <c r="F1401" t="s">
        <v>28</v>
      </c>
      <c r="G1401" t="s">
        <v>17</v>
      </c>
      <c r="H1401" t="s">
        <v>18</v>
      </c>
      <c r="I1401" s="8">
        <v>340444.26409999997</v>
      </c>
      <c r="J1401" s="8">
        <v>338659.83360000001</v>
      </c>
      <c r="K1401" s="8">
        <f>I1401/1000000</f>
        <v>0.34044426409999995</v>
      </c>
      <c r="L1401" s="8">
        <f>J1401/1000000</f>
        <v>0.33865983360000002</v>
      </c>
      <c r="M1401" t="s">
        <v>19</v>
      </c>
    </row>
    <row r="1402" spans="2:13" x14ac:dyDescent="0.25">
      <c r="B1402" t="s">
        <v>13</v>
      </c>
      <c r="C1402" t="s">
        <v>46</v>
      </c>
      <c r="D1402" t="s">
        <v>73</v>
      </c>
      <c r="E1402">
        <v>2026</v>
      </c>
      <c r="F1402" t="s">
        <v>28</v>
      </c>
      <c r="G1402" t="s">
        <v>17</v>
      </c>
      <c r="H1402" t="s">
        <v>18</v>
      </c>
      <c r="I1402" s="8">
        <v>1814917.2683000001</v>
      </c>
      <c r="J1402" s="8">
        <v>1928700</v>
      </c>
      <c r="K1402" s="8">
        <f>I1402/1000000</f>
        <v>1.8149172683000001</v>
      </c>
      <c r="L1402" s="8">
        <f>J1402/1000000</f>
        <v>1.9287000000000001</v>
      </c>
      <c r="M1402" t="s">
        <v>19</v>
      </c>
    </row>
    <row r="1403" spans="2:13" x14ac:dyDescent="0.25">
      <c r="B1403" t="s">
        <v>13</v>
      </c>
      <c r="C1403" t="s">
        <v>46</v>
      </c>
      <c r="D1403" t="s">
        <v>73</v>
      </c>
      <c r="E1403">
        <v>2027</v>
      </c>
      <c r="F1403" t="s">
        <v>28</v>
      </c>
      <c r="G1403" t="s">
        <v>17</v>
      </c>
      <c r="H1403" t="s">
        <v>18</v>
      </c>
      <c r="I1403" s="8">
        <v>1193201.2559</v>
      </c>
      <c r="J1403" s="8">
        <v>1271997.8295775501</v>
      </c>
      <c r="K1403" s="8">
        <f>I1403/1000000</f>
        <v>1.1932012559</v>
      </c>
      <c r="L1403" s="8">
        <f>J1403/1000000</f>
        <v>1.27199782957755</v>
      </c>
      <c r="M1403" t="s">
        <v>19</v>
      </c>
    </row>
    <row r="1404" spans="2:13" x14ac:dyDescent="0.25">
      <c r="B1404" t="s">
        <v>13</v>
      </c>
      <c r="C1404" t="s">
        <v>46</v>
      </c>
      <c r="D1404" t="s">
        <v>73</v>
      </c>
      <c r="E1404">
        <v>2028</v>
      </c>
      <c r="F1404" t="s">
        <v>28</v>
      </c>
      <c r="G1404" t="s">
        <v>17</v>
      </c>
      <c r="H1404" t="s">
        <v>18</v>
      </c>
      <c r="I1404" s="8">
        <v>1210864.1117</v>
      </c>
      <c r="J1404" s="8">
        <v>1204517.3962189101</v>
      </c>
      <c r="K1404" s="8">
        <f>I1404/1000000</f>
        <v>1.2108641117000001</v>
      </c>
      <c r="L1404" s="8">
        <f>J1404/1000000</f>
        <v>1.2045173962189102</v>
      </c>
      <c r="M1404" t="s">
        <v>19</v>
      </c>
    </row>
    <row r="1405" spans="2:13" x14ac:dyDescent="0.25">
      <c r="B1405" t="s">
        <v>13</v>
      </c>
      <c r="C1405" t="s">
        <v>46</v>
      </c>
      <c r="D1405" t="s">
        <v>73</v>
      </c>
      <c r="E1405">
        <v>2029</v>
      </c>
      <c r="F1405" t="s">
        <v>28</v>
      </c>
      <c r="G1405" t="s">
        <v>17</v>
      </c>
      <c r="H1405" t="s">
        <v>18</v>
      </c>
      <c r="I1405" s="8">
        <v>1132935.7631000001</v>
      </c>
      <c r="J1405" s="8">
        <v>1126997.5130537101</v>
      </c>
      <c r="K1405" s="8">
        <f>I1405/1000000</f>
        <v>1.1329357631000001</v>
      </c>
      <c r="L1405" s="8">
        <f>J1405/1000000</f>
        <v>1.1269975130537102</v>
      </c>
      <c r="M1405" t="s">
        <v>19</v>
      </c>
    </row>
    <row r="1406" spans="2:13" x14ac:dyDescent="0.25">
      <c r="B1406" t="s">
        <v>13</v>
      </c>
      <c r="C1406" t="s">
        <v>46</v>
      </c>
      <c r="D1406" t="s">
        <v>73</v>
      </c>
      <c r="E1406">
        <v>2030</v>
      </c>
      <c r="F1406" t="s">
        <v>28</v>
      </c>
      <c r="G1406" t="s">
        <v>17</v>
      </c>
      <c r="H1406" t="s">
        <v>18</v>
      </c>
      <c r="I1406" s="8">
        <v>1043184.3898</v>
      </c>
      <c r="J1406" s="8">
        <v>1037716.56910984</v>
      </c>
      <c r="K1406" s="8">
        <f>I1406/1000000</f>
        <v>1.0431843897999999</v>
      </c>
      <c r="L1406" s="8">
        <f>J1406/1000000</f>
        <v>1.03771656910984</v>
      </c>
      <c r="M1406" t="s">
        <v>19</v>
      </c>
    </row>
    <row r="1407" spans="2:13" x14ac:dyDescent="0.25">
      <c r="B1407" t="s">
        <v>13</v>
      </c>
      <c r="C1407" t="s">
        <v>46</v>
      </c>
      <c r="D1407" t="s">
        <v>70</v>
      </c>
      <c r="E1407">
        <v>2026</v>
      </c>
      <c r="F1407" t="s">
        <v>28</v>
      </c>
      <c r="G1407" t="s">
        <v>17</v>
      </c>
      <c r="H1407" t="s">
        <v>18</v>
      </c>
      <c r="I1407" s="8">
        <v>2885012.0049999999</v>
      </c>
      <c r="J1407" s="8">
        <v>1671600</v>
      </c>
      <c r="K1407" s="8">
        <f>I1407/1000000</f>
        <v>2.8850120050000001</v>
      </c>
      <c r="L1407" s="8">
        <f>J1407/1000000</f>
        <v>1.6716</v>
      </c>
      <c r="M1407" t="s">
        <v>19</v>
      </c>
    </row>
    <row r="1408" spans="2:13" x14ac:dyDescent="0.25">
      <c r="B1408" t="s">
        <v>13</v>
      </c>
      <c r="C1408" t="s">
        <v>46</v>
      </c>
      <c r="D1408" t="s">
        <v>70</v>
      </c>
      <c r="E1408">
        <v>2027</v>
      </c>
      <c r="F1408" t="s">
        <v>28</v>
      </c>
      <c r="G1408" t="s">
        <v>17</v>
      </c>
      <c r="H1408" t="s">
        <v>18</v>
      </c>
      <c r="I1408" s="8">
        <v>825424.39500000002</v>
      </c>
      <c r="J1408" s="8">
        <v>590873.87452181894</v>
      </c>
      <c r="K1408" s="8">
        <f>I1408/1000000</f>
        <v>0.82542439499999998</v>
      </c>
      <c r="L1408" s="8">
        <f>J1408/1000000</f>
        <v>0.59087387452181894</v>
      </c>
      <c r="M1408" t="s">
        <v>19</v>
      </c>
    </row>
    <row r="1409" spans="2:13" x14ac:dyDescent="0.25">
      <c r="B1409" t="s">
        <v>13</v>
      </c>
      <c r="C1409" t="s">
        <v>46</v>
      </c>
      <c r="D1409" t="s">
        <v>70</v>
      </c>
      <c r="E1409">
        <v>2029</v>
      </c>
      <c r="F1409" t="s">
        <v>28</v>
      </c>
      <c r="G1409" t="s">
        <v>17</v>
      </c>
      <c r="H1409" t="s">
        <v>18</v>
      </c>
      <c r="I1409" s="8">
        <v>1934566.6262000001</v>
      </c>
      <c r="J1409" s="8">
        <v>1216642.3566215499</v>
      </c>
      <c r="K1409" s="8">
        <f>I1409/1000000</f>
        <v>1.9345666262000001</v>
      </c>
      <c r="L1409" s="8">
        <f>J1409/1000000</f>
        <v>1.2166423566215498</v>
      </c>
      <c r="M1409" t="s">
        <v>19</v>
      </c>
    </row>
    <row r="1410" spans="2:13" x14ac:dyDescent="0.25">
      <c r="B1410" t="s">
        <v>13</v>
      </c>
      <c r="C1410" t="s">
        <v>46</v>
      </c>
      <c r="D1410" t="s">
        <v>70</v>
      </c>
      <c r="E1410">
        <v>2030</v>
      </c>
      <c r="F1410" t="s">
        <v>28</v>
      </c>
      <c r="G1410" t="s">
        <v>17</v>
      </c>
      <c r="H1410" t="s">
        <v>18</v>
      </c>
      <c r="I1410" s="8">
        <v>1467903.8193999999</v>
      </c>
      <c r="J1410" s="8">
        <v>922346.76512157405</v>
      </c>
      <c r="K1410" s="8">
        <f>I1410/1000000</f>
        <v>1.4679038193999998</v>
      </c>
      <c r="L1410" s="8">
        <f>J1410/1000000</f>
        <v>0.9223467651215741</v>
      </c>
      <c r="M1410" t="s">
        <v>19</v>
      </c>
    </row>
    <row r="1411" spans="2:13" x14ac:dyDescent="0.25">
      <c r="B1411" t="s">
        <v>13</v>
      </c>
      <c r="C1411" t="s">
        <v>46</v>
      </c>
      <c r="D1411" t="s">
        <v>15</v>
      </c>
      <c r="E1411">
        <v>2026</v>
      </c>
      <c r="F1411" t="s">
        <v>28</v>
      </c>
      <c r="G1411" t="s">
        <v>17</v>
      </c>
      <c r="H1411" t="s">
        <v>18</v>
      </c>
      <c r="I1411" s="8">
        <v>651788.52139999997</v>
      </c>
      <c r="J1411" s="8">
        <v>140992.63289473701</v>
      </c>
      <c r="K1411" s="8">
        <f>I1411/1000000</f>
        <v>0.65178852139999999</v>
      </c>
      <c r="L1411" s="8">
        <f>J1411/1000000</f>
        <v>0.14099263289473701</v>
      </c>
      <c r="M1411" t="s">
        <v>19</v>
      </c>
    </row>
    <row r="1412" spans="2:13" x14ac:dyDescent="0.25">
      <c r="B1412" t="s">
        <v>13</v>
      </c>
      <c r="C1412" t="s">
        <v>46</v>
      </c>
      <c r="D1412" t="s">
        <v>15</v>
      </c>
      <c r="E1412">
        <v>2027</v>
      </c>
      <c r="F1412" t="s">
        <v>28</v>
      </c>
      <c r="G1412" t="s">
        <v>17</v>
      </c>
      <c r="H1412" t="s">
        <v>18</v>
      </c>
      <c r="I1412" s="8">
        <v>519914.70260000002</v>
      </c>
      <c r="J1412" s="8">
        <v>112466.14568421</v>
      </c>
      <c r="K1412" s="8">
        <f>I1412/1000000</f>
        <v>0.51991470260000006</v>
      </c>
      <c r="L1412" s="8">
        <f>J1412/1000000</f>
        <v>0.11246614568421</v>
      </c>
      <c r="M1412" t="s">
        <v>19</v>
      </c>
    </row>
    <row r="1413" spans="2:13" x14ac:dyDescent="0.25">
      <c r="B1413" t="s">
        <v>13</v>
      </c>
      <c r="C1413" t="s">
        <v>46</v>
      </c>
      <c r="D1413" t="s">
        <v>15</v>
      </c>
      <c r="E1413">
        <v>2027</v>
      </c>
      <c r="F1413" t="s">
        <v>28</v>
      </c>
      <c r="G1413" t="s">
        <v>17</v>
      </c>
      <c r="H1413" t="s">
        <v>18</v>
      </c>
      <c r="I1413" s="8">
        <v>1067766.4793</v>
      </c>
      <c r="J1413" s="8">
        <v>230975.542350784</v>
      </c>
      <c r="K1413" s="8">
        <f>I1413/1000000</f>
        <v>1.0677664792999999</v>
      </c>
      <c r="L1413" s="8">
        <f>J1413/1000000</f>
        <v>0.23097554235078399</v>
      </c>
      <c r="M1413" t="s">
        <v>19</v>
      </c>
    </row>
    <row r="1414" spans="2:13" x14ac:dyDescent="0.25">
      <c r="B1414" t="s">
        <v>13</v>
      </c>
      <c r="C1414" t="s">
        <v>46</v>
      </c>
      <c r="D1414" t="s">
        <v>15</v>
      </c>
      <c r="E1414">
        <v>2029</v>
      </c>
      <c r="F1414" t="s">
        <v>28</v>
      </c>
      <c r="G1414" t="s">
        <v>17</v>
      </c>
      <c r="H1414" t="s">
        <v>18</v>
      </c>
      <c r="I1414" s="8">
        <v>606304.83860000002</v>
      </c>
      <c r="J1414" s="8">
        <v>201765.89090147399</v>
      </c>
      <c r="K1414" s="8">
        <f>I1414/1000000</f>
        <v>0.60630483860000006</v>
      </c>
      <c r="L1414" s="8">
        <f>J1414/1000000</f>
        <v>0.20176589090147398</v>
      </c>
      <c r="M1414" t="s">
        <v>19</v>
      </c>
    </row>
    <row r="1415" spans="2:13" x14ac:dyDescent="0.25">
      <c r="B1415" t="s">
        <v>13</v>
      </c>
      <c r="C1415" t="s">
        <v>46</v>
      </c>
      <c r="D1415" t="s">
        <v>15</v>
      </c>
      <c r="E1415">
        <v>2030</v>
      </c>
      <c r="F1415" t="s">
        <v>28</v>
      </c>
      <c r="G1415" t="s">
        <v>17</v>
      </c>
      <c r="H1415" t="s">
        <v>18</v>
      </c>
      <c r="I1415" s="8">
        <v>554023.93169999996</v>
      </c>
      <c r="J1415" s="8">
        <v>184367.87082912601</v>
      </c>
      <c r="K1415" s="8">
        <f>I1415/1000000</f>
        <v>0.55402393169999997</v>
      </c>
      <c r="L1415" s="8">
        <f>J1415/1000000</f>
        <v>0.18436787082912601</v>
      </c>
      <c r="M1415" t="s">
        <v>19</v>
      </c>
    </row>
    <row r="1416" spans="2:13" x14ac:dyDescent="0.25">
      <c r="B1416" t="s">
        <v>13</v>
      </c>
      <c r="C1416" t="s">
        <v>46</v>
      </c>
      <c r="D1416" t="s">
        <v>100</v>
      </c>
      <c r="E1416">
        <v>2026</v>
      </c>
      <c r="F1416" t="s">
        <v>28</v>
      </c>
      <c r="G1416" t="s">
        <v>17</v>
      </c>
      <c r="H1416" t="s">
        <v>18</v>
      </c>
      <c r="I1416" s="8">
        <v>2837533.3420000002</v>
      </c>
      <c r="J1416" s="8">
        <v>785600</v>
      </c>
      <c r="K1416" s="8">
        <f>I1416/1000000</f>
        <v>2.837533342</v>
      </c>
      <c r="L1416" s="8">
        <f>J1416/1000000</f>
        <v>0.78559999999999997</v>
      </c>
      <c r="M1416" t="s">
        <v>19</v>
      </c>
    </row>
    <row r="1417" spans="2:13" x14ac:dyDescent="0.25">
      <c r="B1417" t="s">
        <v>13</v>
      </c>
      <c r="C1417" t="s">
        <v>46</v>
      </c>
      <c r="D1417" t="s">
        <v>100</v>
      </c>
      <c r="E1417">
        <v>2029</v>
      </c>
      <c r="F1417" t="s">
        <v>28</v>
      </c>
      <c r="G1417" t="s">
        <v>17</v>
      </c>
      <c r="H1417" t="s">
        <v>18</v>
      </c>
      <c r="I1417" s="8">
        <v>1195996.3736</v>
      </c>
      <c r="J1417" s="8">
        <v>527198.26449862402</v>
      </c>
      <c r="K1417" s="8">
        <f>I1417/1000000</f>
        <v>1.1959963736000001</v>
      </c>
      <c r="L1417" s="8">
        <f>J1417/1000000</f>
        <v>0.52719826449862406</v>
      </c>
      <c r="M1417" t="s">
        <v>19</v>
      </c>
    </row>
    <row r="1418" spans="2:13" x14ac:dyDescent="0.25">
      <c r="B1418" t="s">
        <v>13</v>
      </c>
      <c r="C1418" t="s">
        <v>46</v>
      </c>
      <c r="D1418" t="s">
        <v>100</v>
      </c>
      <c r="E1418">
        <v>2030</v>
      </c>
      <c r="F1418" t="s">
        <v>28</v>
      </c>
      <c r="G1418" t="s">
        <v>17</v>
      </c>
      <c r="H1418" t="s">
        <v>18</v>
      </c>
      <c r="I1418" s="8">
        <v>1091078.0836</v>
      </c>
      <c r="J1418" s="8">
        <v>485227.80673857097</v>
      </c>
      <c r="K1418" s="8">
        <f>I1418/1000000</f>
        <v>1.0910780836</v>
      </c>
      <c r="L1418" s="8">
        <f>J1418/1000000</f>
        <v>0.48522780673857097</v>
      </c>
      <c r="M1418" t="s">
        <v>19</v>
      </c>
    </row>
    <row r="1419" spans="2:13" x14ac:dyDescent="0.25">
      <c r="B1419" t="s">
        <v>13</v>
      </c>
      <c r="C1419" t="s">
        <v>46</v>
      </c>
      <c r="D1419" t="s">
        <v>100</v>
      </c>
      <c r="E1419">
        <v>2027</v>
      </c>
      <c r="F1419" t="s">
        <v>28</v>
      </c>
      <c r="G1419" t="s">
        <v>17</v>
      </c>
      <c r="H1419" t="s">
        <v>18</v>
      </c>
      <c r="I1419" s="8">
        <v>1279545.1934</v>
      </c>
      <c r="J1419" s="8">
        <v>595368.20010351797</v>
      </c>
      <c r="K1419" s="8">
        <f>I1419/1000000</f>
        <v>1.2795451933999999</v>
      </c>
      <c r="L1419" s="8">
        <f>J1419/1000000</f>
        <v>0.59536820010351799</v>
      </c>
      <c r="M1419" t="s">
        <v>19</v>
      </c>
    </row>
    <row r="1420" spans="2:13" x14ac:dyDescent="0.25">
      <c r="B1420" t="s">
        <v>13</v>
      </c>
      <c r="C1420" t="s">
        <v>46</v>
      </c>
      <c r="D1420" t="s">
        <v>100</v>
      </c>
      <c r="E1420">
        <v>2028</v>
      </c>
      <c r="F1420" t="s">
        <v>28</v>
      </c>
      <c r="G1420" t="s">
        <v>17</v>
      </c>
      <c r="H1420" t="s">
        <v>18</v>
      </c>
      <c r="I1420" s="8">
        <v>1198254.8831</v>
      </c>
      <c r="J1420" s="8">
        <v>562933.79335318902</v>
      </c>
      <c r="K1420" s="8">
        <f>I1420/1000000</f>
        <v>1.1982548830999999</v>
      </c>
      <c r="L1420" s="8">
        <f>J1420/1000000</f>
        <v>0.56293379335318905</v>
      </c>
      <c r="M1420" t="s">
        <v>19</v>
      </c>
    </row>
    <row r="1421" spans="2:13" x14ac:dyDescent="0.25">
      <c r="B1421" t="s">
        <v>13</v>
      </c>
      <c r="C1421" t="s">
        <v>46</v>
      </c>
      <c r="D1421" t="s">
        <v>72</v>
      </c>
      <c r="E1421">
        <v>2026</v>
      </c>
      <c r="F1421" t="s">
        <v>28</v>
      </c>
      <c r="G1421" t="s">
        <v>17</v>
      </c>
      <c r="H1421" t="s">
        <v>18</v>
      </c>
      <c r="I1421" s="8">
        <v>5205973.3935000002</v>
      </c>
      <c r="J1421" s="8">
        <v>1825800</v>
      </c>
      <c r="K1421" s="8">
        <f>I1421/1000000</f>
        <v>5.2059733934999999</v>
      </c>
      <c r="L1421" s="8">
        <f>J1421/1000000</f>
        <v>1.8258000000000001</v>
      </c>
      <c r="M1421" t="s">
        <v>19</v>
      </c>
    </row>
    <row r="1422" spans="2:13" x14ac:dyDescent="0.25">
      <c r="B1422" t="s">
        <v>13</v>
      </c>
      <c r="C1422" t="s">
        <v>46</v>
      </c>
      <c r="D1422" t="s">
        <v>72</v>
      </c>
      <c r="E1422">
        <v>2029</v>
      </c>
      <c r="F1422" t="s">
        <v>28</v>
      </c>
      <c r="G1422" t="s">
        <v>17</v>
      </c>
      <c r="H1422" t="s">
        <v>18</v>
      </c>
      <c r="I1422" s="8">
        <v>1686258.8439</v>
      </c>
      <c r="J1422" s="8">
        <v>807550.522124868</v>
      </c>
      <c r="K1422" s="8">
        <f>I1422/1000000</f>
        <v>1.6862588438999999</v>
      </c>
      <c r="L1422" s="8">
        <f>J1422/1000000</f>
        <v>0.807550522124868</v>
      </c>
      <c r="M1422" t="s">
        <v>19</v>
      </c>
    </row>
    <row r="1423" spans="2:13" x14ac:dyDescent="0.25">
      <c r="B1423" t="s">
        <v>13</v>
      </c>
      <c r="C1423" t="s">
        <v>46</v>
      </c>
      <c r="D1423" t="s">
        <v>72</v>
      </c>
      <c r="E1423">
        <v>2030</v>
      </c>
      <c r="F1423" t="s">
        <v>28</v>
      </c>
      <c r="G1423" t="s">
        <v>17</v>
      </c>
      <c r="H1423" t="s">
        <v>18</v>
      </c>
      <c r="I1423" s="8">
        <v>1552173.8273</v>
      </c>
      <c r="J1423" s="8">
        <v>743337.11530128296</v>
      </c>
      <c r="K1423" s="8">
        <f>I1423/1000000</f>
        <v>1.5521738273000001</v>
      </c>
      <c r="L1423" s="8">
        <f>J1423/1000000</f>
        <v>0.74333711530128299</v>
      </c>
      <c r="M1423" t="s">
        <v>19</v>
      </c>
    </row>
    <row r="1424" spans="2:13" x14ac:dyDescent="0.25">
      <c r="B1424" t="s">
        <v>13</v>
      </c>
      <c r="C1424" t="s">
        <v>46</v>
      </c>
      <c r="D1424" t="s">
        <v>72</v>
      </c>
      <c r="E1424">
        <v>2027</v>
      </c>
      <c r="F1424" t="s">
        <v>28</v>
      </c>
      <c r="G1424" t="s">
        <v>17</v>
      </c>
      <c r="H1424" t="s">
        <v>18</v>
      </c>
      <c r="I1424" s="8">
        <v>2234845.3410999998</v>
      </c>
      <c r="J1424" s="8">
        <v>911683.78680513101</v>
      </c>
      <c r="K1424" s="8">
        <f>I1424/1000000</f>
        <v>2.2348453410999998</v>
      </c>
      <c r="L1424" s="8">
        <f>J1424/1000000</f>
        <v>0.91168378680513096</v>
      </c>
      <c r="M1424" t="s">
        <v>19</v>
      </c>
    </row>
    <row r="1425" spans="2:13" x14ac:dyDescent="0.25">
      <c r="B1425" t="s">
        <v>13</v>
      </c>
      <c r="C1425" t="s">
        <v>46</v>
      </c>
      <c r="D1425" t="s">
        <v>72</v>
      </c>
      <c r="E1425">
        <v>2028</v>
      </c>
      <c r="F1425" t="s">
        <v>28</v>
      </c>
      <c r="G1425" t="s">
        <v>17</v>
      </c>
      <c r="H1425" t="s">
        <v>18</v>
      </c>
      <c r="I1425" s="8">
        <v>2101995.2359000002</v>
      </c>
      <c r="J1425" s="8">
        <v>862139.28290424997</v>
      </c>
      <c r="K1425" s="8">
        <f>I1425/1000000</f>
        <v>2.1019952359</v>
      </c>
      <c r="L1425" s="8">
        <f>J1425/1000000</f>
        <v>0.86213928290425001</v>
      </c>
      <c r="M1425" t="s">
        <v>19</v>
      </c>
    </row>
    <row r="1426" spans="2:13" x14ac:dyDescent="0.25">
      <c r="B1426" t="s">
        <v>13</v>
      </c>
      <c r="C1426" t="s">
        <v>46</v>
      </c>
      <c r="D1426" t="s">
        <v>103</v>
      </c>
      <c r="E1426">
        <v>2029</v>
      </c>
      <c r="F1426" t="s">
        <v>28</v>
      </c>
      <c r="G1426" t="s">
        <v>17</v>
      </c>
      <c r="H1426" t="s">
        <v>18</v>
      </c>
      <c r="I1426" s="8">
        <v>781551.09270000004</v>
      </c>
      <c r="J1426" s="8">
        <v>75434.255576388401</v>
      </c>
      <c r="K1426" s="8">
        <f>I1426/1000000</f>
        <v>0.78155109270000001</v>
      </c>
      <c r="L1426" s="8">
        <f>J1426/1000000</f>
        <v>7.5434255576388401E-2</v>
      </c>
      <c r="M1426" t="s">
        <v>39</v>
      </c>
    </row>
    <row r="1427" spans="2:13" x14ac:dyDescent="0.25">
      <c r="B1427" t="s">
        <v>13</v>
      </c>
      <c r="C1427" t="s">
        <v>46</v>
      </c>
      <c r="D1427" t="s">
        <v>103</v>
      </c>
      <c r="E1427">
        <v>2030</v>
      </c>
      <c r="F1427" t="s">
        <v>28</v>
      </c>
      <c r="G1427" t="s">
        <v>17</v>
      </c>
      <c r="H1427" t="s">
        <v>18</v>
      </c>
      <c r="I1427" s="8">
        <v>877533.12699999998</v>
      </c>
      <c r="J1427" s="8">
        <v>84621.521490640895</v>
      </c>
      <c r="K1427" s="8">
        <f>I1427/1000000</f>
        <v>0.87753312699999997</v>
      </c>
      <c r="L1427" s="8">
        <f>J1427/1000000</f>
        <v>8.4621521490640894E-2</v>
      </c>
      <c r="M1427" t="s">
        <v>39</v>
      </c>
    </row>
    <row r="1428" spans="2:13" x14ac:dyDescent="0.25">
      <c r="B1428" t="s">
        <v>13</v>
      </c>
      <c r="C1428" t="s">
        <v>46</v>
      </c>
      <c r="D1428" t="s">
        <v>70</v>
      </c>
      <c r="E1428">
        <v>2028</v>
      </c>
      <c r="F1428" t="s">
        <v>28</v>
      </c>
      <c r="G1428" t="s">
        <v>17</v>
      </c>
      <c r="H1428" t="s">
        <v>18</v>
      </c>
      <c r="I1428" s="8">
        <v>1308017.8313</v>
      </c>
      <c r="J1428" s="8">
        <v>925853.06202587904</v>
      </c>
      <c r="K1428" s="8">
        <f>I1428/1000000</f>
        <v>1.3080178312999999</v>
      </c>
      <c r="L1428" s="8">
        <f>J1428/1000000</f>
        <v>0.92585306202587903</v>
      </c>
      <c r="M1428" t="s">
        <v>19</v>
      </c>
    </row>
    <row r="1429" spans="2:13" x14ac:dyDescent="0.25">
      <c r="B1429" t="s">
        <v>13</v>
      </c>
      <c r="C1429" t="s">
        <v>46</v>
      </c>
      <c r="D1429" t="s">
        <v>104</v>
      </c>
      <c r="E1429">
        <v>2027</v>
      </c>
      <c r="F1429" t="s">
        <v>28</v>
      </c>
      <c r="G1429" t="s">
        <v>17</v>
      </c>
      <c r="H1429" t="s">
        <v>18</v>
      </c>
      <c r="I1429" s="8">
        <v>128585.6167</v>
      </c>
      <c r="J1429" s="8">
        <v>212754.7323</v>
      </c>
      <c r="K1429" s="8">
        <f>I1429/1000000</f>
        <v>0.12858561669999999</v>
      </c>
      <c r="L1429" s="8">
        <f>J1429/1000000</f>
        <v>0.2127547323</v>
      </c>
      <c r="M1429" t="s">
        <v>39</v>
      </c>
    </row>
    <row r="1430" spans="2:13" x14ac:dyDescent="0.25">
      <c r="B1430" t="s">
        <v>13</v>
      </c>
      <c r="C1430" t="s">
        <v>46</v>
      </c>
      <c r="D1430" t="s">
        <v>104</v>
      </c>
      <c r="E1430">
        <v>2028</v>
      </c>
      <c r="F1430" t="s">
        <v>28</v>
      </c>
      <c r="G1430" t="s">
        <v>17</v>
      </c>
      <c r="H1430" t="s">
        <v>18</v>
      </c>
      <c r="I1430" s="8">
        <v>125916.5597</v>
      </c>
      <c r="J1430" s="8">
        <v>212754.7323</v>
      </c>
      <c r="K1430" s="8">
        <f>I1430/1000000</f>
        <v>0.12591655969999999</v>
      </c>
      <c r="L1430" s="8">
        <f>J1430/1000000</f>
        <v>0.2127547323</v>
      </c>
      <c r="M1430" t="s">
        <v>39</v>
      </c>
    </row>
    <row r="1431" spans="2:13" x14ac:dyDescent="0.25">
      <c r="B1431" t="s">
        <v>13</v>
      </c>
      <c r="C1431" t="s">
        <v>46</v>
      </c>
      <c r="D1431" t="s">
        <v>104</v>
      </c>
      <c r="E1431">
        <v>2026</v>
      </c>
      <c r="F1431" t="s">
        <v>28</v>
      </c>
      <c r="G1431" t="s">
        <v>17</v>
      </c>
      <c r="H1431" t="s">
        <v>18</v>
      </c>
      <c r="I1431" s="8">
        <v>257101.12760000001</v>
      </c>
      <c r="J1431" s="8">
        <v>469666.06140240002</v>
      </c>
      <c r="K1431" s="8">
        <f>I1431/1000000</f>
        <v>0.25710112760000003</v>
      </c>
      <c r="L1431" s="8">
        <f>J1431/1000000</f>
        <v>0.46966606140240003</v>
      </c>
      <c r="M1431" t="s">
        <v>39</v>
      </c>
    </row>
    <row r="1432" spans="2:13" x14ac:dyDescent="0.25">
      <c r="B1432" t="s">
        <v>13</v>
      </c>
      <c r="C1432" t="s">
        <v>46</v>
      </c>
      <c r="D1432" t="s">
        <v>104</v>
      </c>
      <c r="E1432">
        <v>2027</v>
      </c>
      <c r="F1432" t="s">
        <v>28</v>
      </c>
      <c r="G1432" t="s">
        <v>17</v>
      </c>
      <c r="H1432" t="s">
        <v>18</v>
      </c>
      <c r="I1432" s="8">
        <v>271192.87390000001</v>
      </c>
      <c r="J1432" s="8">
        <v>448685.15572682</v>
      </c>
      <c r="K1432" s="8">
        <f>I1432/1000000</f>
        <v>0.27119287390000002</v>
      </c>
      <c r="L1432" s="8">
        <f>J1432/1000000</f>
        <v>0.44868515572682</v>
      </c>
      <c r="M1432" t="s">
        <v>39</v>
      </c>
    </row>
    <row r="1433" spans="2:13" x14ac:dyDescent="0.25">
      <c r="B1433" t="s">
        <v>13</v>
      </c>
      <c r="C1433" t="s">
        <v>46</v>
      </c>
      <c r="D1433" t="s">
        <v>104</v>
      </c>
      <c r="E1433">
        <v>2028</v>
      </c>
      <c r="F1433" t="s">
        <v>28</v>
      </c>
      <c r="G1433" t="s">
        <v>17</v>
      </c>
      <c r="H1433" t="s">
        <v>18</v>
      </c>
      <c r="I1433" s="8">
        <v>251057.24729999999</v>
      </c>
      <c r="J1433" s="8">
        <v>424198.51351050002</v>
      </c>
      <c r="K1433" s="8">
        <f>I1433/1000000</f>
        <v>0.25105724730000001</v>
      </c>
      <c r="L1433" s="8">
        <f>J1433/1000000</f>
        <v>0.42419851351050003</v>
      </c>
      <c r="M1433" t="s">
        <v>39</v>
      </c>
    </row>
    <row r="1434" spans="2:13" x14ac:dyDescent="0.25">
      <c r="B1434" t="s">
        <v>13</v>
      </c>
      <c r="C1434" t="s">
        <v>46</v>
      </c>
      <c r="D1434" t="s">
        <v>104</v>
      </c>
      <c r="E1434">
        <v>2029</v>
      </c>
      <c r="F1434" t="s">
        <v>28</v>
      </c>
      <c r="G1434" t="s">
        <v>17</v>
      </c>
      <c r="H1434" t="s">
        <v>18</v>
      </c>
      <c r="I1434" s="8">
        <v>235090.46350000001</v>
      </c>
      <c r="J1434" s="8">
        <v>397220.26038879401</v>
      </c>
      <c r="K1434" s="8">
        <f>I1434/1000000</f>
        <v>0.23509046350000001</v>
      </c>
      <c r="L1434" s="8">
        <f>J1434/1000000</f>
        <v>0.39722026038879399</v>
      </c>
      <c r="M1434" t="s">
        <v>39</v>
      </c>
    </row>
    <row r="1435" spans="2:13" x14ac:dyDescent="0.25">
      <c r="B1435" t="s">
        <v>13</v>
      </c>
      <c r="C1435" t="s">
        <v>46</v>
      </c>
      <c r="D1435" t="s">
        <v>104</v>
      </c>
      <c r="E1435">
        <v>2030</v>
      </c>
      <c r="F1435" t="s">
        <v>28</v>
      </c>
      <c r="G1435" t="s">
        <v>17</v>
      </c>
      <c r="H1435" t="s">
        <v>18</v>
      </c>
      <c r="I1435" s="8">
        <v>216358.90030000001</v>
      </c>
      <c r="J1435" s="8">
        <v>365570.50187888002</v>
      </c>
      <c r="K1435" s="8">
        <f>I1435/1000000</f>
        <v>0.21635890030000002</v>
      </c>
      <c r="L1435" s="8">
        <f>J1435/1000000</f>
        <v>0.36557050187888002</v>
      </c>
      <c r="M1435" t="s">
        <v>39</v>
      </c>
    </row>
    <row r="1436" spans="2:13" x14ac:dyDescent="0.25">
      <c r="B1436" t="s">
        <v>13</v>
      </c>
      <c r="C1436" t="s">
        <v>46</v>
      </c>
      <c r="D1436" t="s">
        <v>104</v>
      </c>
      <c r="E1436">
        <v>2026</v>
      </c>
      <c r="F1436" t="s">
        <v>28</v>
      </c>
      <c r="G1436" t="s">
        <v>17</v>
      </c>
      <c r="H1436" t="s">
        <v>18</v>
      </c>
      <c r="I1436" s="8">
        <v>116458.59699999999</v>
      </c>
      <c r="J1436" s="8">
        <v>212754.7323</v>
      </c>
      <c r="K1436" s="8">
        <f>I1436/1000000</f>
        <v>0.116458597</v>
      </c>
      <c r="L1436" s="8">
        <f>J1436/1000000</f>
        <v>0.2127547323</v>
      </c>
      <c r="M1436" t="s">
        <v>39</v>
      </c>
    </row>
    <row r="1437" spans="2:13" x14ac:dyDescent="0.25">
      <c r="B1437" t="s">
        <v>13</v>
      </c>
      <c r="C1437" t="s">
        <v>46</v>
      </c>
      <c r="D1437" t="s">
        <v>15</v>
      </c>
      <c r="E1437">
        <v>2028</v>
      </c>
      <c r="F1437" t="s">
        <v>28</v>
      </c>
      <c r="G1437" t="s">
        <v>17</v>
      </c>
      <c r="H1437" t="s">
        <v>18</v>
      </c>
      <c r="I1437" s="8">
        <v>335761.49479999999</v>
      </c>
      <c r="J1437" s="8">
        <v>111734.581052632</v>
      </c>
      <c r="K1437" s="8">
        <f>I1437/1000000</f>
        <v>0.3357614948</v>
      </c>
      <c r="L1437" s="8">
        <f>J1437/1000000</f>
        <v>0.111734581052632</v>
      </c>
      <c r="M1437" t="s">
        <v>19</v>
      </c>
    </row>
    <row r="1438" spans="2:13" x14ac:dyDescent="0.25">
      <c r="B1438" t="s">
        <v>13</v>
      </c>
      <c r="C1438" t="s">
        <v>46</v>
      </c>
      <c r="D1438" t="s">
        <v>15</v>
      </c>
      <c r="E1438">
        <v>2028</v>
      </c>
      <c r="F1438" t="s">
        <v>28</v>
      </c>
      <c r="G1438" t="s">
        <v>17</v>
      </c>
      <c r="H1438" t="s">
        <v>18</v>
      </c>
      <c r="I1438" s="8">
        <v>652992.00619999995</v>
      </c>
      <c r="J1438" s="8">
        <v>217302.428558438</v>
      </c>
      <c r="K1438" s="8">
        <f>I1438/1000000</f>
        <v>0.65299200619999997</v>
      </c>
      <c r="L1438" s="8">
        <f>J1438/1000000</f>
        <v>0.21730242855843801</v>
      </c>
      <c r="M1438" t="s">
        <v>19</v>
      </c>
    </row>
    <row r="1439" spans="2:13" x14ac:dyDescent="0.25">
      <c r="B1439" t="s">
        <v>13</v>
      </c>
      <c r="C1439" t="s">
        <v>46</v>
      </c>
      <c r="D1439" t="s">
        <v>103</v>
      </c>
      <c r="E1439">
        <v>2028</v>
      </c>
      <c r="F1439" t="s">
        <v>28</v>
      </c>
      <c r="G1439" t="s">
        <v>17</v>
      </c>
      <c r="H1439" t="s">
        <v>18</v>
      </c>
      <c r="I1439" s="8">
        <v>742886.92989999999</v>
      </c>
      <c r="J1439" s="8">
        <v>71765.012588832498</v>
      </c>
      <c r="K1439" s="8">
        <f>I1439/1000000</f>
        <v>0.74288692989999994</v>
      </c>
      <c r="L1439" s="8">
        <f>J1439/1000000</f>
        <v>7.17650125888325E-2</v>
      </c>
      <c r="M1439" t="s">
        <v>39</v>
      </c>
    </row>
    <row r="1440" spans="2:13" x14ac:dyDescent="0.25">
      <c r="B1440" t="s">
        <v>13</v>
      </c>
      <c r="C1440" t="s">
        <v>46</v>
      </c>
      <c r="D1440" t="s">
        <v>101</v>
      </c>
      <c r="E1440">
        <v>2028</v>
      </c>
      <c r="F1440" t="s">
        <v>28</v>
      </c>
      <c r="G1440" t="s">
        <v>17</v>
      </c>
      <c r="H1440" t="s">
        <v>18</v>
      </c>
      <c r="I1440" s="8">
        <v>564194.5993</v>
      </c>
      <c r="J1440" s="8">
        <v>514548.66637345299</v>
      </c>
      <c r="K1440" s="8">
        <f>I1440/1000000</f>
        <v>0.56419459930000004</v>
      </c>
      <c r="L1440" s="8">
        <f>J1440/1000000</f>
        <v>0.51454866637345298</v>
      </c>
      <c r="M1440" t="s">
        <v>39</v>
      </c>
    </row>
    <row r="1441" spans="2:13" x14ac:dyDescent="0.25">
      <c r="B1441" t="s">
        <v>13</v>
      </c>
      <c r="C1441" t="s">
        <v>14</v>
      </c>
      <c r="D1441" t="s">
        <v>52</v>
      </c>
      <c r="E1441">
        <v>2026</v>
      </c>
      <c r="F1441" t="s">
        <v>28</v>
      </c>
      <c r="G1441" t="s">
        <v>17</v>
      </c>
      <c r="H1441" t="s">
        <v>18</v>
      </c>
      <c r="I1441" s="8">
        <v>2687453.5666</v>
      </c>
      <c r="J1441" s="8">
        <v>2658778.452</v>
      </c>
      <c r="K1441" s="8">
        <f>I1441/1000000</f>
        <v>2.6874535665999999</v>
      </c>
      <c r="L1441" s="8">
        <f>J1441/1000000</f>
        <v>2.658778452</v>
      </c>
      <c r="M1441" t="s">
        <v>19</v>
      </c>
    </row>
    <row r="1442" spans="2:13" x14ac:dyDescent="0.25">
      <c r="B1442" t="s">
        <v>13</v>
      </c>
      <c r="C1442" t="s">
        <v>46</v>
      </c>
      <c r="D1442" t="s">
        <v>72</v>
      </c>
      <c r="E1442">
        <v>2026</v>
      </c>
      <c r="F1442" t="s">
        <v>28</v>
      </c>
      <c r="G1442" t="s">
        <v>17</v>
      </c>
      <c r="H1442" t="s">
        <v>18</v>
      </c>
      <c r="I1442" s="8">
        <v>1788196.9993</v>
      </c>
      <c r="J1442" s="8">
        <v>627286.68000000005</v>
      </c>
      <c r="K1442" s="8">
        <f>I1442/1000000</f>
        <v>1.7881969993</v>
      </c>
      <c r="L1442" s="8">
        <f>J1442/1000000</f>
        <v>0.6272866800000001</v>
      </c>
      <c r="M1442" t="s">
        <v>19</v>
      </c>
    </row>
    <row r="1443" spans="2:13" x14ac:dyDescent="0.25">
      <c r="B1443" t="s">
        <v>13</v>
      </c>
      <c r="C1443" t="s">
        <v>46</v>
      </c>
      <c r="D1443" t="s">
        <v>72</v>
      </c>
      <c r="E1443">
        <v>2027</v>
      </c>
      <c r="F1443" t="s">
        <v>28</v>
      </c>
      <c r="G1443" t="s">
        <v>17</v>
      </c>
      <c r="H1443" t="s">
        <v>18</v>
      </c>
      <c r="I1443" s="8">
        <v>1537282.3273</v>
      </c>
      <c r="J1443" s="8">
        <v>627286.68000000005</v>
      </c>
      <c r="K1443" s="8">
        <f>I1443/1000000</f>
        <v>1.5372823273</v>
      </c>
      <c r="L1443" s="8">
        <f>J1443/1000000</f>
        <v>0.6272866800000001</v>
      </c>
      <c r="M1443" t="s">
        <v>19</v>
      </c>
    </row>
    <row r="1444" spans="2:13" x14ac:dyDescent="0.25">
      <c r="B1444" t="s">
        <v>13</v>
      </c>
      <c r="C1444" t="s">
        <v>46</v>
      </c>
      <c r="D1444" t="s">
        <v>72</v>
      </c>
      <c r="E1444">
        <v>2028</v>
      </c>
      <c r="F1444" t="s">
        <v>28</v>
      </c>
      <c r="G1444" t="s">
        <v>17</v>
      </c>
      <c r="H1444" t="s">
        <v>18</v>
      </c>
      <c r="I1444" s="8">
        <v>1528998.8058</v>
      </c>
      <c r="J1444" s="8">
        <v>627286.68000000005</v>
      </c>
      <c r="K1444" s="8">
        <f>I1444/1000000</f>
        <v>1.5289988057999999</v>
      </c>
      <c r="L1444" s="8">
        <f>J1444/1000000</f>
        <v>0.6272866800000001</v>
      </c>
      <c r="M1444" t="s">
        <v>19</v>
      </c>
    </row>
    <row r="1445" spans="2:13" x14ac:dyDescent="0.25">
      <c r="B1445" t="s">
        <v>13</v>
      </c>
      <c r="C1445" t="s">
        <v>46</v>
      </c>
      <c r="D1445" t="s">
        <v>100</v>
      </c>
      <c r="E1445">
        <v>2026</v>
      </c>
      <c r="F1445" t="s">
        <v>28</v>
      </c>
      <c r="G1445" t="s">
        <v>17</v>
      </c>
      <c r="H1445" t="s">
        <v>18</v>
      </c>
      <c r="I1445" s="8">
        <v>857420.66669999994</v>
      </c>
      <c r="J1445" s="8">
        <v>402702.56</v>
      </c>
      <c r="K1445" s="8">
        <f>I1445/1000000</f>
        <v>0.85742066669999994</v>
      </c>
      <c r="L1445" s="8">
        <f>J1445/1000000</f>
        <v>0.40270255999999999</v>
      </c>
      <c r="M1445" t="s">
        <v>19</v>
      </c>
    </row>
    <row r="1446" spans="2:13" x14ac:dyDescent="0.25">
      <c r="B1446" t="s">
        <v>13</v>
      </c>
      <c r="C1446" t="s">
        <v>46</v>
      </c>
      <c r="D1446" t="s">
        <v>100</v>
      </c>
      <c r="E1446">
        <v>2027</v>
      </c>
      <c r="F1446" t="s">
        <v>28</v>
      </c>
      <c r="G1446" t="s">
        <v>17</v>
      </c>
      <c r="H1446" t="s">
        <v>18</v>
      </c>
      <c r="I1446" s="8">
        <v>865474.71790000005</v>
      </c>
      <c r="J1446" s="8">
        <v>402702.56</v>
      </c>
      <c r="K1446" s="8">
        <f>I1446/1000000</f>
        <v>0.86547471790000008</v>
      </c>
      <c r="L1446" s="8">
        <f>J1446/1000000</f>
        <v>0.40270255999999999</v>
      </c>
      <c r="M1446" t="s">
        <v>19</v>
      </c>
    </row>
    <row r="1447" spans="2:13" x14ac:dyDescent="0.25">
      <c r="B1447" t="s">
        <v>13</v>
      </c>
      <c r="C1447" t="s">
        <v>46</v>
      </c>
      <c r="D1447" t="s">
        <v>100</v>
      </c>
      <c r="E1447">
        <v>2028</v>
      </c>
      <c r="F1447" t="s">
        <v>28</v>
      </c>
      <c r="G1447" t="s">
        <v>17</v>
      </c>
      <c r="H1447" t="s">
        <v>18</v>
      </c>
      <c r="I1447" s="8">
        <v>857188.38459999999</v>
      </c>
      <c r="J1447" s="8">
        <v>402702.56</v>
      </c>
      <c r="K1447" s="8">
        <f>I1447/1000000</f>
        <v>0.85718838460000002</v>
      </c>
      <c r="L1447" s="8">
        <f>J1447/1000000</f>
        <v>0.40270255999999999</v>
      </c>
      <c r="M1447" t="s">
        <v>19</v>
      </c>
    </row>
    <row r="1448" spans="2:13" x14ac:dyDescent="0.25">
      <c r="B1448" t="s">
        <v>13</v>
      </c>
      <c r="C1448" t="s">
        <v>46</v>
      </c>
      <c r="D1448" t="s">
        <v>101</v>
      </c>
      <c r="E1448">
        <v>2029</v>
      </c>
      <c r="F1448" t="s">
        <v>28</v>
      </c>
      <c r="G1448" t="s">
        <v>17</v>
      </c>
      <c r="H1448" t="s">
        <v>18</v>
      </c>
      <c r="I1448" s="8">
        <v>528684.93779999996</v>
      </c>
      <c r="J1448" s="8">
        <v>482163.65411103499</v>
      </c>
      <c r="K1448" s="8">
        <f>I1448/1000000</f>
        <v>0.52868493779999992</v>
      </c>
      <c r="L1448" s="8">
        <f>J1448/1000000</f>
        <v>0.48216365411103501</v>
      </c>
      <c r="M1448" t="s">
        <v>39</v>
      </c>
    </row>
    <row r="1449" spans="2:13" x14ac:dyDescent="0.25">
      <c r="B1449" t="s">
        <v>13</v>
      </c>
      <c r="C1449" t="s">
        <v>46</v>
      </c>
      <c r="D1449" t="s">
        <v>101</v>
      </c>
      <c r="E1449">
        <v>2030</v>
      </c>
      <c r="F1449" t="s">
        <v>28</v>
      </c>
      <c r="G1449" t="s">
        <v>17</v>
      </c>
      <c r="H1449" t="s">
        <v>18</v>
      </c>
      <c r="I1449" s="8">
        <v>467975.83049999998</v>
      </c>
      <c r="J1449" s="8">
        <v>426796.60484599799</v>
      </c>
      <c r="K1449" s="8">
        <f>I1449/1000000</f>
        <v>0.46797583049999997</v>
      </c>
      <c r="L1449" s="8">
        <f>J1449/1000000</f>
        <v>0.42679660484599802</v>
      </c>
      <c r="M1449" t="s">
        <v>39</v>
      </c>
    </row>
    <row r="1450" spans="2:13" x14ac:dyDescent="0.25">
      <c r="B1450" t="s">
        <v>13</v>
      </c>
      <c r="C1450" t="s">
        <v>14</v>
      </c>
      <c r="D1450" t="s">
        <v>15</v>
      </c>
      <c r="E1450">
        <v>2026</v>
      </c>
      <c r="F1450" t="s">
        <v>30</v>
      </c>
      <c r="G1450" t="s">
        <v>17</v>
      </c>
      <c r="H1450" t="s">
        <v>18</v>
      </c>
      <c r="I1450" s="8">
        <v>3561443.3171999999</v>
      </c>
      <c r="J1450" s="8">
        <v>1178172</v>
      </c>
      <c r="K1450" s="8">
        <f>I1450/1000000</f>
        <v>3.5614433171999997</v>
      </c>
      <c r="L1450" s="8">
        <f>J1450/1000000</f>
        <v>1.178172</v>
      </c>
      <c r="M1450" t="s">
        <v>19</v>
      </c>
    </row>
    <row r="1451" spans="2:13" x14ac:dyDescent="0.25">
      <c r="B1451" t="s">
        <v>13</v>
      </c>
      <c r="C1451" t="s">
        <v>46</v>
      </c>
      <c r="D1451" t="s">
        <v>73</v>
      </c>
      <c r="E1451">
        <v>2026</v>
      </c>
      <c r="F1451" t="s">
        <v>30</v>
      </c>
      <c r="G1451" t="s">
        <v>17</v>
      </c>
      <c r="H1451" t="s">
        <v>18</v>
      </c>
      <c r="I1451" s="8">
        <v>1326243.3038999999</v>
      </c>
      <c r="J1451" s="8">
        <v>1419600</v>
      </c>
      <c r="K1451" s="8">
        <f>I1451/1000000</f>
        <v>1.3262433038999999</v>
      </c>
      <c r="L1451" s="8">
        <f>J1451/1000000</f>
        <v>1.4196</v>
      </c>
      <c r="M1451" t="s">
        <v>19</v>
      </c>
    </row>
    <row r="1452" spans="2:13" x14ac:dyDescent="0.25">
      <c r="B1452" t="s">
        <v>13</v>
      </c>
      <c r="C1452" t="s">
        <v>46</v>
      </c>
      <c r="D1452" t="s">
        <v>73</v>
      </c>
      <c r="E1452">
        <v>2027</v>
      </c>
      <c r="F1452" t="s">
        <v>30</v>
      </c>
      <c r="G1452" t="s">
        <v>17</v>
      </c>
      <c r="H1452" t="s">
        <v>18</v>
      </c>
      <c r="I1452" s="8">
        <v>1243573.298</v>
      </c>
      <c r="J1452" s="8">
        <v>1335330.7930632599</v>
      </c>
      <c r="K1452" s="8">
        <f>I1452/1000000</f>
        <v>1.243573298</v>
      </c>
      <c r="L1452" s="8">
        <f>J1452/1000000</f>
        <v>1.3353307930632599</v>
      </c>
      <c r="M1452" t="s">
        <v>19</v>
      </c>
    </row>
    <row r="1453" spans="2:13" x14ac:dyDescent="0.25">
      <c r="B1453" t="s">
        <v>13</v>
      </c>
      <c r="C1453" t="s">
        <v>46</v>
      </c>
      <c r="D1453" t="s">
        <v>73</v>
      </c>
      <c r="E1453">
        <v>2028</v>
      </c>
      <c r="F1453" t="s">
        <v>30</v>
      </c>
      <c r="G1453" t="s">
        <v>17</v>
      </c>
      <c r="H1453" t="s">
        <v>18</v>
      </c>
      <c r="I1453" s="8">
        <v>1241047.7326</v>
      </c>
      <c r="J1453" s="8">
        <v>1242687.21498161</v>
      </c>
      <c r="K1453" s="8">
        <f>I1453/1000000</f>
        <v>1.2410477326</v>
      </c>
      <c r="L1453" s="8">
        <f>J1453/1000000</f>
        <v>1.2426872149816099</v>
      </c>
      <c r="M1453" t="s">
        <v>19</v>
      </c>
    </row>
    <row r="1454" spans="2:13" x14ac:dyDescent="0.25">
      <c r="B1454" t="s">
        <v>13</v>
      </c>
      <c r="C1454" t="s">
        <v>46</v>
      </c>
      <c r="D1454" t="s">
        <v>73</v>
      </c>
      <c r="E1454">
        <v>2029</v>
      </c>
      <c r="F1454" t="s">
        <v>30</v>
      </c>
      <c r="G1454" t="s">
        <v>17</v>
      </c>
      <c r="H1454" t="s">
        <v>18</v>
      </c>
      <c r="I1454" s="8">
        <v>1137836.0655</v>
      </c>
      <c r="J1454" s="8">
        <v>1139339.20633621</v>
      </c>
      <c r="K1454" s="8">
        <f>I1454/1000000</f>
        <v>1.1378360654999999</v>
      </c>
      <c r="L1454" s="8">
        <f>J1454/1000000</f>
        <v>1.13933920633621</v>
      </c>
      <c r="M1454" t="s">
        <v>19</v>
      </c>
    </row>
    <row r="1455" spans="2:13" x14ac:dyDescent="0.25">
      <c r="B1455" t="s">
        <v>13</v>
      </c>
      <c r="C1455" t="s">
        <v>46</v>
      </c>
      <c r="D1455" t="s">
        <v>73</v>
      </c>
      <c r="E1455">
        <v>2030</v>
      </c>
      <c r="F1455" t="s">
        <v>30</v>
      </c>
      <c r="G1455" t="s">
        <v>17</v>
      </c>
      <c r="H1455" t="s">
        <v>18</v>
      </c>
      <c r="I1455" s="8">
        <v>1020297.3323</v>
      </c>
      <c r="J1455" s="8">
        <v>1021645.19839478</v>
      </c>
      <c r="K1455" s="8">
        <f>I1455/1000000</f>
        <v>1.0202973323</v>
      </c>
      <c r="L1455" s="8">
        <f>J1455/1000000</f>
        <v>1.0216451983947801</v>
      </c>
      <c r="M1455" t="s">
        <v>19</v>
      </c>
    </row>
    <row r="1456" spans="2:13" x14ac:dyDescent="0.25">
      <c r="B1456" t="s">
        <v>13</v>
      </c>
      <c r="C1456" t="s">
        <v>46</v>
      </c>
      <c r="D1456" t="s">
        <v>70</v>
      </c>
      <c r="E1456">
        <v>2026</v>
      </c>
      <c r="F1456" t="s">
        <v>30</v>
      </c>
      <c r="G1456" t="s">
        <v>17</v>
      </c>
      <c r="H1456" t="s">
        <v>18</v>
      </c>
      <c r="I1456" s="8">
        <v>1417358.1562999999</v>
      </c>
      <c r="J1456" s="8">
        <v>278280</v>
      </c>
      <c r="K1456" s="8">
        <f>I1456/1000000</f>
        <v>1.4173581562999999</v>
      </c>
      <c r="L1456" s="8">
        <f>J1456/1000000</f>
        <v>0.27828000000000003</v>
      </c>
      <c r="M1456" t="s">
        <v>19</v>
      </c>
    </row>
    <row r="1457" spans="2:13" x14ac:dyDescent="0.25">
      <c r="B1457" t="s">
        <v>13</v>
      </c>
      <c r="C1457" t="s">
        <v>46</v>
      </c>
      <c r="D1457" t="s">
        <v>70</v>
      </c>
      <c r="E1457">
        <v>2027</v>
      </c>
      <c r="F1457" t="s">
        <v>30</v>
      </c>
      <c r="G1457" t="s">
        <v>17</v>
      </c>
      <c r="H1457" t="s">
        <v>18</v>
      </c>
      <c r="I1457" s="8">
        <v>790779.59660000005</v>
      </c>
      <c r="J1457" s="8">
        <v>275326.20434996998</v>
      </c>
      <c r="K1457" s="8">
        <f>I1457/1000000</f>
        <v>0.79077959660000008</v>
      </c>
      <c r="L1457" s="8">
        <f>J1457/1000000</f>
        <v>0.27532620434996996</v>
      </c>
      <c r="M1457" t="s">
        <v>19</v>
      </c>
    </row>
    <row r="1458" spans="2:13" x14ac:dyDescent="0.25">
      <c r="B1458" t="s">
        <v>13</v>
      </c>
      <c r="C1458" t="s">
        <v>46</v>
      </c>
      <c r="D1458" t="s">
        <v>70</v>
      </c>
      <c r="E1458">
        <v>2028</v>
      </c>
      <c r="F1458" t="s">
        <v>30</v>
      </c>
      <c r="G1458" t="s">
        <v>17</v>
      </c>
      <c r="H1458" t="s">
        <v>18</v>
      </c>
      <c r="I1458" s="8">
        <v>653340.37</v>
      </c>
      <c r="J1458" s="8">
        <v>273255.83361882903</v>
      </c>
      <c r="K1458" s="8">
        <f>I1458/1000000</f>
        <v>0.65334037</v>
      </c>
      <c r="L1458" s="8">
        <f>J1458/1000000</f>
        <v>0.27325583361882905</v>
      </c>
      <c r="M1458" t="s">
        <v>19</v>
      </c>
    </row>
    <row r="1459" spans="2:13" x14ac:dyDescent="0.25">
      <c r="B1459" t="s">
        <v>13</v>
      </c>
      <c r="C1459" t="s">
        <v>46</v>
      </c>
      <c r="D1459" t="s">
        <v>70</v>
      </c>
      <c r="E1459">
        <v>2029</v>
      </c>
      <c r="F1459" t="s">
        <v>30</v>
      </c>
      <c r="G1459" t="s">
        <v>17</v>
      </c>
      <c r="H1459" t="s">
        <v>18</v>
      </c>
      <c r="I1459" s="8">
        <v>650434.07739999995</v>
      </c>
      <c r="J1459" s="8">
        <v>272040.29353063402</v>
      </c>
      <c r="K1459" s="8">
        <f>I1459/1000000</f>
        <v>0.65043407739999992</v>
      </c>
      <c r="L1459" s="8">
        <f>J1459/1000000</f>
        <v>0.27204029353063403</v>
      </c>
      <c r="M1459" t="s">
        <v>19</v>
      </c>
    </row>
    <row r="1460" spans="2:13" x14ac:dyDescent="0.25">
      <c r="B1460" t="s">
        <v>13</v>
      </c>
      <c r="C1460" t="s">
        <v>46</v>
      </c>
      <c r="D1460" t="s">
        <v>70</v>
      </c>
      <c r="E1460">
        <v>2030</v>
      </c>
      <c r="F1460" t="s">
        <v>30</v>
      </c>
      <c r="G1460" t="s">
        <v>17</v>
      </c>
      <c r="H1460" t="s">
        <v>18</v>
      </c>
      <c r="I1460" s="8">
        <v>558315.55079999997</v>
      </c>
      <c r="J1460" s="8">
        <v>233512.25219951</v>
      </c>
      <c r="K1460" s="8">
        <f>I1460/1000000</f>
        <v>0.55831555079999995</v>
      </c>
      <c r="L1460" s="8">
        <f>J1460/1000000</f>
        <v>0.23351225219951</v>
      </c>
      <c r="M1460" t="s">
        <v>19</v>
      </c>
    </row>
    <row r="1461" spans="2:13" x14ac:dyDescent="0.25">
      <c r="B1461" t="s">
        <v>13</v>
      </c>
      <c r="C1461" t="s">
        <v>46</v>
      </c>
      <c r="D1461" t="s">
        <v>15</v>
      </c>
      <c r="E1461">
        <v>2026</v>
      </c>
      <c r="F1461" t="s">
        <v>30</v>
      </c>
      <c r="G1461" t="s">
        <v>17</v>
      </c>
      <c r="H1461" t="s">
        <v>18</v>
      </c>
      <c r="I1461" s="8">
        <v>587890.55379999999</v>
      </c>
      <c r="J1461" s="8">
        <v>194480</v>
      </c>
      <c r="K1461" s="8">
        <f>I1461/1000000</f>
        <v>0.58789055379999999</v>
      </c>
      <c r="L1461" s="8">
        <f>J1461/1000000</f>
        <v>0.19447999999999999</v>
      </c>
      <c r="M1461" t="s">
        <v>19</v>
      </c>
    </row>
    <row r="1462" spans="2:13" x14ac:dyDescent="0.25">
      <c r="B1462" t="s">
        <v>13</v>
      </c>
      <c r="C1462" t="s">
        <v>46</v>
      </c>
      <c r="D1462" t="s">
        <v>15</v>
      </c>
      <c r="E1462">
        <v>2027</v>
      </c>
      <c r="F1462" t="s">
        <v>30</v>
      </c>
      <c r="G1462" t="s">
        <v>17</v>
      </c>
      <c r="H1462" t="s">
        <v>18</v>
      </c>
      <c r="I1462" s="8">
        <v>763917.78870000003</v>
      </c>
      <c r="J1462" s="8">
        <v>252713.98946034699</v>
      </c>
      <c r="K1462" s="8">
        <f>I1462/1000000</f>
        <v>0.76391778870000004</v>
      </c>
      <c r="L1462" s="8">
        <f>J1462/1000000</f>
        <v>0.25271398946034701</v>
      </c>
      <c r="M1462" t="s">
        <v>19</v>
      </c>
    </row>
    <row r="1463" spans="2:13" x14ac:dyDescent="0.25">
      <c r="B1463" t="s">
        <v>13</v>
      </c>
      <c r="C1463" t="s">
        <v>46</v>
      </c>
      <c r="D1463" t="s">
        <v>15</v>
      </c>
      <c r="E1463">
        <v>2028</v>
      </c>
      <c r="F1463" t="s">
        <v>30</v>
      </c>
      <c r="G1463" t="s">
        <v>17</v>
      </c>
      <c r="H1463" t="s">
        <v>18</v>
      </c>
      <c r="I1463" s="8">
        <v>706488.82279999997</v>
      </c>
      <c r="J1463" s="8">
        <v>235105.078624266</v>
      </c>
      <c r="K1463" s="8">
        <f>I1463/1000000</f>
        <v>0.70648882279999992</v>
      </c>
      <c r="L1463" s="8">
        <f>J1463/1000000</f>
        <v>0.235105078624266</v>
      </c>
      <c r="M1463" t="s">
        <v>19</v>
      </c>
    </row>
    <row r="1464" spans="2:13" x14ac:dyDescent="0.25">
      <c r="B1464" t="s">
        <v>13</v>
      </c>
      <c r="C1464" t="s">
        <v>46</v>
      </c>
      <c r="D1464" t="s">
        <v>15</v>
      </c>
      <c r="E1464">
        <v>2029</v>
      </c>
      <c r="F1464" t="s">
        <v>30</v>
      </c>
      <c r="G1464" t="s">
        <v>17</v>
      </c>
      <c r="H1464" t="s">
        <v>18</v>
      </c>
      <c r="I1464" s="8">
        <v>657643.62300000002</v>
      </c>
      <c r="J1464" s="8">
        <v>218850.39182235301</v>
      </c>
      <c r="K1464" s="8">
        <f>I1464/1000000</f>
        <v>0.65764362300000001</v>
      </c>
      <c r="L1464" s="8">
        <f>J1464/1000000</f>
        <v>0.218850391822353</v>
      </c>
      <c r="M1464" t="s">
        <v>19</v>
      </c>
    </row>
    <row r="1465" spans="2:13" x14ac:dyDescent="0.25">
      <c r="B1465" t="s">
        <v>13</v>
      </c>
      <c r="C1465" t="s">
        <v>46</v>
      </c>
      <c r="D1465" t="s">
        <v>15</v>
      </c>
      <c r="E1465">
        <v>2030</v>
      </c>
      <c r="F1465" t="s">
        <v>30</v>
      </c>
      <c r="G1465" t="s">
        <v>17</v>
      </c>
      <c r="H1465" t="s">
        <v>18</v>
      </c>
      <c r="I1465" s="8">
        <v>600641.05310000002</v>
      </c>
      <c r="J1465" s="8">
        <v>199881.098553491</v>
      </c>
      <c r="K1465" s="8">
        <f>I1465/1000000</f>
        <v>0.60064105310000004</v>
      </c>
      <c r="L1465" s="8">
        <f>J1465/1000000</f>
        <v>0.19988109855349101</v>
      </c>
      <c r="M1465" t="s">
        <v>19</v>
      </c>
    </row>
    <row r="1466" spans="2:13" x14ac:dyDescent="0.25">
      <c r="B1466" t="s">
        <v>13</v>
      </c>
      <c r="C1466" t="s">
        <v>46</v>
      </c>
      <c r="D1466" t="s">
        <v>100</v>
      </c>
      <c r="E1466">
        <v>2026</v>
      </c>
      <c r="F1466" t="s">
        <v>30</v>
      </c>
      <c r="G1466" t="s">
        <v>17</v>
      </c>
      <c r="H1466" t="s">
        <v>18</v>
      </c>
      <c r="I1466" s="8">
        <v>1687577.1051</v>
      </c>
      <c r="J1466" s="8">
        <v>792600</v>
      </c>
      <c r="K1466" s="8">
        <f>I1466/1000000</f>
        <v>1.6875771051000001</v>
      </c>
      <c r="L1466" s="8">
        <f>J1466/1000000</f>
        <v>0.79259999999999997</v>
      </c>
      <c r="M1466" t="s">
        <v>19</v>
      </c>
    </row>
    <row r="1467" spans="2:13" x14ac:dyDescent="0.25">
      <c r="B1467" t="s">
        <v>13</v>
      </c>
      <c r="C1467" t="s">
        <v>46</v>
      </c>
      <c r="D1467" t="s">
        <v>100</v>
      </c>
      <c r="E1467">
        <v>2029</v>
      </c>
      <c r="F1467" t="s">
        <v>30</v>
      </c>
      <c r="G1467" t="s">
        <v>17</v>
      </c>
      <c r="H1467" t="s">
        <v>18</v>
      </c>
      <c r="I1467" s="8">
        <v>1432427.9887999999</v>
      </c>
      <c r="J1467" s="8">
        <v>631417.92598472699</v>
      </c>
      <c r="K1467" s="8">
        <f>I1467/1000000</f>
        <v>1.4324279888</v>
      </c>
      <c r="L1467" s="8">
        <f>J1467/1000000</f>
        <v>0.63141792598472701</v>
      </c>
      <c r="M1467" t="s">
        <v>19</v>
      </c>
    </row>
    <row r="1468" spans="2:13" x14ac:dyDescent="0.25">
      <c r="B1468" t="s">
        <v>13</v>
      </c>
      <c r="C1468" t="s">
        <v>46</v>
      </c>
      <c r="D1468" t="s">
        <v>100</v>
      </c>
      <c r="E1468">
        <v>2030</v>
      </c>
      <c r="F1468" t="s">
        <v>30</v>
      </c>
      <c r="G1468" t="s">
        <v>17</v>
      </c>
      <c r="H1468" t="s">
        <v>18</v>
      </c>
      <c r="I1468" s="8">
        <v>1273133.9946000001</v>
      </c>
      <c r="J1468" s="8">
        <v>566192.30574632494</v>
      </c>
      <c r="K1468" s="8">
        <f>I1468/1000000</f>
        <v>1.2731339946</v>
      </c>
      <c r="L1468" s="8">
        <f>J1468/1000000</f>
        <v>0.56619230574632495</v>
      </c>
      <c r="M1468" t="s">
        <v>19</v>
      </c>
    </row>
    <row r="1469" spans="2:13" x14ac:dyDescent="0.25">
      <c r="B1469" t="s">
        <v>13</v>
      </c>
      <c r="C1469" t="s">
        <v>46</v>
      </c>
      <c r="D1469" t="s">
        <v>100</v>
      </c>
      <c r="E1469">
        <v>2027</v>
      </c>
      <c r="F1469" t="s">
        <v>30</v>
      </c>
      <c r="G1469" t="s">
        <v>17</v>
      </c>
      <c r="H1469" t="s">
        <v>18</v>
      </c>
      <c r="I1469" s="8">
        <v>1595381.2482</v>
      </c>
      <c r="J1469" s="8">
        <v>742325.68498189596</v>
      </c>
      <c r="K1469" s="8">
        <f>I1469/1000000</f>
        <v>1.5953812482</v>
      </c>
      <c r="L1469" s="8">
        <f>J1469/1000000</f>
        <v>0.74232568498189599</v>
      </c>
      <c r="M1469" t="s">
        <v>19</v>
      </c>
    </row>
    <row r="1470" spans="2:13" x14ac:dyDescent="0.25">
      <c r="B1470" t="s">
        <v>13</v>
      </c>
      <c r="C1470" t="s">
        <v>46</v>
      </c>
      <c r="D1470" t="s">
        <v>100</v>
      </c>
      <c r="E1470">
        <v>2028</v>
      </c>
      <c r="F1470" t="s">
        <v>30</v>
      </c>
      <c r="G1470" t="s">
        <v>17</v>
      </c>
      <c r="H1470" t="s">
        <v>18</v>
      </c>
      <c r="I1470" s="8">
        <v>1465944.6819</v>
      </c>
      <c r="J1470" s="8">
        <v>688693.04204377602</v>
      </c>
      <c r="K1470" s="8">
        <f>I1470/1000000</f>
        <v>1.4659446818999999</v>
      </c>
      <c r="L1470" s="8">
        <f>J1470/1000000</f>
        <v>0.68869304204377602</v>
      </c>
      <c r="M1470" t="s">
        <v>19</v>
      </c>
    </row>
    <row r="1471" spans="2:13" x14ac:dyDescent="0.25">
      <c r="B1471" t="s">
        <v>13</v>
      </c>
      <c r="C1471" t="s">
        <v>46</v>
      </c>
      <c r="D1471" t="s">
        <v>72</v>
      </c>
      <c r="E1471">
        <v>2026</v>
      </c>
      <c r="F1471" t="s">
        <v>30</v>
      </c>
      <c r="G1471" t="s">
        <v>17</v>
      </c>
      <c r="H1471" t="s">
        <v>18</v>
      </c>
      <c r="I1471" s="8">
        <v>3746334.6466000001</v>
      </c>
      <c r="J1471" s="8">
        <v>1260800</v>
      </c>
      <c r="K1471" s="8">
        <f>I1471/1000000</f>
        <v>3.7463346466000003</v>
      </c>
      <c r="L1471" s="8">
        <f>J1471/1000000</f>
        <v>1.2607999999999999</v>
      </c>
      <c r="M1471" t="s">
        <v>19</v>
      </c>
    </row>
    <row r="1472" spans="2:13" x14ac:dyDescent="0.25">
      <c r="B1472" t="s">
        <v>13</v>
      </c>
      <c r="C1472" t="s">
        <v>46</v>
      </c>
      <c r="D1472" t="s">
        <v>72</v>
      </c>
      <c r="E1472">
        <v>2027</v>
      </c>
      <c r="F1472" t="s">
        <v>30</v>
      </c>
      <c r="G1472" t="s">
        <v>17</v>
      </c>
      <c r="H1472" t="s">
        <v>18</v>
      </c>
      <c r="I1472" s="8">
        <v>3518736.8873999999</v>
      </c>
      <c r="J1472" s="8">
        <v>1184203.6796476799</v>
      </c>
      <c r="K1472" s="8">
        <f>I1472/1000000</f>
        <v>3.5187368873999998</v>
      </c>
      <c r="L1472" s="8">
        <f>J1472/1000000</f>
        <v>1.1842036796476798</v>
      </c>
      <c r="M1472" t="s">
        <v>19</v>
      </c>
    </row>
    <row r="1473" spans="2:13" x14ac:dyDescent="0.25">
      <c r="B1473" t="s">
        <v>13</v>
      </c>
      <c r="C1473" t="s">
        <v>46</v>
      </c>
      <c r="D1473" t="s">
        <v>72</v>
      </c>
      <c r="E1473">
        <v>2029</v>
      </c>
      <c r="F1473" t="s">
        <v>30</v>
      </c>
      <c r="G1473" t="s">
        <v>17</v>
      </c>
      <c r="H1473" t="s">
        <v>18</v>
      </c>
      <c r="I1473" s="8">
        <v>2127788.4156999998</v>
      </c>
      <c r="J1473" s="8">
        <v>990742.18417569005</v>
      </c>
      <c r="K1473" s="8">
        <f>I1473/1000000</f>
        <v>2.1277884157</v>
      </c>
      <c r="L1473" s="8">
        <f>J1473/1000000</f>
        <v>0.99074218417569004</v>
      </c>
      <c r="M1473" t="s">
        <v>19</v>
      </c>
    </row>
    <row r="1474" spans="2:13" x14ac:dyDescent="0.25">
      <c r="B1474" t="s">
        <v>13</v>
      </c>
      <c r="C1474" t="s">
        <v>46</v>
      </c>
      <c r="D1474" t="s">
        <v>72</v>
      </c>
      <c r="E1474">
        <v>2030</v>
      </c>
      <c r="F1474" t="s">
        <v>30</v>
      </c>
      <c r="G1474" t="s">
        <v>17</v>
      </c>
      <c r="H1474" t="s">
        <v>18</v>
      </c>
      <c r="I1474" s="8">
        <v>1907987.372</v>
      </c>
      <c r="J1474" s="8">
        <v>888398.28356750205</v>
      </c>
      <c r="K1474" s="8">
        <f>I1474/1000000</f>
        <v>1.907987372</v>
      </c>
      <c r="L1474" s="8">
        <f>J1474/1000000</f>
        <v>0.88839828356750206</v>
      </c>
      <c r="M1474" t="s">
        <v>19</v>
      </c>
    </row>
    <row r="1475" spans="2:13" x14ac:dyDescent="0.25">
      <c r="B1475" t="s">
        <v>13</v>
      </c>
      <c r="C1475" t="s">
        <v>46</v>
      </c>
      <c r="D1475" t="s">
        <v>102</v>
      </c>
      <c r="E1475">
        <v>2028</v>
      </c>
      <c r="F1475" t="s">
        <v>30</v>
      </c>
      <c r="G1475" t="s">
        <v>17</v>
      </c>
      <c r="H1475" t="s">
        <v>18</v>
      </c>
      <c r="I1475" s="8">
        <v>53129.809800000003</v>
      </c>
      <c r="J1475" s="8">
        <v>157075.34604685099</v>
      </c>
      <c r="K1475" s="8">
        <f>I1475/1000000</f>
        <v>5.3129809800000004E-2</v>
      </c>
      <c r="L1475" s="8">
        <f>J1475/1000000</f>
        <v>0.157075346046851</v>
      </c>
      <c r="M1475" t="s">
        <v>19</v>
      </c>
    </row>
    <row r="1476" spans="2:13" x14ac:dyDescent="0.25">
      <c r="B1476" t="s">
        <v>13</v>
      </c>
      <c r="C1476" t="s">
        <v>46</v>
      </c>
      <c r="D1476" t="s">
        <v>102</v>
      </c>
      <c r="E1476">
        <v>2029</v>
      </c>
      <c r="F1476" t="s">
        <v>30</v>
      </c>
      <c r="G1476" t="s">
        <v>17</v>
      </c>
      <c r="H1476" t="s">
        <v>18</v>
      </c>
      <c r="I1476" s="8">
        <v>43275.902800000003</v>
      </c>
      <c r="J1476" s="8">
        <v>127942.814884306</v>
      </c>
      <c r="K1476" s="8">
        <f>I1476/1000000</f>
        <v>4.3275902800000002E-2</v>
      </c>
      <c r="L1476" s="8">
        <f>J1476/1000000</f>
        <v>0.12794281488430601</v>
      </c>
      <c r="M1476" t="s">
        <v>19</v>
      </c>
    </row>
    <row r="1477" spans="2:13" x14ac:dyDescent="0.25">
      <c r="B1477" t="s">
        <v>13</v>
      </c>
      <c r="C1477" t="s">
        <v>46</v>
      </c>
      <c r="D1477" t="s">
        <v>102</v>
      </c>
      <c r="E1477">
        <v>2030</v>
      </c>
      <c r="F1477" t="s">
        <v>30</v>
      </c>
      <c r="G1477" t="s">
        <v>17</v>
      </c>
      <c r="H1477" t="s">
        <v>18</v>
      </c>
      <c r="I1477" s="8">
        <v>43231.654000000002</v>
      </c>
      <c r="J1477" s="8">
        <v>127811.99548735</v>
      </c>
      <c r="K1477" s="8">
        <f>I1477/1000000</f>
        <v>4.3231654000000001E-2</v>
      </c>
      <c r="L1477" s="8">
        <f>J1477/1000000</f>
        <v>0.12781199548735001</v>
      </c>
      <c r="M1477" t="s">
        <v>19</v>
      </c>
    </row>
    <row r="1478" spans="2:13" x14ac:dyDescent="0.25">
      <c r="B1478" t="s">
        <v>13</v>
      </c>
      <c r="C1478" t="s">
        <v>46</v>
      </c>
      <c r="D1478" t="s">
        <v>72</v>
      </c>
      <c r="E1478">
        <v>2028</v>
      </c>
      <c r="F1478" t="s">
        <v>30</v>
      </c>
      <c r="G1478" t="s">
        <v>17</v>
      </c>
      <c r="H1478" t="s">
        <v>18</v>
      </c>
      <c r="I1478" s="8">
        <v>2320797.3934999998</v>
      </c>
      <c r="J1478" s="8">
        <v>1080611.14615481</v>
      </c>
      <c r="K1478" s="8">
        <f>I1478/1000000</f>
        <v>2.3207973934999999</v>
      </c>
      <c r="L1478" s="8">
        <f>J1478/1000000</f>
        <v>1.08061114615481</v>
      </c>
      <c r="M1478" t="s">
        <v>19</v>
      </c>
    </row>
    <row r="1479" spans="2:13" x14ac:dyDescent="0.25">
      <c r="B1479" t="s">
        <v>13</v>
      </c>
      <c r="C1479" t="s">
        <v>46</v>
      </c>
      <c r="D1479" t="s">
        <v>102</v>
      </c>
      <c r="E1479">
        <v>2027</v>
      </c>
      <c r="F1479" t="s">
        <v>30</v>
      </c>
      <c r="G1479" t="s">
        <v>17</v>
      </c>
      <c r="H1479" t="s">
        <v>18</v>
      </c>
      <c r="I1479" s="8">
        <v>3989.7721000000001</v>
      </c>
      <c r="J1479" s="8">
        <v>11854.3773301405</v>
      </c>
      <c r="K1479" s="8">
        <f>I1479/1000000</f>
        <v>3.9897721000000004E-3</v>
      </c>
      <c r="L1479" s="8">
        <f>J1479/1000000</f>
        <v>1.1854377330140499E-2</v>
      </c>
      <c r="M1479" t="s">
        <v>19</v>
      </c>
    </row>
    <row r="1480" spans="2:13" x14ac:dyDescent="0.25">
      <c r="B1480" t="s">
        <v>13</v>
      </c>
      <c r="C1480" t="s">
        <v>14</v>
      </c>
      <c r="D1480" t="s">
        <v>52</v>
      </c>
      <c r="E1480">
        <v>2028</v>
      </c>
      <c r="F1480" t="s">
        <v>30</v>
      </c>
      <c r="G1480" t="s">
        <v>17</v>
      </c>
      <c r="H1480" t="s">
        <v>18</v>
      </c>
      <c r="I1480" s="8">
        <v>2560278.9517000001</v>
      </c>
      <c r="J1480" s="8">
        <v>2324245.336875</v>
      </c>
      <c r="K1480" s="8">
        <f>I1480/1000000</f>
        <v>2.5602789517</v>
      </c>
      <c r="L1480" s="8">
        <f>J1480/1000000</f>
        <v>2.3242453368750002</v>
      </c>
      <c r="M1480" t="s">
        <v>19</v>
      </c>
    </row>
    <row r="1481" spans="2:13" x14ac:dyDescent="0.25">
      <c r="B1481" t="s">
        <v>13</v>
      </c>
      <c r="C1481" t="s">
        <v>46</v>
      </c>
      <c r="D1481" t="s">
        <v>101</v>
      </c>
      <c r="E1481">
        <v>2028</v>
      </c>
      <c r="F1481" t="s">
        <v>30</v>
      </c>
      <c r="G1481" t="s">
        <v>17</v>
      </c>
      <c r="H1481" t="s">
        <v>18</v>
      </c>
      <c r="I1481" s="8">
        <v>396550.2132</v>
      </c>
      <c r="J1481" s="8">
        <v>361656.03784157301</v>
      </c>
      <c r="K1481" s="8">
        <f>I1481/1000000</f>
        <v>0.3965502132</v>
      </c>
      <c r="L1481" s="8">
        <f>J1481/1000000</f>
        <v>0.36165603784157302</v>
      </c>
      <c r="M1481" t="s">
        <v>39</v>
      </c>
    </row>
    <row r="1482" spans="2:13" x14ac:dyDescent="0.25">
      <c r="B1482" t="s">
        <v>13</v>
      </c>
      <c r="C1482" t="s">
        <v>46</v>
      </c>
      <c r="D1482" t="s">
        <v>101</v>
      </c>
      <c r="E1482">
        <v>2029</v>
      </c>
      <c r="F1482" t="s">
        <v>30</v>
      </c>
      <c r="G1482" t="s">
        <v>17</v>
      </c>
      <c r="H1482" t="s">
        <v>18</v>
      </c>
      <c r="I1482" s="8">
        <v>364941.22930000001</v>
      </c>
      <c r="J1482" s="8">
        <v>332828.465636915</v>
      </c>
      <c r="K1482" s="8">
        <f>I1482/1000000</f>
        <v>0.3649412293</v>
      </c>
      <c r="L1482" s="8">
        <f>J1482/1000000</f>
        <v>0.33282846563691498</v>
      </c>
      <c r="M1482" t="s">
        <v>39</v>
      </c>
    </row>
    <row r="1483" spans="2:13" x14ac:dyDescent="0.25">
      <c r="B1483" t="s">
        <v>13</v>
      </c>
      <c r="C1483" t="s">
        <v>46</v>
      </c>
      <c r="D1483" t="s">
        <v>101</v>
      </c>
      <c r="E1483">
        <v>2030</v>
      </c>
      <c r="F1483" t="s">
        <v>30</v>
      </c>
      <c r="G1483" t="s">
        <v>17</v>
      </c>
      <c r="H1483" t="s">
        <v>18</v>
      </c>
      <c r="I1483" s="8">
        <v>329000.68449999997</v>
      </c>
      <c r="J1483" s="8">
        <v>300050.48546858103</v>
      </c>
      <c r="K1483" s="8">
        <f>I1483/1000000</f>
        <v>0.32900068449999997</v>
      </c>
      <c r="L1483" s="8">
        <f>J1483/1000000</f>
        <v>0.30005048546858104</v>
      </c>
      <c r="M1483" t="s">
        <v>39</v>
      </c>
    </row>
    <row r="1484" spans="2:13" x14ac:dyDescent="0.25">
      <c r="B1484" t="s">
        <v>13</v>
      </c>
      <c r="C1484" t="s">
        <v>46</v>
      </c>
      <c r="D1484" t="s">
        <v>101</v>
      </c>
      <c r="E1484">
        <v>2026</v>
      </c>
      <c r="F1484" t="s">
        <v>30</v>
      </c>
      <c r="G1484" t="s">
        <v>17</v>
      </c>
      <c r="H1484" t="s">
        <v>18</v>
      </c>
      <c r="I1484" s="8">
        <v>451812.78460000001</v>
      </c>
      <c r="J1484" s="8">
        <v>409100</v>
      </c>
      <c r="K1484" s="8">
        <f>I1484/1000000</f>
        <v>0.45181278460000002</v>
      </c>
      <c r="L1484" s="8">
        <f>J1484/1000000</f>
        <v>0.40910000000000002</v>
      </c>
      <c r="M1484" t="s">
        <v>39</v>
      </c>
    </row>
    <row r="1485" spans="2:13" x14ac:dyDescent="0.25">
      <c r="B1485" t="s">
        <v>13</v>
      </c>
      <c r="C1485" t="s">
        <v>46</v>
      </c>
      <c r="D1485" t="s">
        <v>101</v>
      </c>
      <c r="E1485">
        <v>2027</v>
      </c>
      <c r="F1485" t="s">
        <v>30</v>
      </c>
      <c r="G1485" t="s">
        <v>17</v>
      </c>
      <c r="H1485" t="s">
        <v>18</v>
      </c>
      <c r="I1485" s="8">
        <v>427555.82539999997</v>
      </c>
      <c r="J1485" s="8">
        <v>387136.20094622998</v>
      </c>
      <c r="K1485" s="8">
        <f>I1485/1000000</f>
        <v>0.42755582539999998</v>
      </c>
      <c r="L1485" s="8">
        <f>J1485/1000000</f>
        <v>0.38713620094622997</v>
      </c>
      <c r="M1485" t="s">
        <v>39</v>
      </c>
    </row>
    <row r="1486" spans="2:13" x14ac:dyDescent="0.25">
      <c r="B1486" t="s">
        <v>13</v>
      </c>
      <c r="C1486" t="s">
        <v>46</v>
      </c>
      <c r="D1486" t="s">
        <v>70</v>
      </c>
      <c r="E1486">
        <v>2027</v>
      </c>
      <c r="F1486" t="s">
        <v>96</v>
      </c>
      <c r="G1486" t="s">
        <v>17</v>
      </c>
      <c r="H1486" t="s">
        <v>18</v>
      </c>
      <c r="I1486" s="8">
        <v>193427.3749</v>
      </c>
      <c r="J1486" s="8">
        <v>138463.53839999999</v>
      </c>
      <c r="K1486" s="8">
        <f>I1486/1000000</f>
        <v>0.1934273749</v>
      </c>
      <c r="L1486" s="8">
        <f>J1486/1000000</f>
        <v>0.1384635384</v>
      </c>
      <c r="M1486" t="s">
        <v>19</v>
      </c>
    </row>
    <row r="1487" spans="2:13" x14ac:dyDescent="0.25">
      <c r="B1487" t="s">
        <v>13</v>
      </c>
      <c r="C1487" t="s">
        <v>46</v>
      </c>
      <c r="D1487" t="s">
        <v>70</v>
      </c>
      <c r="E1487">
        <v>2026</v>
      </c>
      <c r="F1487" t="s">
        <v>96</v>
      </c>
      <c r="G1487" t="s">
        <v>17</v>
      </c>
      <c r="H1487" t="s">
        <v>18</v>
      </c>
      <c r="I1487" s="8">
        <v>454256.49660000001</v>
      </c>
      <c r="J1487" s="8">
        <v>263200</v>
      </c>
      <c r="K1487" s="8">
        <f>I1487/1000000</f>
        <v>0.4542564966</v>
      </c>
      <c r="L1487" s="8">
        <f>J1487/1000000</f>
        <v>0.26319999999999999</v>
      </c>
      <c r="M1487" t="s">
        <v>19</v>
      </c>
    </row>
    <row r="1488" spans="2:13" x14ac:dyDescent="0.25">
      <c r="B1488" t="s">
        <v>13</v>
      </c>
      <c r="C1488" t="s">
        <v>14</v>
      </c>
      <c r="D1488" t="s">
        <v>15</v>
      </c>
      <c r="E1488">
        <v>2029</v>
      </c>
      <c r="F1488" t="s">
        <v>29</v>
      </c>
      <c r="G1488" t="s">
        <v>17</v>
      </c>
      <c r="H1488" t="s">
        <v>18</v>
      </c>
      <c r="I1488" s="8">
        <v>4893268.9198000003</v>
      </c>
      <c r="J1488" s="8">
        <v>1626955.6</v>
      </c>
      <c r="K1488" s="8">
        <f>I1488/1000000</f>
        <v>4.8932689198000006</v>
      </c>
      <c r="L1488" s="8">
        <f>J1488/1000000</f>
        <v>1.6269556000000001</v>
      </c>
      <c r="M1488" t="s">
        <v>19</v>
      </c>
    </row>
    <row r="1489" spans="2:13" x14ac:dyDescent="0.25">
      <c r="B1489" t="s">
        <v>13</v>
      </c>
      <c r="C1489" t="s">
        <v>46</v>
      </c>
      <c r="D1489" t="s">
        <v>52</v>
      </c>
      <c r="E1489">
        <v>2029</v>
      </c>
      <c r="F1489" t="s">
        <v>29</v>
      </c>
      <c r="G1489" t="s">
        <v>17</v>
      </c>
      <c r="H1489" t="s">
        <v>18</v>
      </c>
      <c r="I1489" s="8">
        <v>2633867.7936999998</v>
      </c>
      <c r="J1489" s="8">
        <v>2081825.03483915</v>
      </c>
      <c r="K1489" s="8">
        <f>I1489/1000000</f>
        <v>2.6338677936999999</v>
      </c>
      <c r="L1489" s="8">
        <f>J1489/1000000</f>
        <v>2.08182503483915</v>
      </c>
      <c r="M1489" t="s">
        <v>19</v>
      </c>
    </row>
    <row r="1490" spans="2:13" x14ac:dyDescent="0.25">
      <c r="B1490" t="s">
        <v>13</v>
      </c>
      <c r="C1490" t="s">
        <v>46</v>
      </c>
      <c r="D1490" t="s">
        <v>52</v>
      </c>
      <c r="E1490">
        <v>2030</v>
      </c>
      <c r="F1490" t="s">
        <v>29</v>
      </c>
      <c r="G1490" t="s">
        <v>17</v>
      </c>
      <c r="H1490" t="s">
        <v>18</v>
      </c>
      <c r="I1490" s="8">
        <v>2719698.9497000002</v>
      </c>
      <c r="J1490" s="8">
        <v>2130605.7488913801</v>
      </c>
      <c r="K1490" s="8">
        <f>I1490/1000000</f>
        <v>2.7196989497000001</v>
      </c>
      <c r="L1490" s="8">
        <f>J1490/1000000</f>
        <v>2.1306057488913801</v>
      </c>
      <c r="M1490" t="s">
        <v>19</v>
      </c>
    </row>
    <row r="1491" spans="2:13" x14ac:dyDescent="0.25">
      <c r="B1491" t="s">
        <v>13</v>
      </c>
      <c r="C1491" t="s">
        <v>46</v>
      </c>
      <c r="D1491" t="s">
        <v>69</v>
      </c>
      <c r="E1491">
        <v>2028</v>
      </c>
      <c r="F1491" t="s">
        <v>29</v>
      </c>
      <c r="G1491" t="s">
        <v>17</v>
      </c>
      <c r="H1491" t="s">
        <v>18</v>
      </c>
      <c r="I1491" s="8">
        <v>8912967.6523000002</v>
      </c>
      <c r="J1491" s="8">
        <v>3397631.52495518</v>
      </c>
      <c r="K1491" s="8">
        <f>I1491/1000000</f>
        <v>8.9129676523000008</v>
      </c>
      <c r="L1491" s="8">
        <f>J1491/1000000</f>
        <v>3.3976315249551798</v>
      </c>
      <c r="M1491" t="s">
        <v>19</v>
      </c>
    </row>
    <row r="1492" spans="2:13" x14ac:dyDescent="0.25">
      <c r="B1492" t="s">
        <v>13</v>
      </c>
      <c r="C1492" t="s">
        <v>46</v>
      </c>
      <c r="D1492" t="s">
        <v>69</v>
      </c>
      <c r="E1492">
        <v>2029</v>
      </c>
      <c r="F1492" t="s">
        <v>29</v>
      </c>
      <c r="G1492" t="s">
        <v>17</v>
      </c>
      <c r="H1492" t="s">
        <v>18</v>
      </c>
      <c r="I1492" s="8">
        <v>5753722.2589999996</v>
      </c>
      <c r="J1492" s="8">
        <v>2513740.7649090001</v>
      </c>
      <c r="K1492" s="8">
        <f>I1492/1000000</f>
        <v>5.7537222589999999</v>
      </c>
      <c r="L1492" s="8">
        <f>J1492/1000000</f>
        <v>2.513740764909</v>
      </c>
      <c r="M1492" t="s">
        <v>19</v>
      </c>
    </row>
    <row r="1493" spans="2:13" x14ac:dyDescent="0.25">
      <c r="B1493" t="s">
        <v>13</v>
      </c>
      <c r="C1493" t="s">
        <v>46</v>
      </c>
      <c r="D1493" t="s">
        <v>69</v>
      </c>
      <c r="E1493">
        <v>2030</v>
      </c>
      <c r="F1493" t="s">
        <v>29</v>
      </c>
      <c r="G1493" t="s">
        <v>17</v>
      </c>
      <c r="H1493" t="s">
        <v>18</v>
      </c>
      <c r="I1493" s="8">
        <v>5898036.9937000005</v>
      </c>
      <c r="J1493" s="8">
        <v>2570790.8089824901</v>
      </c>
      <c r="K1493" s="8">
        <f>I1493/1000000</f>
        <v>5.8980369937000008</v>
      </c>
      <c r="L1493" s="8">
        <f>J1493/1000000</f>
        <v>2.57079080898249</v>
      </c>
      <c r="M1493" t="s">
        <v>19</v>
      </c>
    </row>
    <row r="1494" spans="2:13" x14ac:dyDescent="0.25">
      <c r="B1494" t="s">
        <v>13</v>
      </c>
      <c r="C1494" t="s">
        <v>46</v>
      </c>
      <c r="D1494" t="s">
        <v>74</v>
      </c>
      <c r="E1494">
        <v>2029</v>
      </c>
      <c r="F1494" t="s">
        <v>29</v>
      </c>
      <c r="G1494" t="s">
        <v>17</v>
      </c>
      <c r="H1494" t="s">
        <v>18</v>
      </c>
      <c r="I1494" s="8">
        <v>1787696.2509999999</v>
      </c>
      <c r="J1494" s="8">
        <v>1190100.90238093</v>
      </c>
      <c r="K1494" s="8">
        <f>I1494/1000000</f>
        <v>1.7876962509999998</v>
      </c>
      <c r="L1494" s="8">
        <f>J1494/1000000</f>
        <v>1.1901009023809301</v>
      </c>
      <c r="M1494" t="s">
        <v>19</v>
      </c>
    </row>
    <row r="1495" spans="2:13" x14ac:dyDescent="0.25">
      <c r="B1495" t="s">
        <v>13</v>
      </c>
      <c r="C1495" t="s">
        <v>46</v>
      </c>
      <c r="D1495" t="s">
        <v>74</v>
      </c>
      <c r="E1495">
        <v>2030</v>
      </c>
      <c r="F1495" t="s">
        <v>29</v>
      </c>
      <c r="G1495" t="s">
        <v>17</v>
      </c>
      <c r="H1495" t="s">
        <v>18</v>
      </c>
      <c r="I1495" s="8">
        <v>1801948.9262999999</v>
      </c>
      <c r="J1495" s="8">
        <v>1203846.4888860499</v>
      </c>
      <c r="K1495" s="8">
        <f>I1495/1000000</f>
        <v>1.8019489262999999</v>
      </c>
      <c r="L1495" s="8">
        <f>J1495/1000000</f>
        <v>1.2038464888860501</v>
      </c>
      <c r="M1495" t="s">
        <v>19</v>
      </c>
    </row>
    <row r="1496" spans="2:13" x14ac:dyDescent="0.25">
      <c r="B1496" t="s">
        <v>13</v>
      </c>
      <c r="C1496" t="s">
        <v>46</v>
      </c>
      <c r="D1496" t="s">
        <v>74</v>
      </c>
      <c r="E1496">
        <v>2026</v>
      </c>
      <c r="F1496" t="s">
        <v>29</v>
      </c>
      <c r="G1496" t="s">
        <v>17</v>
      </c>
      <c r="H1496" t="s">
        <v>18</v>
      </c>
      <c r="I1496" s="8">
        <v>1908056.3696000001</v>
      </c>
      <c r="J1496" s="8">
        <v>1125785.73672984</v>
      </c>
      <c r="K1496" s="8">
        <f>I1496/1000000</f>
        <v>1.9080563696000001</v>
      </c>
      <c r="L1496" s="8">
        <f>J1496/1000000</f>
        <v>1.1257857367298401</v>
      </c>
      <c r="M1496" t="s">
        <v>19</v>
      </c>
    </row>
    <row r="1497" spans="2:13" x14ac:dyDescent="0.25">
      <c r="B1497" t="s">
        <v>13</v>
      </c>
      <c r="C1497" t="s">
        <v>46</v>
      </c>
      <c r="D1497" t="s">
        <v>74</v>
      </c>
      <c r="E1497">
        <v>2027</v>
      </c>
      <c r="F1497" t="s">
        <v>29</v>
      </c>
      <c r="G1497" t="s">
        <v>17</v>
      </c>
      <c r="H1497" t="s">
        <v>18</v>
      </c>
      <c r="I1497" s="8">
        <v>1959288.5247</v>
      </c>
      <c r="J1497" s="8">
        <v>1179583.40745829</v>
      </c>
      <c r="K1497" s="8">
        <f>I1497/1000000</f>
        <v>1.9592885247</v>
      </c>
      <c r="L1497" s="8">
        <f>J1497/1000000</f>
        <v>1.17958340745829</v>
      </c>
      <c r="M1497" t="s">
        <v>19</v>
      </c>
    </row>
    <row r="1498" spans="2:13" x14ac:dyDescent="0.25">
      <c r="B1498" t="s">
        <v>13</v>
      </c>
      <c r="C1498" t="s">
        <v>46</v>
      </c>
      <c r="D1498" t="s">
        <v>74</v>
      </c>
      <c r="E1498">
        <v>2028</v>
      </c>
      <c r="F1498" t="s">
        <v>29</v>
      </c>
      <c r="G1498" t="s">
        <v>17</v>
      </c>
      <c r="H1498" t="s">
        <v>18</v>
      </c>
      <c r="I1498" s="8">
        <v>1812197.0045</v>
      </c>
      <c r="J1498" s="8">
        <v>1176221.22148653</v>
      </c>
      <c r="K1498" s="8">
        <f>I1498/1000000</f>
        <v>1.8121970045</v>
      </c>
      <c r="L1498" s="8">
        <f>J1498/1000000</f>
        <v>1.17622122148653</v>
      </c>
      <c r="M1498" t="s">
        <v>19</v>
      </c>
    </row>
    <row r="1499" spans="2:13" x14ac:dyDescent="0.25">
      <c r="B1499" t="s">
        <v>13</v>
      </c>
      <c r="C1499" t="s">
        <v>46</v>
      </c>
      <c r="D1499" t="s">
        <v>73</v>
      </c>
      <c r="E1499">
        <v>2026</v>
      </c>
      <c r="F1499" t="s">
        <v>29</v>
      </c>
      <c r="G1499" t="s">
        <v>17</v>
      </c>
      <c r="H1499" t="s">
        <v>18</v>
      </c>
      <c r="I1499" s="8">
        <v>2481186.6291</v>
      </c>
      <c r="J1499" s="8">
        <v>2597448.5300285998</v>
      </c>
      <c r="K1499" s="8">
        <f>I1499/1000000</f>
        <v>2.4811866291000002</v>
      </c>
      <c r="L1499" s="8">
        <f>J1499/1000000</f>
        <v>2.5974485300285997</v>
      </c>
      <c r="M1499" t="s">
        <v>19</v>
      </c>
    </row>
    <row r="1500" spans="2:13" x14ac:dyDescent="0.25">
      <c r="B1500" t="s">
        <v>13</v>
      </c>
      <c r="C1500" t="s">
        <v>46</v>
      </c>
      <c r="D1500" t="s">
        <v>73</v>
      </c>
      <c r="E1500">
        <v>2027</v>
      </c>
      <c r="F1500" t="s">
        <v>29</v>
      </c>
      <c r="G1500" t="s">
        <v>17</v>
      </c>
      <c r="H1500" t="s">
        <v>18</v>
      </c>
      <c r="I1500" s="8">
        <v>569043.99639999995</v>
      </c>
      <c r="J1500" s="8">
        <v>596612.247296085</v>
      </c>
      <c r="K1500" s="8">
        <f>I1500/1000000</f>
        <v>0.56904399639999992</v>
      </c>
      <c r="L1500" s="8">
        <f>J1500/1000000</f>
        <v>0.59661224729608497</v>
      </c>
      <c r="M1500" t="s">
        <v>19</v>
      </c>
    </row>
    <row r="1501" spans="2:13" x14ac:dyDescent="0.25">
      <c r="B1501" t="s">
        <v>13</v>
      </c>
      <c r="C1501" t="s">
        <v>46</v>
      </c>
      <c r="D1501" t="s">
        <v>70</v>
      </c>
      <c r="E1501">
        <v>2026</v>
      </c>
      <c r="F1501" t="s">
        <v>29</v>
      </c>
      <c r="G1501" t="s">
        <v>17</v>
      </c>
      <c r="H1501" t="s">
        <v>18</v>
      </c>
      <c r="I1501" s="8">
        <v>3874836.7094000001</v>
      </c>
      <c r="J1501" s="8">
        <v>2245112.6831999999</v>
      </c>
      <c r="K1501" s="8">
        <f>I1501/1000000</f>
        <v>3.8748367094000002</v>
      </c>
      <c r="L1501" s="8">
        <f>J1501/1000000</f>
        <v>2.2451126831999999</v>
      </c>
      <c r="M1501" t="s">
        <v>19</v>
      </c>
    </row>
    <row r="1502" spans="2:13" x14ac:dyDescent="0.25">
      <c r="B1502" t="s">
        <v>13</v>
      </c>
      <c r="C1502" t="s">
        <v>46</v>
      </c>
      <c r="D1502" t="s">
        <v>70</v>
      </c>
      <c r="E1502">
        <v>2027</v>
      </c>
      <c r="F1502" t="s">
        <v>29</v>
      </c>
      <c r="G1502" t="s">
        <v>17</v>
      </c>
      <c r="H1502" t="s">
        <v>18</v>
      </c>
      <c r="I1502" s="8">
        <v>203977.8186</v>
      </c>
      <c r="J1502" s="8">
        <v>146015.99460000001</v>
      </c>
      <c r="K1502" s="8">
        <f>I1502/1000000</f>
        <v>0.2039778186</v>
      </c>
      <c r="L1502" s="8">
        <f>J1502/1000000</f>
        <v>0.1460159946</v>
      </c>
      <c r="M1502" t="s">
        <v>19</v>
      </c>
    </row>
    <row r="1503" spans="2:13" x14ac:dyDescent="0.25">
      <c r="B1503" t="s">
        <v>13</v>
      </c>
      <c r="C1503" t="s">
        <v>46</v>
      </c>
      <c r="D1503" t="s">
        <v>40</v>
      </c>
      <c r="E1503">
        <v>2026</v>
      </c>
      <c r="F1503" t="s">
        <v>29</v>
      </c>
      <c r="G1503" t="s">
        <v>17</v>
      </c>
      <c r="H1503" t="s">
        <v>18</v>
      </c>
      <c r="I1503" s="8">
        <v>4397654.5163000003</v>
      </c>
      <c r="J1503" s="8">
        <v>1416848.53858101</v>
      </c>
      <c r="K1503" s="8">
        <f>I1503/1000000</f>
        <v>4.3976545163000003</v>
      </c>
      <c r="L1503" s="8">
        <f>J1503/1000000</f>
        <v>1.4168485385810099</v>
      </c>
      <c r="M1503" t="s">
        <v>39</v>
      </c>
    </row>
    <row r="1504" spans="2:13" x14ac:dyDescent="0.25">
      <c r="B1504" t="s">
        <v>13</v>
      </c>
      <c r="C1504" t="s">
        <v>46</v>
      </c>
      <c r="D1504" t="s">
        <v>40</v>
      </c>
      <c r="E1504">
        <v>2027</v>
      </c>
      <c r="F1504" t="s">
        <v>29</v>
      </c>
      <c r="G1504" t="s">
        <v>17</v>
      </c>
      <c r="H1504" t="s">
        <v>18</v>
      </c>
      <c r="I1504" s="8">
        <v>3594659.7239000001</v>
      </c>
      <c r="J1504" s="8">
        <v>1158137.4474957599</v>
      </c>
      <c r="K1504" s="8">
        <f>I1504/1000000</f>
        <v>3.5946597239</v>
      </c>
      <c r="L1504" s="8">
        <f>J1504/1000000</f>
        <v>1.15813744749576</v>
      </c>
      <c r="M1504" t="s">
        <v>39</v>
      </c>
    </row>
    <row r="1505" spans="2:13" x14ac:dyDescent="0.25">
      <c r="B1505" t="s">
        <v>13</v>
      </c>
      <c r="C1505" t="s">
        <v>46</v>
      </c>
      <c r="D1505" t="s">
        <v>40</v>
      </c>
      <c r="E1505">
        <v>2028</v>
      </c>
      <c r="F1505" t="s">
        <v>29</v>
      </c>
      <c r="G1505" t="s">
        <v>17</v>
      </c>
      <c r="H1505" t="s">
        <v>18</v>
      </c>
      <c r="I1505" s="8">
        <v>4181657.0660000001</v>
      </c>
      <c r="J1505" s="8">
        <v>1180530.4660087</v>
      </c>
      <c r="K1505" s="8">
        <f>I1505/1000000</f>
        <v>4.1816570660000005</v>
      </c>
      <c r="L1505" s="8">
        <f>J1505/1000000</f>
        <v>1.1805304660086999</v>
      </c>
      <c r="M1505" t="s">
        <v>39</v>
      </c>
    </row>
    <row r="1506" spans="2:13" x14ac:dyDescent="0.25">
      <c r="B1506" t="s">
        <v>13</v>
      </c>
      <c r="C1506" t="s">
        <v>46</v>
      </c>
      <c r="D1506" t="s">
        <v>40</v>
      </c>
      <c r="E1506">
        <v>2029</v>
      </c>
      <c r="F1506" t="s">
        <v>29</v>
      </c>
      <c r="G1506" t="s">
        <v>17</v>
      </c>
      <c r="H1506" t="s">
        <v>18</v>
      </c>
      <c r="I1506" s="8">
        <v>4209949.4648000002</v>
      </c>
      <c r="J1506" s="8">
        <v>1188534.61609944</v>
      </c>
      <c r="K1506" s="8">
        <f>I1506/1000000</f>
        <v>4.2099494648000002</v>
      </c>
      <c r="L1506" s="8">
        <f>J1506/1000000</f>
        <v>1.1885346160994401</v>
      </c>
      <c r="M1506" t="s">
        <v>39</v>
      </c>
    </row>
    <row r="1507" spans="2:13" x14ac:dyDescent="0.25">
      <c r="B1507" t="s">
        <v>13</v>
      </c>
      <c r="C1507" t="s">
        <v>46</v>
      </c>
      <c r="D1507" t="s">
        <v>40</v>
      </c>
      <c r="E1507">
        <v>2030</v>
      </c>
      <c r="F1507" t="s">
        <v>29</v>
      </c>
      <c r="G1507" t="s">
        <v>17</v>
      </c>
      <c r="H1507" t="s">
        <v>18</v>
      </c>
      <c r="I1507" s="8">
        <v>4294556.9521000003</v>
      </c>
      <c r="J1507" s="8">
        <v>1212420.6337809099</v>
      </c>
      <c r="K1507" s="8">
        <f>I1507/1000000</f>
        <v>4.2945569521000007</v>
      </c>
      <c r="L1507" s="8">
        <f>J1507/1000000</f>
        <v>1.21242063378091</v>
      </c>
      <c r="M1507" t="s">
        <v>39</v>
      </c>
    </row>
    <row r="1508" spans="2:13" x14ac:dyDescent="0.25">
      <c r="B1508" t="s">
        <v>13</v>
      </c>
      <c r="C1508" t="s">
        <v>46</v>
      </c>
      <c r="D1508" t="s">
        <v>15</v>
      </c>
      <c r="E1508">
        <v>2030</v>
      </c>
      <c r="F1508" t="s">
        <v>29</v>
      </c>
      <c r="G1508" t="s">
        <v>17</v>
      </c>
      <c r="H1508" t="s">
        <v>18</v>
      </c>
      <c r="I1508" s="8">
        <v>722169.06579999998</v>
      </c>
      <c r="J1508" s="8">
        <v>240156.67286091499</v>
      </c>
      <c r="K1508" s="8">
        <f>I1508/1000000</f>
        <v>0.72216906579999995</v>
      </c>
      <c r="L1508" s="8">
        <f>J1508/1000000</f>
        <v>0.24015667286091499</v>
      </c>
      <c r="M1508" t="s">
        <v>19</v>
      </c>
    </row>
    <row r="1509" spans="2:13" x14ac:dyDescent="0.25">
      <c r="B1509" t="s">
        <v>13</v>
      </c>
      <c r="C1509" t="s">
        <v>46</v>
      </c>
      <c r="D1509" t="s">
        <v>100</v>
      </c>
      <c r="E1509">
        <v>2029</v>
      </c>
      <c r="F1509" t="s">
        <v>29</v>
      </c>
      <c r="G1509" t="s">
        <v>17</v>
      </c>
      <c r="H1509" t="s">
        <v>18</v>
      </c>
      <c r="I1509" s="8">
        <v>3609734.906</v>
      </c>
      <c r="J1509" s="8">
        <v>1591180.3912551401</v>
      </c>
      <c r="K1509" s="8">
        <f>I1509/1000000</f>
        <v>3.6097349059999999</v>
      </c>
      <c r="L1509" s="8">
        <f>J1509/1000000</f>
        <v>1.5911803912551401</v>
      </c>
      <c r="M1509" t="s">
        <v>19</v>
      </c>
    </row>
    <row r="1510" spans="2:13" x14ac:dyDescent="0.25">
      <c r="B1510" t="s">
        <v>13</v>
      </c>
      <c r="C1510" t="s">
        <v>46</v>
      </c>
      <c r="D1510" t="s">
        <v>100</v>
      </c>
      <c r="E1510">
        <v>2030</v>
      </c>
      <c r="F1510" t="s">
        <v>29</v>
      </c>
      <c r="G1510" t="s">
        <v>17</v>
      </c>
      <c r="H1510" t="s">
        <v>18</v>
      </c>
      <c r="I1510" s="8">
        <v>3655684.2795000002</v>
      </c>
      <c r="J1510" s="8">
        <v>1625767.8453420501</v>
      </c>
      <c r="K1510" s="8">
        <f>I1510/1000000</f>
        <v>3.6556842795</v>
      </c>
      <c r="L1510" s="8">
        <f>J1510/1000000</f>
        <v>1.6257678453420501</v>
      </c>
      <c r="M1510" t="s">
        <v>19</v>
      </c>
    </row>
    <row r="1511" spans="2:13" x14ac:dyDescent="0.25">
      <c r="B1511" t="s">
        <v>13</v>
      </c>
      <c r="C1511" t="s">
        <v>46</v>
      </c>
      <c r="D1511" t="s">
        <v>100</v>
      </c>
      <c r="E1511">
        <v>2026</v>
      </c>
      <c r="F1511" t="s">
        <v>29</v>
      </c>
      <c r="G1511" t="s">
        <v>17</v>
      </c>
      <c r="H1511" t="s">
        <v>18</v>
      </c>
      <c r="I1511" s="8">
        <v>4822893.4124999996</v>
      </c>
      <c r="J1511" s="8">
        <v>2265155.9487930201</v>
      </c>
      <c r="K1511" s="8">
        <f>I1511/1000000</f>
        <v>4.8228934125</v>
      </c>
      <c r="L1511" s="8">
        <f>J1511/1000000</f>
        <v>2.2651559487930202</v>
      </c>
      <c r="M1511" t="s">
        <v>19</v>
      </c>
    </row>
    <row r="1512" spans="2:13" x14ac:dyDescent="0.25">
      <c r="B1512" t="s">
        <v>13</v>
      </c>
      <c r="C1512" t="s">
        <v>46</v>
      </c>
      <c r="D1512" t="s">
        <v>100</v>
      </c>
      <c r="E1512">
        <v>2027</v>
      </c>
      <c r="F1512" t="s">
        <v>29</v>
      </c>
      <c r="G1512" t="s">
        <v>17</v>
      </c>
      <c r="H1512" t="s">
        <v>18</v>
      </c>
      <c r="I1512" s="8">
        <v>4350356.6198000005</v>
      </c>
      <c r="J1512" s="8">
        <v>2024206.72893713</v>
      </c>
      <c r="K1512" s="8">
        <f>I1512/1000000</f>
        <v>4.3503566198000003</v>
      </c>
      <c r="L1512" s="8">
        <f>J1512/1000000</f>
        <v>2.0242067289371302</v>
      </c>
      <c r="M1512" t="s">
        <v>19</v>
      </c>
    </row>
    <row r="1513" spans="2:13" x14ac:dyDescent="0.25">
      <c r="B1513" t="s">
        <v>13</v>
      </c>
      <c r="C1513" t="s">
        <v>46</v>
      </c>
      <c r="D1513" t="s">
        <v>100</v>
      </c>
      <c r="E1513">
        <v>2028</v>
      </c>
      <c r="F1513" t="s">
        <v>29</v>
      </c>
      <c r="G1513" t="s">
        <v>17</v>
      </c>
      <c r="H1513" t="s">
        <v>18</v>
      </c>
      <c r="I1513" s="8">
        <v>4413413.9974999996</v>
      </c>
      <c r="J1513" s="8">
        <v>2073398.5049996099</v>
      </c>
      <c r="K1513" s="8">
        <f>I1513/1000000</f>
        <v>4.4134139974999993</v>
      </c>
      <c r="L1513" s="8">
        <f>J1513/1000000</f>
        <v>2.0733985049996098</v>
      </c>
      <c r="M1513" t="s">
        <v>19</v>
      </c>
    </row>
    <row r="1514" spans="2:13" x14ac:dyDescent="0.25">
      <c r="B1514" t="s">
        <v>13</v>
      </c>
      <c r="C1514" t="s">
        <v>46</v>
      </c>
      <c r="D1514" t="s">
        <v>72</v>
      </c>
      <c r="E1514">
        <v>2026</v>
      </c>
      <c r="F1514" t="s">
        <v>29</v>
      </c>
      <c r="G1514" t="s">
        <v>17</v>
      </c>
      <c r="H1514" t="s">
        <v>18</v>
      </c>
      <c r="I1514" s="8">
        <v>10335759.2609</v>
      </c>
      <c r="J1514" s="8">
        <v>3620250.463434</v>
      </c>
      <c r="K1514" s="8">
        <f>I1514/1000000</f>
        <v>10.3357592609</v>
      </c>
      <c r="L1514" s="8">
        <f>J1514/1000000</f>
        <v>3.620250463434</v>
      </c>
      <c r="M1514" t="s">
        <v>19</v>
      </c>
    </row>
    <row r="1515" spans="2:13" x14ac:dyDescent="0.25">
      <c r="B1515" t="s">
        <v>13</v>
      </c>
      <c r="C1515" t="s">
        <v>46</v>
      </c>
      <c r="D1515" t="s">
        <v>72</v>
      </c>
      <c r="E1515">
        <v>2029</v>
      </c>
      <c r="F1515" t="s">
        <v>29</v>
      </c>
      <c r="G1515" t="s">
        <v>17</v>
      </c>
      <c r="H1515" t="s">
        <v>18</v>
      </c>
      <c r="I1515" s="8">
        <v>4850685.3992999997</v>
      </c>
      <c r="J1515" s="8">
        <v>2318947.1642418499</v>
      </c>
      <c r="K1515" s="8">
        <f>I1515/1000000</f>
        <v>4.8506853992999996</v>
      </c>
      <c r="L1515" s="8">
        <f>J1515/1000000</f>
        <v>2.31894716424185</v>
      </c>
      <c r="M1515" t="s">
        <v>19</v>
      </c>
    </row>
    <row r="1516" spans="2:13" x14ac:dyDescent="0.25">
      <c r="B1516" t="s">
        <v>13</v>
      </c>
      <c r="C1516" t="s">
        <v>46</v>
      </c>
      <c r="D1516" t="s">
        <v>72</v>
      </c>
      <c r="E1516">
        <v>2030</v>
      </c>
      <c r="F1516" t="s">
        <v>29</v>
      </c>
      <c r="G1516" t="s">
        <v>17</v>
      </c>
      <c r="H1516" t="s">
        <v>18</v>
      </c>
      <c r="I1516" s="8">
        <v>4964965.1912000002</v>
      </c>
      <c r="J1516" s="8">
        <v>2373580.43301755</v>
      </c>
      <c r="K1516" s="8">
        <f>I1516/1000000</f>
        <v>4.9649651912000001</v>
      </c>
      <c r="L1516" s="8">
        <f>J1516/1000000</f>
        <v>2.3735804330175498</v>
      </c>
      <c r="M1516" t="s">
        <v>19</v>
      </c>
    </row>
    <row r="1517" spans="2:13" x14ac:dyDescent="0.25">
      <c r="B1517" t="s">
        <v>13</v>
      </c>
      <c r="C1517" t="s">
        <v>46</v>
      </c>
      <c r="D1517" t="s">
        <v>72</v>
      </c>
      <c r="E1517">
        <v>2027</v>
      </c>
      <c r="F1517" t="s">
        <v>29</v>
      </c>
      <c r="G1517" t="s">
        <v>17</v>
      </c>
      <c r="H1517" t="s">
        <v>18</v>
      </c>
      <c r="I1517" s="8">
        <v>7801919.7219000002</v>
      </c>
      <c r="J1517" s="8">
        <v>3177991.3303212002</v>
      </c>
      <c r="K1517" s="8">
        <f>I1517/1000000</f>
        <v>7.8019197219</v>
      </c>
      <c r="L1517" s="8">
        <f>J1517/1000000</f>
        <v>3.1779913303212002</v>
      </c>
      <c r="M1517" t="s">
        <v>19</v>
      </c>
    </row>
    <row r="1518" spans="2:13" x14ac:dyDescent="0.25">
      <c r="B1518" t="s">
        <v>13</v>
      </c>
      <c r="C1518" t="s">
        <v>46</v>
      </c>
      <c r="D1518" t="s">
        <v>72</v>
      </c>
      <c r="E1518">
        <v>2028</v>
      </c>
      <c r="F1518" t="s">
        <v>29</v>
      </c>
      <c r="G1518" t="s">
        <v>17</v>
      </c>
      <c r="H1518" t="s">
        <v>18</v>
      </c>
      <c r="I1518" s="8">
        <v>7949989.3733000001</v>
      </c>
      <c r="J1518" s="8">
        <v>3255841.3130703</v>
      </c>
      <c r="K1518" s="8">
        <f>I1518/1000000</f>
        <v>7.9499893733000002</v>
      </c>
      <c r="L1518" s="8">
        <f>J1518/1000000</f>
        <v>3.2558413130703001</v>
      </c>
      <c r="M1518" t="s">
        <v>19</v>
      </c>
    </row>
    <row r="1519" spans="2:13" x14ac:dyDescent="0.25">
      <c r="B1519" t="s">
        <v>13</v>
      </c>
      <c r="C1519" t="s">
        <v>46</v>
      </c>
      <c r="D1519" t="s">
        <v>76</v>
      </c>
      <c r="E1519">
        <v>2028</v>
      </c>
      <c r="F1519" t="s">
        <v>29</v>
      </c>
      <c r="G1519" t="s">
        <v>17</v>
      </c>
      <c r="H1519" t="s">
        <v>18</v>
      </c>
      <c r="I1519" s="8">
        <v>7579703.5822999999</v>
      </c>
      <c r="J1519" s="8">
        <v>2357220.0998543701</v>
      </c>
      <c r="K1519" s="8">
        <f>I1519/1000000</f>
        <v>7.5797035822999996</v>
      </c>
      <c r="L1519" s="8">
        <f>J1519/1000000</f>
        <v>2.35722009985437</v>
      </c>
      <c r="M1519" t="s">
        <v>39</v>
      </c>
    </row>
    <row r="1520" spans="2:13" x14ac:dyDescent="0.25">
      <c r="B1520" t="s">
        <v>13</v>
      </c>
      <c r="C1520" t="s">
        <v>46</v>
      </c>
      <c r="D1520" t="s">
        <v>76</v>
      </c>
      <c r="E1520">
        <v>2029</v>
      </c>
      <c r="F1520" t="s">
        <v>29</v>
      </c>
      <c r="G1520" t="s">
        <v>17</v>
      </c>
      <c r="H1520" t="s">
        <v>18</v>
      </c>
      <c r="I1520" s="8">
        <v>6904178.3649000004</v>
      </c>
      <c r="J1520" s="8">
        <v>2147137.7921327702</v>
      </c>
      <c r="K1520" s="8">
        <f>I1520/1000000</f>
        <v>6.9041783649000008</v>
      </c>
      <c r="L1520" s="8">
        <f>J1520/1000000</f>
        <v>2.1471377921327703</v>
      </c>
      <c r="M1520" t="s">
        <v>39</v>
      </c>
    </row>
    <row r="1521" spans="2:13" x14ac:dyDescent="0.25">
      <c r="B1521" t="s">
        <v>13</v>
      </c>
      <c r="C1521" t="s">
        <v>46</v>
      </c>
      <c r="D1521" t="s">
        <v>76</v>
      </c>
      <c r="E1521">
        <v>2030</v>
      </c>
      <c r="F1521" t="s">
        <v>29</v>
      </c>
      <c r="G1521" t="s">
        <v>17</v>
      </c>
      <c r="H1521" t="s">
        <v>18</v>
      </c>
      <c r="I1521" s="8">
        <v>7130851.1628999999</v>
      </c>
      <c r="J1521" s="8">
        <v>2217631.0072953398</v>
      </c>
      <c r="K1521" s="8">
        <f>I1521/1000000</f>
        <v>7.1308511629</v>
      </c>
      <c r="L1521" s="8">
        <f>J1521/1000000</f>
        <v>2.2176310072953398</v>
      </c>
      <c r="M1521" t="s">
        <v>39</v>
      </c>
    </row>
    <row r="1522" spans="2:13" x14ac:dyDescent="0.25">
      <c r="B1522" t="s">
        <v>13</v>
      </c>
      <c r="C1522" t="s">
        <v>46</v>
      </c>
      <c r="D1522" t="s">
        <v>75</v>
      </c>
      <c r="E1522">
        <v>2030</v>
      </c>
      <c r="F1522" t="s">
        <v>29</v>
      </c>
      <c r="G1522" t="s">
        <v>17</v>
      </c>
      <c r="H1522" t="s">
        <v>18</v>
      </c>
      <c r="I1522" s="8">
        <v>54859.836600000002</v>
      </c>
      <c r="J1522" s="8">
        <v>27531.959285007299</v>
      </c>
      <c r="K1522" s="8">
        <f>I1522/1000000</f>
        <v>5.4859836600000003E-2</v>
      </c>
      <c r="L1522" s="8">
        <f>J1522/1000000</f>
        <v>2.7531959285007297E-2</v>
      </c>
      <c r="M1522" t="s">
        <v>39</v>
      </c>
    </row>
    <row r="1523" spans="2:13" x14ac:dyDescent="0.25">
      <c r="B1523" t="s">
        <v>13</v>
      </c>
      <c r="C1523" t="s">
        <v>46</v>
      </c>
      <c r="D1523" t="s">
        <v>75</v>
      </c>
      <c r="E1523">
        <v>2030</v>
      </c>
      <c r="F1523" t="s">
        <v>29</v>
      </c>
      <c r="G1523" t="s">
        <v>17</v>
      </c>
      <c r="H1523" t="s">
        <v>18</v>
      </c>
      <c r="I1523" s="8">
        <v>54859.836600000002</v>
      </c>
      <c r="J1523" s="8">
        <v>27531.959285007299</v>
      </c>
      <c r="K1523" s="8">
        <f>I1523/1000000</f>
        <v>5.4859836600000003E-2</v>
      </c>
      <c r="L1523" s="8">
        <f>J1523/1000000</f>
        <v>2.7531959285007297E-2</v>
      </c>
      <c r="M1523" t="s">
        <v>39</v>
      </c>
    </row>
    <row r="1524" spans="2:13" x14ac:dyDescent="0.25">
      <c r="B1524" t="s">
        <v>13</v>
      </c>
      <c r="C1524" t="s">
        <v>46</v>
      </c>
      <c r="D1524" t="s">
        <v>69</v>
      </c>
      <c r="E1524">
        <v>2027</v>
      </c>
      <c r="F1524" t="s">
        <v>29</v>
      </c>
      <c r="G1524" t="s">
        <v>17</v>
      </c>
      <c r="H1524" t="s">
        <v>18</v>
      </c>
      <c r="I1524" s="8">
        <v>5326596.3064000001</v>
      </c>
      <c r="J1524" s="8">
        <v>1789836.74188825</v>
      </c>
      <c r="K1524" s="8">
        <f>I1524/1000000</f>
        <v>5.3265963063999999</v>
      </c>
      <c r="L1524" s="8">
        <f>J1524/1000000</f>
        <v>1.7898367418882499</v>
      </c>
      <c r="M1524" t="s">
        <v>19</v>
      </c>
    </row>
    <row r="1525" spans="2:13" x14ac:dyDescent="0.25">
      <c r="B1525" t="s">
        <v>13</v>
      </c>
      <c r="C1525" t="s">
        <v>46</v>
      </c>
      <c r="D1525" t="s">
        <v>15</v>
      </c>
      <c r="E1525">
        <v>2029</v>
      </c>
      <c r="F1525" t="s">
        <v>29</v>
      </c>
      <c r="G1525" t="s">
        <v>17</v>
      </c>
      <c r="H1525" t="s">
        <v>18</v>
      </c>
      <c r="I1525" s="8">
        <v>883086.24239999999</v>
      </c>
      <c r="J1525" s="8">
        <v>293669.53511764901</v>
      </c>
      <c r="K1525" s="8">
        <f>I1525/1000000</f>
        <v>0.8830862424</v>
      </c>
      <c r="L1525" s="8">
        <f>J1525/1000000</f>
        <v>0.29366953511764898</v>
      </c>
      <c r="M1525" t="s">
        <v>19</v>
      </c>
    </row>
    <row r="1526" spans="2:13" x14ac:dyDescent="0.25">
      <c r="B1526" t="s">
        <v>13</v>
      </c>
      <c r="C1526" t="s">
        <v>46</v>
      </c>
      <c r="D1526" t="s">
        <v>52</v>
      </c>
      <c r="E1526">
        <v>2028</v>
      </c>
      <c r="F1526" t="s">
        <v>29</v>
      </c>
      <c r="G1526" t="s">
        <v>17</v>
      </c>
      <c r="H1526" t="s">
        <v>18</v>
      </c>
      <c r="I1526" s="8">
        <v>2525654.6724999999</v>
      </c>
      <c r="J1526" s="8">
        <v>2023025.94444335</v>
      </c>
      <c r="K1526" s="8">
        <f>I1526/1000000</f>
        <v>2.5256546725</v>
      </c>
      <c r="L1526" s="8">
        <f>J1526/1000000</f>
        <v>2.0230259444433498</v>
      </c>
      <c r="M1526" t="s">
        <v>19</v>
      </c>
    </row>
    <row r="1527" spans="2:13" x14ac:dyDescent="0.25">
      <c r="B1527" t="s">
        <v>13</v>
      </c>
      <c r="C1527" t="s">
        <v>46</v>
      </c>
      <c r="D1527" t="s">
        <v>102</v>
      </c>
      <c r="E1527">
        <v>2030</v>
      </c>
      <c r="F1527" t="s">
        <v>29</v>
      </c>
      <c r="G1527" t="s">
        <v>17</v>
      </c>
      <c r="H1527" t="s">
        <v>18</v>
      </c>
      <c r="I1527" s="8">
        <v>9894.5959999999995</v>
      </c>
      <c r="J1527" s="8">
        <v>22178.358668395202</v>
      </c>
      <c r="K1527" s="8">
        <f>I1527/1000000</f>
        <v>9.8945960000000003E-3</v>
      </c>
      <c r="L1527" s="8">
        <f>J1527/1000000</f>
        <v>2.2178358668395202E-2</v>
      </c>
      <c r="M1527" t="s">
        <v>19</v>
      </c>
    </row>
    <row r="1528" spans="2:13" x14ac:dyDescent="0.25">
      <c r="B1528" t="s">
        <v>13</v>
      </c>
      <c r="C1528" t="s">
        <v>46</v>
      </c>
      <c r="D1528" t="s">
        <v>75</v>
      </c>
      <c r="E1528">
        <v>2029</v>
      </c>
      <c r="F1528" t="s">
        <v>29</v>
      </c>
      <c r="G1528" t="s">
        <v>17</v>
      </c>
      <c r="H1528" t="s">
        <v>18</v>
      </c>
      <c r="I1528" s="8">
        <v>29700.0946</v>
      </c>
      <c r="J1528" s="8">
        <v>14905.290358386301</v>
      </c>
      <c r="K1528" s="8">
        <f>I1528/1000000</f>
        <v>2.9700094600000001E-2</v>
      </c>
      <c r="L1528" s="8">
        <f>J1528/1000000</f>
        <v>1.4905290358386301E-2</v>
      </c>
      <c r="M1528" t="s">
        <v>39</v>
      </c>
    </row>
    <row r="1529" spans="2:13" x14ac:dyDescent="0.25">
      <c r="B1529" t="s">
        <v>13</v>
      </c>
      <c r="C1529" t="s">
        <v>46</v>
      </c>
      <c r="D1529" t="s">
        <v>75</v>
      </c>
      <c r="E1529">
        <v>2029</v>
      </c>
      <c r="F1529" t="s">
        <v>29</v>
      </c>
      <c r="G1529" t="s">
        <v>17</v>
      </c>
      <c r="H1529" t="s">
        <v>18</v>
      </c>
      <c r="I1529" s="8">
        <v>29700.0946</v>
      </c>
      <c r="J1529" s="8">
        <v>14905.290358386301</v>
      </c>
      <c r="K1529" s="8">
        <f>I1529/1000000</f>
        <v>2.9700094600000001E-2</v>
      </c>
      <c r="L1529" s="8">
        <f>J1529/1000000</f>
        <v>1.4905290358386301E-2</v>
      </c>
      <c r="M1529" t="s">
        <v>39</v>
      </c>
    </row>
    <row r="1530" spans="2:13" x14ac:dyDescent="0.25">
      <c r="B1530" t="s">
        <v>13</v>
      </c>
      <c r="C1530" t="s">
        <v>46</v>
      </c>
      <c r="D1530" t="s">
        <v>76</v>
      </c>
      <c r="E1530">
        <v>2027</v>
      </c>
      <c r="F1530" t="s">
        <v>29</v>
      </c>
      <c r="G1530" t="s">
        <v>17</v>
      </c>
      <c r="H1530" t="s">
        <v>18</v>
      </c>
      <c r="I1530" s="8">
        <v>2751909.4780000001</v>
      </c>
      <c r="J1530" s="8">
        <v>844046.54467613203</v>
      </c>
      <c r="K1530" s="8">
        <f>I1530/1000000</f>
        <v>2.751909478</v>
      </c>
      <c r="L1530" s="8">
        <f>J1530/1000000</f>
        <v>0.84404654467613205</v>
      </c>
      <c r="M1530" t="s">
        <v>39</v>
      </c>
    </row>
    <row r="1531" spans="2:13" x14ac:dyDescent="0.25">
      <c r="B1531" t="s">
        <v>13</v>
      </c>
      <c r="C1531" t="s">
        <v>14</v>
      </c>
      <c r="D1531" t="s">
        <v>74</v>
      </c>
      <c r="E1531">
        <v>2026</v>
      </c>
      <c r="F1531" t="s">
        <v>29</v>
      </c>
      <c r="G1531" t="s">
        <v>17</v>
      </c>
      <c r="H1531" t="s">
        <v>18</v>
      </c>
      <c r="I1531" s="8">
        <v>14786893.2903</v>
      </c>
      <c r="J1531" s="8">
        <v>8730500</v>
      </c>
      <c r="K1531" s="8">
        <f>I1531/1000000</f>
        <v>14.7868932903</v>
      </c>
      <c r="L1531" s="8">
        <f>J1531/1000000</f>
        <v>8.7304999999999993</v>
      </c>
      <c r="M1531" t="s">
        <v>39</v>
      </c>
    </row>
    <row r="1532" spans="2:13" x14ac:dyDescent="0.25">
      <c r="B1532" t="s">
        <v>13</v>
      </c>
      <c r="C1532" t="s">
        <v>14</v>
      </c>
      <c r="D1532" t="s">
        <v>52</v>
      </c>
      <c r="E1532">
        <v>2028</v>
      </c>
      <c r="F1532" t="s">
        <v>29</v>
      </c>
      <c r="G1532" t="s">
        <v>17</v>
      </c>
      <c r="H1532" t="s">
        <v>18</v>
      </c>
      <c r="I1532" s="8">
        <v>9922466.8010000009</v>
      </c>
      <c r="J1532" s="8">
        <v>8985147.5831250008</v>
      </c>
      <c r="K1532" s="8">
        <f>I1532/1000000</f>
        <v>9.9224668010000006</v>
      </c>
      <c r="L1532" s="8">
        <f>J1532/1000000</f>
        <v>8.9851475831250003</v>
      </c>
      <c r="M1532" t="s">
        <v>19</v>
      </c>
    </row>
    <row r="1533" spans="2:13" x14ac:dyDescent="0.25">
      <c r="B1533" t="s">
        <v>13</v>
      </c>
      <c r="C1533" t="s">
        <v>46</v>
      </c>
      <c r="D1533" t="s">
        <v>76</v>
      </c>
      <c r="E1533">
        <v>2026</v>
      </c>
      <c r="F1533" t="s">
        <v>29</v>
      </c>
      <c r="G1533" t="s">
        <v>17</v>
      </c>
      <c r="H1533" t="s">
        <v>18</v>
      </c>
      <c r="I1533" s="8">
        <v>3643376.9723</v>
      </c>
      <c r="J1533" s="8">
        <v>862150</v>
      </c>
      <c r="K1533" s="8">
        <f>I1533/1000000</f>
        <v>3.6433769723</v>
      </c>
      <c r="L1533" s="8">
        <f>J1533/1000000</f>
        <v>0.86214999999999997</v>
      </c>
      <c r="M1533" t="s">
        <v>39</v>
      </c>
    </row>
    <row r="1534" spans="2:13" x14ac:dyDescent="0.25">
      <c r="B1534" t="s">
        <v>13</v>
      </c>
      <c r="C1534" t="s">
        <v>46</v>
      </c>
      <c r="D1534" t="s">
        <v>101</v>
      </c>
      <c r="E1534">
        <v>2026</v>
      </c>
      <c r="F1534" t="s">
        <v>29</v>
      </c>
      <c r="G1534" t="s">
        <v>17</v>
      </c>
      <c r="H1534" t="s">
        <v>18</v>
      </c>
      <c r="I1534" s="8">
        <v>1380930.8966999999</v>
      </c>
      <c r="J1534" s="8">
        <v>1238780.43335752</v>
      </c>
      <c r="K1534" s="8">
        <f>I1534/1000000</f>
        <v>1.3809308967</v>
      </c>
      <c r="L1534" s="8">
        <f>J1534/1000000</f>
        <v>1.2387804333575201</v>
      </c>
      <c r="M1534" t="s">
        <v>39</v>
      </c>
    </row>
    <row r="1535" spans="2:13" x14ac:dyDescent="0.25">
      <c r="B1535" t="s">
        <v>13</v>
      </c>
      <c r="C1535" t="s">
        <v>46</v>
      </c>
      <c r="D1535" t="s">
        <v>101</v>
      </c>
      <c r="E1535">
        <v>2027</v>
      </c>
      <c r="F1535" t="s">
        <v>29</v>
      </c>
      <c r="G1535" t="s">
        <v>17</v>
      </c>
      <c r="H1535" t="s">
        <v>18</v>
      </c>
      <c r="I1535" s="8">
        <v>1207433.4409</v>
      </c>
      <c r="J1535" s="8">
        <v>1083142.48371473</v>
      </c>
      <c r="K1535" s="8">
        <f>I1535/1000000</f>
        <v>1.2074334409</v>
      </c>
      <c r="L1535" s="8">
        <f>J1535/1000000</f>
        <v>1.0831424837147301</v>
      </c>
      <c r="M1535" t="s">
        <v>39</v>
      </c>
    </row>
    <row r="1536" spans="2:13" x14ac:dyDescent="0.25">
      <c r="B1536" t="s">
        <v>13</v>
      </c>
      <c r="C1536" t="s">
        <v>46</v>
      </c>
      <c r="D1536" t="s">
        <v>101</v>
      </c>
      <c r="E1536">
        <v>2028</v>
      </c>
      <c r="F1536" t="s">
        <v>29</v>
      </c>
      <c r="G1536" t="s">
        <v>17</v>
      </c>
      <c r="H1536" t="s">
        <v>18</v>
      </c>
      <c r="I1536" s="8">
        <v>1215291.7811</v>
      </c>
      <c r="J1536" s="8">
        <v>1097995.1276793601</v>
      </c>
      <c r="K1536" s="8">
        <f>I1536/1000000</f>
        <v>1.2152917810999999</v>
      </c>
      <c r="L1536" s="8">
        <f>J1536/1000000</f>
        <v>1.09799512767936</v>
      </c>
      <c r="M1536" t="s">
        <v>39</v>
      </c>
    </row>
    <row r="1537" spans="2:13" x14ac:dyDescent="0.25">
      <c r="B1537" t="s">
        <v>13</v>
      </c>
      <c r="C1537" t="s">
        <v>46</v>
      </c>
      <c r="D1537" t="s">
        <v>101</v>
      </c>
      <c r="E1537">
        <v>2029</v>
      </c>
      <c r="F1537" t="s">
        <v>29</v>
      </c>
      <c r="G1537" t="s">
        <v>17</v>
      </c>
      <c r="H1537" t="s">
        <v>18</v>
      </c>
      <c r="I1537" s="8">
        <v>1246782.4410999999</v>
      </c>
      <c r="J1537" s="8">
        <v>1126446.39489451</v>
      </c>
      <c r="K1537" s="8">
        <f>I1537/1000000</f>
        <v>1.2467824410999999</v>
      </c>
      <c r="L1537" s="8">
        <f>J1537/1000000</f>
        <v>1.12644639489451</v>
      </c>
      <c r="M1537" t="s">
        <v>39</v>
      </c>
    </row>
    <row r="1538" spans="2:13" x14ac:dyDescent="0.25">
      <c r="B1538" t="s">
        <v>13</v>
      </c>
      <c r="C1538" t="s">
        <v>46</v>
      </c>
      <c r="D1538" t="s">
        <v>101</v>
      </c>
      <c r="E1538">
        <v>2030</v>
      </c>
      <c r="F1538" t="s">
        <v>29</v>
      </c>
      <c r="G1538" t="s">
        <v>17</v>
      </c>
      <c r="H1538" t="s">
        <v>18</v>
      </c>
      <c r="I1538" s="8">
        <v>1268789.3192</v>
      </c>
      <c r="J1538" s="8">
        <v>1146329.2290397901</v>
      </c>
      <c r="K1538" s="8">
        <f>I1538/1000000</f>
        <v>1.2687893191999999</v>
      </c>
      <c r="L1538" s="8">
        <f>J1538/1000000</f>
        <v>1.1463292290397902</v>
      </c>
      <c r="M1538" t="s">
        <v>39</v>
      </c>
    </row>
    <row r="1539" spans="2:13" x14ac:dyDescent="0.25">
      <c r="B1539" t="s">
        <v>13</v>
      </c>
      <c r="C1539" t="s">
        <v>46</v>
      </c>
      <c r="D1539" t="s">
        <v>52</v>
      </c>
      <c r="E1539">
        <v>2026</v>
      </c>
      <c r="F1539" t="s">
        <v>65</v>
      </c>
      <c r="G1539" t="s">
        <v>17</v>
      </c>
      <c r="H1539" t="s">
        <v>18</v>
      </c>
      <c r="I1539" s="8">
        <v>8574494.8738000002</v>
      </c>
      <c r="J1539" s="8">
        <v>6896500</v>
      </c>
      <c r="K1539" s="8">
        <f>I1539/1000000</f>
        <v>8.5744948738000009</v>
      </c>
      <c r="L1539" s="8">
        <f>J1539/1000000</f>
        <v>6.8964999999999996</v>
      </c>
      <c r="M1539" t="s">
        <v>19</v>
      </c>
    </row>
    <row r="1540" spans="2:13" x14ac:dyDescent="0.25">
      <c r="B1540" t="s">
        <v>13</v>
      </c>
      <c r="C1540" t="s">
        <v>46</v>
      </c>
      <c r="D1540" t="s">
        <v>52</v>
      </c>
      <c r="E1540">
        <v>2027</v>
      </c>
      <c r="F1540" t="s">
        <v>65</v>
      </c>
      <c r="G1540" t="s">
        <v>17</v>
      </c>
      <c r="H1540" t="s">
        <v>18</v>
      </c>
      <c r="I1540" s="8">
        <v>10434135.937899999</v>
      </c>
      <c r="J1540" s="8">
        <v>10623532.220179301</v>
      </c>
      <c r="K1540" s="8">
        <f>I1540/1000000</f>
        <v>10.434135937899999</v>
      </c>
      <c r="L1540" s="8">
        <f>J1540/1000000</f>
        <v>10.623532220179301</v>
      </c>
      <c r="M1540" t="s">
        <v>19</v>
      </c>
    </row>
    <row r="1541" spans="2:13" x14ac:dyDescent="0.25">
      <c r="B1541" t="s">
        <v>13</v>
      </c>
      <c r="C1541" t="s">
        <v>46</v>
      </c>
      <c r="D1541" t="s">
        <v>52</v>
      </c>
      <c r="E1541">
        <v>2028</v>
      </c>
      <c r="F1541" t="s">
        <v>65</v>
      </c>
      <c r="G1541" t="s">
        <v>17</v>
      </c>
      <c r="H1541" t="s">
        <v>18</v>
      </c>
      <c r="I1541" s="8">
        <v>12416793.848200001</v>
      </c>
      <c r="J1541" s="8">
        <v>10044238.797975499</v>
      </c>
      <c r="K1541" s="8">
        <f>I1541/1000000</f>
        <v>12.416793848200001</v>
      </c>
      <c r="L1541" s="8">
        <f>J1541/1000000</f>
        <v>10.044238797975499</v>
      </c>
      <c r="M1541" t="s">
        <v>19</v>
      </c>
    </row>
    <row r="1542" spans="2:13" x14ac:dyDescent="0.25">
      <c r="B1542" t="s">
        <v>13</v>
      </c>
      <c r="C1542" t="s">
        <v>46</v>
      </c>
      <c r="D1542" t="s">
        <v>52</v>
      </c>
      <c r="E1542">
        <v>2029</v>
      </c>
      <c r="F1542" t="s">
        <v>65</v>
      </c>
      <c r="G1542" t="s">
        <v>17</v>
      </c>
      <c r="H1542" t="s">
        <v>18</v>
      </c>
      <c r="I1542" s="8">
        <v>11869675.6249</v>
      </c>
      <c r="J1542" s="8">
        <v>9471542.3156929202</v>
      </c>
      <c r="K1542" s="8">
        <f>I1542/1000000</f>
        <v>11.869675624900001</v>
      </c>
      <c r="L1542" s="8">
        <f>J1542/1000000</f>
        <v>9.4715423156929202</v>
      </c>
      <c r="M1542" t="s">
        <v>19</v>
      </c>
    </row>
    <row r="1543" spans="2:13" x14ac:dyDescent="0.25">
      <c r="B1543" t="s">
        <v>13</v>
      </c>
      <c r="C1543" t="s">
        <v>46</v>
      </c>
      <c r="D1543" t="s">
        <v>52</v>
      </c>
      <c r="E1543">
        <v>2030</v>
      </c>
      <c r="F1543" t="s">
        <v>65</v>
      </c>
      <c r="G1543" t="s">
        <v>17</v>
      </c>
      <c r="H1543" t="s">
        <v>18</v>
      </c>
      <c r="I1543" s="8">
        <v>11022750.6325</v>
      </c>
      <c r="J1543" s="8">
        <v>8715804.6668260898</v>
      </c>
      <c r="K1543" s="8">
        <f>I1543/1000000</f>
        <v>11.022750632500001</v>
      </c>
      <c r="L1543" s="8">
        <f>J1543/1000000</f>
        <v>8.7158046668260898</v>
      </c>
      <c r="M1543" t="s">
        <v>19</v>
      </c>
    </row>
    <row r="1544" spans="2:13" x14ac:dyDescent="0.25">
      <c r="B1544" t="s">
        <v>13</v>
      </c>
      <c r="C1544" t="s">
        <v>46</v>
      </c>
      <c r="D1544" t="s">
        <v>74</v>
      </c>
      <c r="E1544">
        <v>2026</v>
      </c>
      <c r="F1544" t="s">
        <v>65</v>
      </c>
      <c r="G1544" t="s">
        <v>17</v>
      </c>
      <c r="H1544" t="s">
        <v>18</v>
      </c>
      <c r="I1544" s="8">
        <v>1933730.6551999999</v>
      </c>
      <c r="J1544" s="8">
        <v>1145369.097175</v>
      </c>
      <c r="K1544" s="8">
        <f>I1544/1000000</f>
        <v>1.9337306552</v>
      </c>
      <c r="L1544" s="8">
        <f>J1544/1000000</f>
        <v>1.1453690971749999</v>
      </c>
      <c r="M1544" t="s">
        <v>19</v>
      </c>
    </row>
    <row r="1545" spans="2:13" x14ac:dyDescent="0.25">
      <c r="B1545" t="s">
        <v>13</v>
      </c>
      <c r="C1545" t="s">
        <v>46</v>
      </c>
      <c r="D1545" t="s">
        <v>74</v>
      </c>
      <c r="E1545">
        <v>2027</v>
      </c>
      <c r="F1545" t="s">
        <v>65</v>
      </c>
      <c r="G1545" t="s">
        <v>17</v>
      </c>
      <c r="H1545" t="s">
        <v>18</v>
      </c>
      <c r="I1545" s="8">
        <v>1927407.4816000001</v>
      </c>
      <c r="J1545" s="8">
        <v>1165105.5037499999</v>
      </c>
      <c r="K1545" s="8">
        <f>I1545/1000000</f>
        <v>1.9274074816</v>
      </c>
      <c r="L1545" s="8">
        <f>J1545/1000000</f>
        <v>1.16510550375</v>
      </c>
      <c r="M1545" t="s">
        <v>19</v>
      </c>
    </row>
    <row r="1546" spans="2:13" x14ac:dyDescent="0.25">
      <c r="B1546" t="s">
        <v>13</v>
      </c>
      <c r="C1546" t="s">
        <v>46</v>
      </c>
      <c r="D1546" t="s">
        <v>74</v>
      </c>
      <c r="E1546">
        <v>2028</v>
      </c>
      <c r="F1546" t="s">
        <v>65</v>
      </c>
      <c r="G1546" t="s">
        <v>17</v>
      </c>
      <c r="H1546" t="s">
        <v>18</v>
      </c>
      <c r="I1546" s="8">
        <v>1820690.0407</v>
      </c>
      <c r="J1546" s="8">
        <v>1187342.1688000001</v>
      </c>
      <c r="K1546" s="8">
        <f>I1546/1000000</f>
        <v>1.8206900407</v>
      </c>
      <c r="L1546" s="8">
        <f>J1546/1000000</f>
        <v>1.1873421688000001</v>
      </c>
      <c r="M1546" t="s">
        <v>19</v>
      </c>
    </row>
    <row r="1547" spans="2:13" x14ac:dyDescent="0.25">
      <c r="B1547" t="s">
        <v>13</v>
      </c>
      <c r="C1547" t="s">
        <v>46</v>
      </c>
      <c r="D1547" t="s">
        <v>74</v>
      </c>
      <c r="E1547">
        <v>2029</v>
      </c>
      <c r="F1547" t="s">
        <v>65</v>
      </c>
      <c r="G1547" t="s">
        <v>17</v>
      </c>
      <c r="H1547" t="s">
        <v>18</v>
      </c>
      <c r="I1547" s="8">
        <v>1811714.3796999999</v>
      </c>
      <c r="J1547" s="8">
        <v>1212145.305125</v>
      </c>
      <c r="K1547" s="8">
        <f>I1547/1000000</f>
        <v>1.8117143796999999</v>
      </c>
      <c r="L1547" s="8">
        <f>J1547/1000000</f>
        <v>1.212145305125</v>
      </c>
      <c r="M1547" t="s">
        <v>19</v>
      </c>
    </row>
    <row r="1548" spans="2:13" x14ac:dyDescent="0.25">
      <c r="B1548" t="s">
        <v>13</v>
      </c>
      <c r="C1548" t="s">
        <v>46</v>
      </c>
      <c r="D1548" t="s">
        <v>74</v>
      </c>
      <c r="E1548">
        <v>2030</v>
      </c>
      <c r="F1548" t="s">
        <v>65</v>
      </c>
      <c r="G1548" t="s">
        <v>17</v>
      </c>
      <c r="H1548" t="s">
        <v>18</v>
      </c>
      <c r="I1548" s="8">
        <v>1832804.9541</v>
      </c>
      <c r="J1548" s="8">
        <v>1230656.7294375</v>
      </c>
      <c r="K1548" s="8">
        <f>I1548/1000000</f>
        <v>1.8328049541</v>
      </c>
      <c r="L1548" s="8">
        <f>J1548/1000000</f>
        <v>1.2306567294374999</v>
      </c>
      <c r="M1548" t="s">
        <v>19</v>
      </c>
    </row>
    <row r="1549" spans="2:13" x14ac:dyDescent="0.25">
      <c r="B1549" t="s">
        <v>13</v>
      </c>
      <c r="C1549" t="s">
        <v>46</v>
      </c>
      <c r="D1549" t="s">
        <v>73</v>
      </c>
      <c r="E1549">
        <v>2026</v>
      </c>
      <c r="F1549" t="s">
        <v>65</v>
      </c>
      <c r="G1549" t="s">
        <v>17</v>
      </c>
      <c r="H1549" t="s">
        <v>18</v>
      </c>
      <c r="I1549" s="8">
        <v>2364732.9051999999</v>
      </c>
      <c r="J1549" s="8">
        <v>2520000</v>
      </c>
      <c r="K1549" s="8">
        <f>I1549/1000000</f>
        <v>2.3647329051999999</v>
      </c>
      <c r="L1549" s="8">
        <f>J1549/1000000</f>
        <v>2.52</v>
      </c>
      <c r="M1549" t="s">
        <v>19</v>
      </c>
    </row>
    <row r="1550" spans="2:13" x14ac:dyDescent="0.25">
      <c r="B1550" t="s">
        <v>13</v>
      </c>
      <c r="C1550" t="s">
        <v>46</v>
      </c>
      <c r="D1550" t="s">
        <v>73</v>
      </c>
      <c r="E1550">
        <v>2027</v>
      </c>
      <c r="F1550" t="s">
        <v>65</v>
      </c>
      <c r="G1550" t="s">
        <v>17</v>
      </c>
      <c r="H1550" t="s">
        <v>18</v>
      </c>
      <c r="I1550" s="8">
        <v>3784299.9657999999</v>
      </c>
      <c r="J1550" s="8">
        <v>4045503.2401278601</v>
      </c>
      <c r="K1550" s="8">
        <f>I1550/1000000</f>
        <v>3.7842999657999998</v>
      </c>
      <c r="L1550" s="8">
        <f>J1550/1000000</f>
        <v>4.0455032401278599</v>
      </c>
      <c r="M1550" t="s">
        <v>19</v>
      </c>
    </row>
    <row r="1551" spans="2:13" x14ac:dyDescent="0.25">
      <c r="B1551" t="s">
        <v>13</v>
      </c>
      <c r="C1551" t="s">
        <v>46</v>
      </c>
      <c r="D1551" t="s">
        <v>73</v>
      </c>
      <c r="E1551">
        <v>2028</v>
      </c>
      <c r="F1551" t="s">
        <v>65</v>
      </c>
      <c r="G1551" t="s">
        <v>17</v>
      </c>
      <c r="H1551" t="s">
        <v>18</v>
      </c>
      <c r="I1551" s="8">
        <v>4127579.2382</v>
      </c>
      <c r="J1551" s="8">
        <v>4116385.1224407898</v>
      </c>
      <c r="K1551" s="8">
        <f>I1551/1000000</f>
        <v>4.1275792382000001</v>
      </c>
      <c r="L1551" s="8">
        <f>J1551/1000000</f>
        <v>4.1163851224407901</v>
      </c>
      <c r="M1551" t="s">
        <v>19</v>
      </c>
    </row>
    <row r="1552" spans="2:13" x14ac:dyDescent="0.25">
      <c r="B1552" t="s">
        <v>13</v>
      </c>
      <c r="C1552" t="s">
        <v>46</v>
      </c>
      <c r="D1552" t="s">
        <v>73</v>
      </c>
      <c r="E1552">
        <v>2029</v>
      </c>
      <c r="F1552" t="s">
        <v>65</v>
      </c>
      <c r="G1552" t="s">
        <v>17</v>
      </c>
      <c r="H1552" t="s">
        <v>18</v>
      </c>
      <c r="I1552" s="8">
        <v>4207458.2566</v>
      </c>
      <c r="J1552" s="8">
        <v>4196047.5283948099</v>
      </c>
      <c r="K1552" s="8">
        <f>I1552/1000000</f>
        <v>4.2074582565999998</v>
      </c>
      <c r="L1552" s="8">
        <f>J1552/1000000</f>
        <v>4.1960475283948098</v>
      </c>
      <c r="M1552" t="s">
        <v>19</v>
      </c>
    </row>
    <row r="1553" spans="2:13" x14ac:dyDescent="0.25">
      <c r="B1553" t="s">
        <v>13</v>
      </c>
      <c r="C1553" t="s">
        <v>46</v>
      </c>
      <c r="D1553" t="s">
        <v>73</v>
      </c>
      <c r="E1553">
        <v>2030</v>
      </c>
      <c r="F1553" t="s">
        <v>65</v>
      </c>
      <c r="G1553" t="s">
        <v>17</v>
      </c>
      <c r="H1553" t="s">
        <v>18</v>
      </c>
      <c r="I1553" s="8">
        <v>4265391.0058000004</v>
      </c>
      <c r="J1553" s="8">
        <v>4253823.1630066196</v>
      </c>
      <c r="K1553" s="8">
        <f>I1553/1000000</f>
        <v>4.2653910058000006</v>
      </c>
      <c r="L1553" s="8">
        <f>J1553/1000000</f>
        <v>4.2538231630066194</v>
      </c>
      <c r="M1553" t="s">
        <v>19</v>
      </c>
    </row>
    <row r="1554" spans="2:13" x14ac:dyDescent="0.25">
      <c r="B1554" t="s">
        <v>13</v>
      </c>
      <c r="C1554" t="s">
        <v>46</v>
      </c>
      <c r="D1554" t="s">
        <v>70</v>
      </c>
      <c r="E1554">
        <v>2026</v>
      </c>
      <c r="F1554" t="s">
        <v>65</v>
      </c>
      <c r="G1554" t="s">
        <v>17</v>
      </c>
      <c r="H1554" t="s">
        <v>18</v>
      </c>
      <c r="I1554" s="8">
        <v>26958303.275699999</v>
      </c>
      <c r="J1554" s="8">
        <v>13248000</v>
      </c>
      <c r="K1554" s="8">
        <f>I1554/1000000</f>
        <v>26.958303275700001</v>
      </c>
      <c r="L1554" s="8">
        <f>J1554/1000000</f>
        <v>13.247999999999999</v>
      </c>
      <c r="M1554" t="s">
        <v>19</v>
      </c>
    </row>
    <row r="1555" spans="2:13" x14ac:dyDescent="0.25">
      <c r="B1555" t="s">
        <v>13</v>
      </c>
      <c r="C1555" t="s">
        <v>46</v>
      </c>
      <c r="D1555" t="s">
        <v>70</v>
      </c>
      <c r="E1555">
        <v>2027</v>
      </c>
      <c r="F1555" t="s">
        <v>65</v>
      </c>
      <c r="G1555" t="s">
        <v>17</v>
      </c>
      <c r="H1555" t="s">
        <v>18</v>
      </c>
      <c r="I1555" s="8">
        <v>18230417.034400001</v>
      </c>
      <c r="J1555" s="8">
        <v>13430432.940735901</v>
      </c>
      <c r="K1555" s="8">
        <f>I1555/1000000</f>
        <v>18.230417034400002</v>
      </c>
      <c r="L1555" s="8">
        <f>J1555/1000000</f>
        <v>13.430432940735901</v>
      </c>
      <c r="M1555" t="s">
        <v>19</v>
      </c>
    </row>
    <row r="1556" spans="2:13" x14ac:dyDescent="0.25">
      <c r="B1556" t="s">
        <v>13</v>
      </c>
      <c r="C1556" t="s">
        <v>46</v>
      </c>
      <c r="D1556" t="s">
        <v>70</v>
      </c>
      <c r="E1556">
        <v>2028</v>
      </c>
      <c r="F1556" t="s">
        <v>65</v>
      </c>
      <c r="G1556" t="s">
        <v>17</v>
      </c>
      <c r="H1556" t="s">
        <v>18</v>
      </c>
      <c r="I1556" s="8">
        <v>19653311.7009</v>
      </c>
      <c r="J1556" s="8">
        <v>13666239.5723796</v>
      </c>
      <c r="K1556" s="8">
        <f>I1556/1000000</f>
        <v>19.653311700899998</v>
      </c>
      <c r="L1556" s="8">
        <f>J1556/1000000</f>
        <v>13.666239572379601</v>
      </c>
      <c r="M1556" t="s">
        <v>19</v>
      </c>
    </row>
    <row r="1557" spans="2:13" x14ac:dyDescent="0.25">
      <c r="B1557" t="s">
        <v>13</v>
      </c>
      <c r="C1557" t="s">
        <v>46</v>
      </c>
      <c r="D1557" t="s">
        <v>70</v>
      </c>
      <c r="E1557">
        <v>2029</v>
      </c>
      <c r="F1557" t="s">
        <v>65</v>
      </c>
      <c r="G1557" t="s">
        <v>17</v>
      </c>
      <c r="H1557" t="s">
        <v>18</v>
      </c>
      <c r="I1557" s="8">
        <v>21941433.492199998</v>
      </c>
      <c r="J1557" s="8">
        <v>13931206.2868242</v>
      </c>
      <c r="K1557" s="8">
        <f>I1557/1000000</f>
        <v>21.941433492199998</v>
      </c>
      <c r="L1557" s="8">
        <f>J1557/1000000</f>
        <v>13.931206286824199</v>
      </c>
      <c r="M1557" t="s">
        <v>19</v>
      </c>
    </row>
    <row r="1558" spans="2:13" x14ac:dyDescent="0.25">
      <c r="B1558" t="s">
        <v>13</v>
      </c>
      <c r="C1558" t="s">
        <v>46</v>
      </c>
      <c r="D1558" t="s">
        <v>70</v>
      </c>
      <c r="E1558">
        <v>2030</v>
      </c>
      <c r="F1558" t="s">
        <v>65</v>
      </c>
      <c r="G1558" t="s">
        <v>17</v>
      </c>
      <c r="H1558" t="s">
        <v>18</v>
      </c>
      <c r="I1558" s="8">
        <v>17715427.520199999</v>
      </c>
      <c r="J1558" s="8">
        <v>11331387.238768401</v>
      </c>
      <c r="K1558" s="8">
        <f>I1558/1000000</f>
        <v>17.715427520199999</v>
      </c>
      <c r="L1558" s="8">
        <f>J1558/1000000</f>
        <v>11.3313872387684</v>
      </c>
      <c r="M1558" t="s">
        <v>19</v>
      </c>
    </row>
    <row r="1559" spans="2:13" x14ac:dyDescent="0.25">
      <c r="B1559" t="s">
        <v>13</v>
      </c>
      <c r="C1559" t="s">
        <v>46</v>
      </c>
      <c r="D1559" t="s">
        <v>38</v>
      </c>
      <c r="E1559">
        <v>2026</v>
      </c>
      <c r="F1559" t="s">
        <v>65</v>
      </c>
      <c r="G1559" t="s">
        <v>17</v>
      </c>
      <c r="H1559" t="s">
        <v>18</v>
      </c>
      <c r="I1559" s="8">
        <v>1480473.8045999999</v>
      </c>
      <c r="J1559" s="8">
        <v>1766443.2471</v>
      </c>
      <c r="K1559" s="8">
        <f>I1559/1000000</f>
        <v>1.4804738045999999</v>
      </c>
      <c r="L1559" s="8">
        <f>J1559/1000000</f>
        <v>1.7664432471</v>
      </c>
      <c r="M1559" t="s">
        <v>39</v>
      </c>
    </row>
    <row r="1560" spans="2:13" x14ac:dyDescent="0.25">
      <c r="B1560" t="s">
        <v>13</v>
      </c>
      <c r="C1560" t="s">
        <v>46</v>
      </c>
      <c r="D1560" t="s">
        <v>38</v>
      </c>
      <c r="E1560">
        <v>2027</v>
      </c>
      <c r="F1560" t="s">
        <v>65</v>
      </c>
      <c r="G1560" t="s">
        <v>17</v>
      </c>
      <c r="H1560" t="s">
        <v>18</v>
      </c>
      <c r="I1560" s="8">
        <v>1244867.3883</v>
      </c>
      <c r="J1560" s="8">
        <v>1420905.8062499999</v>
      </c>
      <c r="K1560" s="8">
        <f>I1560/1000000</f>
        <v>1.2448673883000001</v>
      </c>
      <c r="L1560" s="8">
        <f>J1560/1000000</f>
        <v>1.42090580625</v>
      </c>
      <c r="M1560" t="s">
        <v>39</v>
      </c>
    </row>
    <row r="1561" spans="2:13" x14ac:dyDescent="0.25">
      <c r="B1561" t="s">
        <v>13</v>
      </c>
      <c r="C1561" t="s">
        <v>46</v>
      </c>
      <c r="D1561" t="s">
        <v>38</v>
      </c>
      <c r="E1561">
        <v>2028</v>
      </c>
      <c r="F1561" t="s">
        <v>65</v>
      </c>
      <c r="G1561" t="s">
        <v>17</v>
      </c>
      <c r="H1561" t="s">
        <v>18</v>
      </c>
      <c r="I1561" s="8">
        <v>1347504.5543</v>
      </c>
      <c r="J1561" s="8">
        <v>1420141.3625</v>
      </c>
      <c r="K1561" s="8">
        <f>I1561/1000000</f>
        <v>1.3475045542999999</v>
      </c>
      <c r="L1561" s="8">
        <f>J1561/1000000</f>
        <v>1.4201413625000001</v>
      </c>
      <c r="M1561" t="s">
        <v>39</v>
      </c>
    </row>
    <row r="1562" spans="2:13" x14ac:dyDescent="0.25">
      <c r="B1562" t="s">
        <v>13</v>
      </c>
      <c r="C1562" t="s">
        <v>46</v>
      </c>
      <c r="D1562" t="s">
        <v>38</v>
      </c>
      <c r="E1562">
        <v>2029</v>
      </c>
      <c r="F1562" t="s">
        <v>65</v>
      </c>
      <c r="G1562" t="s">
        <v>17</v>
      </c>
      <c r="H1562" t="s">
        <v>18</v>
      </c>
      <c r="I1562" s="8">
        <v>1549552.6340000001</v>
      </c>
      <c r="J1562" s="8">
        <v>1434967.0562499999</v>
      </c>
      <c r="K1562" s="8">
        <f>I1562/1000000</f>
        <v>1.5495526340000001</v>
      </c>
      <c r="L1562" s="8">
        <f>J1562/1000000</f>
        <v>1.4349670562499999</v>
      </c>
      <c r="M1562" t="s">
        <v>39</v>
      </c>
    </row>
    <row r="1563" spans="2:13" x14ac:dyDescent="0.25">
      <c r="B1563" t="s">
        <v>13</v>
      </c>
      <c r="C1563" t="s">
        <v>46</v>
      </c>
      <c r="D1563" t="s">
        <v>38</v>
      </c>
      <c r="E1563">
        <v>2030</v>
      </c>
      <c r="F1563" t="s">
        <v>65</v>
      </c>
      <c r="G1563" t="s">
        <v>17</v>
      </c>
      <c r="H1563" t="s">
        <v>18</v>
      </c>
      <c r="I1563" s="8">
        <v>1557248.1819</v>
      </c>
      <c r="J1563" s="8">
        <v>1442093.5375000001</v>
      </c>
      <c r="K1563" s="8">
        <f>I1563/1000000</f>
        <v>1.5572481818999999</v>
      </c>
      <c r="L1563" s="8">
        <f>J1563/1000000</f>
        <v>1.4420935375000001</v>
      </c>
      <c r="M1563" t="s">
        <v>39</v>
      </c>
    </row>
    <row r="1564" spans="2:13" x14ac:dyDescent="0.25">
      <c r="B1564" t="s">
        <v>13</v>
      </c>
      <c r="C1564" t="s">
        <v>46</v>
      </c>
      <c r="D1564" t="s">
        <v>15</v>
      </c>
      <c r="E1564">
        <v>2028</v>
      </c>
      <c r="F1564" t="s">
        <v>65</v>
      </c>
      <c r="G1564" t="s">
        <v>17</v>
      </c>
      <c r="H1564" t="s">
        <v>18</v>
      </c>
      <c r="I1564" s="8">
        <v>1370093.7977</v>
      </c>
      <c r="J1564" s="8">
        <v>455939.28684210498</v>
      </c>
      <c r="K1564" s="8">
        <f>I1564/1000000</f>
        <v>1.3700937977000001</v>
      </c>
      <c r="L1564" s="8">
        <f>J1564/1000000</f>
        <v>0.455939286842105</v>
      </c>
      <c r="M1564" t="s">
        <v>19</v>
      </c>
    </row>
    <row r="1565" spans="2:13" x14ac:dyDescent="0.25">
      <c r="B1565" t="s">
        <v>13</v>
      </c>
      <c r="C1565" t="s">
        <v>46</v>
      </c>
      <c r="D1565" t="s">
        <v>15</v>
      </c>
      <c r="E1565">
        <v>2026</v>
      </c>
      <c r="F1565" t="s">
        <v>65</v>
      </c>
      <c r="G1565" t="s">
        <v>17</v>
      </c>
      <c r="H1565" t="s">
        <v>18</v>
      </c>
      <c r="I1565" s="8">
        <v>2351091.6817000001</v>
      </c>
      <c r="J1565" s="8">
        <v>508580</v>
      </c>
      <c r="K1565" s="8">
        <f>I1565/1000000</f>
        <v>2.3510916817000003</v>
      </c>
      <c r="L1565" s="8">
        <f>J1565/1000000</f>
        <v>0.50858000000000003</v>
      </c>
      <c r="M1565" t="s">
        <v>19</v>
      </c>
    </row>
    <row r="1566" spans="2:13" x14ac:dyDescent="0.25">
      <c r="B1566" t="s">
        <v>13</v>
      </c>
      <c r="C1566" t="s">
        <v>46</v>
      </c>
      <c r="D1566" t="s">
        <v>15</v>
      </c>
      <c r="E1566">
        <v>2027</v>
      </c>
      <c r="F1566" t="s">
        <v>65</v>
      </c>
      <c r="G1566" t="s">
        <v>17</v>
      </c>
      <c r="H1566" t="s">
        <v>18</v>
      </c>
      <c r="I1566" s="8">
        <v>989887.44880000001</v>
      </c>
      <c r="J1566" s="8">
        <v>448355.26403508801</v>
      </c>
      <c r="K1566" s="8">
        <f>I1566/1000000</f>
        <v>0.98988744880000001</v>
      </c>
      <c r="L1566" s="8">
        <f>J1566/1000000</f>
        <v>0.44835526403508802</v>
      </c>
      <c r="M1566" t="s">
        <v>19</v>
      </c>
    </row>
    <row r="1567" spans="2:13" x14ac:dyDescent="0.25">
      <c r="B1567" t="s">
        <v>13</v>
      </c>
      <c r="C1567" t="s">
        <v>46</v>
      </c>
      <c r="D1567" t="s">
        <v>15</v>
      </c>
      <c r="E1567">
        <v>2030</v>
      </c>
      <c r="F1567" t="s">
        <v>65</v>
      </c>
      <c r="G1567" t="s">
        <v>17</v>
      </c>
      <c r="H1567" t="s">
        <v>18</v>
      </c>
      <c r="I1567" s="8">
        <v>1448777.9938000001</v>
      </c>
      <c r="J1567" s="8">
        <v>482123.78333333298</v>
      </c>
      <c r="K1567" s="8">
        <f>I1567/1000000</f>
        <v>1.4487779938000001</v>
      </c>
      <c r="L1567" s="8">
        <f>J1567/1000000</f>
        <v>0.482123783333333</v>
      </c>
      <c r="M1567" t="s">
        <v>19</v>
      </c>
    </row>
    <row r="1568" spans="2:13" x14ac:dyDescent="0.25">
      <c r="B1568" t="s">
        <v>13</v>
      </c>
      <c r="C1568" t="s">
        <v>46</v>
      </c>
      <c r="D1568" t="s">
        <v>100</v>
      </c>
      <c r="E1568">
        <v>2026</v>
      </c>
      <c r="F1568" t="s">
        <v>65</v>
      </c>
      <c r="G1568" t="s">
        <v>17</v>
      </c>
      <c r="H1568" t="s">
        <v>18</v>
      </c>
      <c r="I1568" s="8">
        <v>3311046</v>
      </c>
      <c r="J1568" s="8">
        <v>3698400</v>
      </c>
      <c r="K1568" s="8">
        <f>I1568/1000000</f>
        <v>3.3110460000000002</v>
      </c>
      <c r="L1568" s="8">
        <f>J1568/1000000</f>
        <v>3.6983999999999999</v>
      </c>
      <c r="M1568" t="s">
        <v>19</v>
      </c>
    </row>
    <row r="1569" spans="2:13" x14ac:dyDescent="0.25">
      <c r="B1569" t="s">
        <v>13</v>
      </c>
      <c r="C1569" t="s">
        <v>46</v>
      </c>
      <c r="D1569" t="s">
        <v>100</v>
      </c>
      <c r="E1569">
        <v>2027</v>
      </c>
      <c r="F1569" t="s">
        <v>65</v>
      </c>
      <c r="G1569" t="s">
        <v>17</v>
      </c>
      <c r="H1569" t="s">
        <v>18</v>
      </c>
      <c r="I1569" s="8">
        <v>3297085.1406999999</v>
      </c>
      <c r="J1569" s="8">
        <v>4045503.2401278601</v>
      </c>
      <c r="K1569" s="8">
        <f>I1569/1000000</f>
        <v>3.2970851406999997</v>
      </c>
      <c r="L1569" s="8">
        <f>J1569/1000000</f>
        <v>4.0455032401278599</v>
      </c>
      <c r="M1569" t="s">
        <v>19</v>
      </c>
    </row>
    <row r="1570" spans="2:13" x14ac:dyDescent="0.25">
      <c r="B1570" t="s">
        <v>13</v>
      </c>
      <c r="C1570" t="s">
        <v>46</v>
      </c>
      <c r="D1570" t="s">
        <v>100</v>
      </c>
      <c r="E1570">
        <v>2028</v>
      </c>
      <c r="F1570" t="s">
        <v>65</v>
      </c>
      <c r="G1570" t="s">
        <v>17</v>
      </c>
      <c r="H1570" t="s">
        <v>18</v>
      </c>
      <c r="I1570" s="8">
        <v>3293108.0980000002</v>
      </c>
      <c r="J1570" s="8">
        <v>4116385.1224407898</v>
      </c>
      <c r="K1570" s="8">
        <f>I1570/1000000</f>
        <v>3.2931080980000003</v>
      </c>
      <c r="L1570" s="8">
        <f>J1570/1000000</f>
        <v>4.1163851224407901</v>
      </c>
      <c r="M1570" t="s">
        <v>19</v>
      </c>
    </row>
    <row r="1571" spans="2:13" x14ac:dyDescent="0.25">
      <c r="B1571" t="s">
        <v>13</v>
      </c>
      <c r="C1571" t="s">
        <v>46</v>
      </c>
      <c r="D1571" t="s">
        <v>100</v>
      </c>
      <c r="E1571">
        <v>2029</v>
      </c>
      <c r="F1571" t="s">
        <v>65</v>
      </c>
      <c r="G1571" t="s">
        <v>17</v>
      </c>
      <c r="H1571" t="s">
        <v>18</v>
      </c>
      <c r="I1571" s="8">
        <v>3356838.0227000001</v>
      </c>
      <c r="J1571" s="8">
        <v>4196047.5283948099</v>
      </c>
      <c r="K1571" s="8">
        <f>I1571/1000000</f>
        <v>3.3568380226999999</v>
      </c>
      <c r="L1571" s="8">
        <f>J1571/1000000</f>
        <v>4.1960475283948098</v>
      </c>
      <c r="M1571" t="s">
        <v>19</v>
      </c>
    </row>
    <row r="1572" spans="2:13" x14ac:dyDescent="0.25">
      <c r="B1572" t="s">
        <v>13</v>
      </c>
      <c r="C1572" t="s">
        <v>46</v>
      </c>
      <c r="D1572" t="s">
        <v>100</v>
      </c>
      <c r="E1572">
        <v>2030</v>
      </c>
      <c r="F1572" t="s">
        <v>65</v>
      </c>
      <c r="G1572" t="s">
        <v>17</v>
      </c>
      <c r="H1572" t="s">
        <v>18</v>
      </c>
      <c r="I1572" s="8">
        <v>3403058.5304</v>
      </c>
      <c r="J1572" s="8">
        <v>4253823.1630066196</v>
      </c>
      <c r="K1572" s="8">
        <f>I1572/1000000</f>
        <v>3.4030585304000001</v>
      </c>
      <c r="L1572" s="8">
        <f>J1572/1000000</f>
        <v>4.2538231630066194</v>
      </c>
      <c r="M1572" t="s">
        <v>19</v>
      </c>
    </row>
    <row r="1573" spans="2:13" x14ac:dyDescent="0.25">
      <c r="B1573" t="s">
        <v>13</v>
      </c>
      <c r="C1573" t="s">
        <v>46</v>
      </c>
      <c r="D1573" t="s">
        <v>72</v>
      </c>
      <c r="E1573">
        <v>2026</v>
      </c>
      <c r="F1573" t="s">
        <v>65</v>
      </c>
      <c r="G1573" t="s">
        <v>17</v>
      </c>
      <c r="H1573" t="s">
        <v>18</v>
      </c>
      <c r="I1573" s="8">
        <v>5323723.3789999997</v>
      </c>
      <c r="J1573" s="8">
        <v>2550250</v>
      </c>
      <c r="K1573" s="8">
        <f>I1573/1000000</f>
        <v>5.3237233789999996</v>
      </c>
      <c r="L1573" s="8">
        <f>J1573/1000000</f>
        <v>2.5502500000000001</v>
      </c>
      <c r="M1573" t="s">
        <v>19</v>
      </c>
    </row>
    <row r="1574" spans="2:13" x14ac:dyDescent="0.25">
      <c r="B1574" t="s">
        <v>13</v>
      </c>
      <c r="C1574" t="s">
        <v>46</v>
      </c>
      <c r="D1574" t="s">
        <v>72</v>
      </c>
      <c r="E1574">
        <v>2027</v>
      </c>
      <c r="F1574" t="s">
        <v>65</v>
      </c>
      <c r="G1574" t="s">
        <v>17</v>
      </c>
      <c r="H1574" t="s">
        <v>18</v>
      </c>
      <c r="I1574" s="8">
        <v>8149898.1728999997</v>
      </c>
      <c r="J1574" s="8">
        <v>3903555.7580181099</v>
      </c>
      <c r="K1574" s="8">
        <f>I1574/1000000</f>
        <v>8.1498981729000004</v>
      </c>
      <c r="L1574" s="8">
        <f>J1574/1000000</f>
        <v>3.9035557580181099</v>
      </c>
      <c r="M1574" t="s">
        <v>19</v>
      </c>
    </row>
    <row r="1575" spans="2:13" x14ac:dyDescent="0.25">
      <c r="B1575" t="s">
        <v>13</v>
      </c>
      <c r="C1575" t="s">
        <v>46</v>
      </c>
      <c r="D1575" t="s">
        <v>72</v>
      </c>
      <c r="E1575">
        <v>2028</v>
      </c>
      <c r="F1575" t="s">
        <v>65</v>
      </c>
      <c r="G1575" t="s">
        <v>17</v>
      </c>
      <c r="H1575" t="s">
        <v>18</v>
      </c>
      <c r="I1575" s="8">
        <v>8251836.5454000002</v>
      </c>
      <c r="J1575" s="8">
        <v>3971950.55674111</v>
      </c>
      <c r="K1575" s="8">
        <f>I1575/1000000</f>
        <v>8.2518365453999998</v>
      </c>
      <c r="L1575" s="8">
        <f>J1575/1000000</f>
        <v>3.9719505567411102</v>
      </c>
      <c r="M1575" t="s">
        <v>19</v>
      </c>
    </row>
    <row r="1576" spans="2:13" x14ac:dyDescent="0.25">
      <c r="B1576" t="s">
        <v>13</v>
      </c>
      <c r="C1576" t="s">
        <v>46</v>
      </c>
      <c r="D1576" t="s">
        <v>72</v>
      </c>
      <c r="E1576">
        <v>2029</v>
      </c>
      <c r="F1576" t="s">
        <v>65</v>
      </c>
      <c r="G1576" t="s">
        <v>17</v>
      </c>
      <c r="H1576" t="s">
        <v>18</v>
      </c>
      <c r="I1576" s="8">
        <v>8411530.3381999992</v>
      </c>
      <c r="J1576" s="8">
        <v>4048817.7905564001</v>
      </c>
      <c r="K1576" s="8">
        <f>I1576/1000000</f>
        <v>8.4115303381999986</v>
      </c>
      <c r="L1576" s="8">
        <f>J1576/1000000</f>
        <v>4.0488177905564005</v>
      </c>
      <c r="M1576" t="s">
        <v>19</v>
      </c>
    </row>
    <row r="1577" spans="2:13" x14ac:dyDescent="0.25">
      <c r="B1577" t="s">
        <v>13</v>
      </c>
      <c r="C1577" t="s">
        <v>46</v>
      </c>
      <c r="D1577" t="s">
        <v>72</v>
      </c>
      <c r="E1577">
        <v>2030</v>
      </c>
      <c r="F1577" t="s">
        <v>65</v>
      </c>
      <c r="G1577" t="s">
        <v>17</v>
      </c>
      <c r="H1577" t="s">
        <v>18</v>
      </c>
      <c r="I1577" s="8">
        <v>8527349.2129999995</v>
      </c>
      <c r="J1577" s="8">
        <v>4104566.2099186699</v>
      </c>
      <c r="K1577" s="8">
        <f>I1577/1000000</f>
        <v>8.527349212999999</v>
      </c>
      <c r="L1577" s="8">
        <f>J1577/1000000</f>
        <v>4.1045662099186702</v>
      </c>
      <c r="M1577" t="s">
        <v>19</v>
      </c>
    </row>
    <row r="1578" spans="2:13" x14ac:dyDescent="0.25">
      <c r="B1578" t="s">
        <v>13</v>
      </c>
      <c r="C1578" t="s">
        <v>46</v>
      </c>
      <c r="D1578" t="s">
        <v>76</v>
      </c>
      <c r="E1578">
        <v>2026</v>
      </c>
      <c r="F1578" t="s">
        <v>65</v>
      </c>
      <c r="G1578" t="s">
        <v>17</v>
      </c>
      <c r="H1578" t="s">
        <v>18</v>
      </c>
      <c r="I1578" s="8">
        <v>-0.39</v>
      </c>
      <c r="J1578" s="8">
        <v>0</v>
      </c>
      <c r="K1578" s="8">
        <f>I1578/1000000</f>
        <v>-3.9000000000000002E-7</v>
      </c>
      <c r="L1578" s="8">
        <f>J1578/1000000</f>
        <v>0</v>
      </c>
      <c r="M1578" t="s">
        <v>39</v>
      </c>
    </row>
    <row r="1579" spans="2:13" x14ac:dyDescent="0.25">
      <c r="B1579" t="s">
        <v>13</v>
      </c>
      <c r="C1579" t="s">
        <v>46</v>
      </c>
      <c r="D1579" t="s">
        <v>15</v>
      </c>
      <c r="E1579">
        <v>2029</v>
      </c>
      <c r="F1579" t="s">
        <v>65</v>
      </c>
      <c r="G1579" t="s">
        <v>17</v>
      </c>
      <c r="H1579" t="s">
        <v>18</v>
      </c>
      <c r="I1579" s="8">
        <v>1399712.9945</v>
      </c>
      <c r="J1579" s="8">
        <v>465795.95175438601</v>
      </c>
      <c r="K1579" s="8">
        <f>I1579/1000000</f>
        <v>1.3997129945</v>
      </c>
      <c r="L1579" s="8">
        <f>J1579/1000000</f>
        <v>0.46579595175438604</v>
      </c>
      <c r="M1579" t="s">
        <v>19</v>
      </c>
    </row>
    <row r="1580" spans="2:13" x14ac:dyDescent="0.25">
      <c r="B1580" t="s">
        <v>13</v>
      </c>
      <c r="C1580" t="s">
        <v>46</v>
      </c>
      <c r="D1580" t="s">
        <v>76</v>
      </c>
      <c r="E1580">
        <v>2028</v>
      </c>
      <c r="F1580" t="s">
        <v>65</v>
      </c>
      <c r="G1580" t="s">
        <v>17</v>
      </c>
      <c r="H1580" t="s">
        <v>18</v>
      </c>
      <c r="I1580" s="8">
        <v>2893960.1184999999</v>
      </c>
      <c r="J1580" s="8">
        <v>907480.84989238402</v>
      </c>
      <c r="K1580" s="8">
        <f>I1580/1000000</f>
        <v>2.8939601184999999</v>
      </c>
      <c r="L1580" s="8">
        <f>J1580/1000000</f>
        <v>0.90748084989238398</v>
      </c>
      <c r="M1580" t="s">
        <v>39</v>
      </c>
    </row>
    <row r="1581" spans="2:13" x14ac:dyDescent="0.25">
      <c r="B1581" t="s">
        <v>13</v>
      </c>
      <c r="C1581" t="s">
        <v>46</v>
      </c>
      <c r="D1581" t="s">
        <v>76</v>
      </c>
      <c r="E1581">
        <v>2027</v>
      </c>
      <c r="F1581" t="s">
        <v>65</v>
      </c>
      <c r="G1581" t="s">
        <v>17</v>
      </c>
      <c r="H1581" t="s">
        <v>18</v>
      </c>
      <c r="I1581" s="8">
        <v>3162358.8300999999</v>
      </c>
      <c r="J1581" s="8">
        <v>977891.63250451302</v>
      </c>
      <c r="K1581" s="8">
        <f>I1581/1000000</f>
        <v>3.1623588301000001</v>
      </c>
      <c r="L1581" s="8">
        <f>J1581/1000000</f>
        <v>0.97789163250451305</v>
      </c>
      <c r="M1581" t="s">
        <v>39</v>
      </c>
    </row>
    <row r="1582" spans="2:13" x14ac:dyDescent="0.25">
      <c r="B1582" t="s">
        <v>13</v>
      </c>
      <c r="C1582" t="s">
        <v>46</v>
      </c>
      <c r="D1582" t="s">
        <v>76</v>
      </c>
      <c r="E1582">
        <v>2029</v>
      </c>
      <c r="F1582" t="s">
        <v>65</v>
      </c>
      <c r="G1582" t="s">
        <v>17</v>
      </c>
      <c r="H1582" t="s">
        <v>18</v>
      </c>
      <c r="I1582" s="8">
        <v>3086836.7237999998</v>
      </c>
      <c r="J1582" s="8">
        <v>967962.61830960005</v>
      </c>
      <c r="K1582" s="8">
        <f>I1582/1000000</f>
        <v>3.0868367237999998</v>
      </c>
      <c r="L1582" s="8">
        <f>J1582/1000000</f>
        <v>0.96796261830960006</v>
      </c>
      <c r="M1582" t="s">
        <v>39</v>
      </c>
    </row>
    <row r="1583" spans="2:13" x14ac:dyDescent="0.25">
      <c r="B1583" t="s">
        <v>13</v>
      </c>
      <c r="C1583" t="s">
        <v>46</v>
      </c>
      <c r="D1583" t="s">
        <v>76</v>
      </c>
      <c r="E1583">
        <v>2030</v>
      </c>
      <c r="F1583" t="s">
        <v>65</v>
      </c>
      <c r="G1583" t="s">
        <v>17</v>
      </c>
      <c r="H1583" t="s">
        <v>18</v>
      </c>
      <c r="I1583" s="8">
        <v>3637619.6005000002</v>
      </c>
      <c r="J1583" s="8">
        <v>1140675.7493195999</v>
      </c>
      <c r="K1583" s="8">
        <f>I1583/1000000</f>
        <v>3.6376196005000003</v>
      </c>
      <c r="L1583" s="8">
        <f>J1583/1000000</f>
        <v>1.1406757493196</v>
      </c>
      <c r="M1583" t="s">
        <v>39</v>
      </c>
    </row>
    <row r="1584" spans="2:13" x14ac:dyDescent="0.25">
      <c r="B1584" t="s">
        <v>13</v>
      </c>
      <c r="C1584" t="s">
        <v>14</v>
      </c>
      <c r="D1584" t="s">
        <v>109</v>
      </c>
      <c r="E1584">
        <v>2028</v>
      </c>
      <c r="F1584" t="s">
        <v>65</v>
      </c>
      <c r="G1584" t="s">
        <v>17</v>
      </c>
      <c r="H1584" t="s">
        <v>18</v>
      </c>
      <c r="I1584" s="8">
        <v>10217773.0923</v>
      </c>
      <c r="J1584" s="8">
        <v>6030000</v>
      </c>
      <c r="K1584" s="8">
        <f>I1584/1000000</f>
        <v>10.2177730923</v>
      </c>
      <c r="L1584" s="8">
        <f>J1584/1000000</f>
        <v>6.03</v>
      </c>
      <c r="M1584" t="s">
        <v>39</v>
      </c>
    </row>
    <row r="1585" spans="2:13" x14ac:dyDescent="0.25">
      <c r="B1585" t="s">
        <v>13</v>
      </c>
      <c r="C1585" t="s">
        <v>14</v>
      </c>
      <c r="D1585" t="s">
        <v>109</v>
      </c>
      <c r="E1585">
        <v>2029</v>
      </c>
      <c r="F1585" t="s">
        <v>65</v>
      </c>
      <c r="G1585" t="s">
        <v>17</v>
      </c>
      <c r="H1585" t="s">
        <v>18</v>
      </c>
      <c r="I1585" s="8">
        <v>13147694.501399999</v>
      </c>
      <c r="J1585" s="8">
        <v>7200000</v>
      </c>
      <c r="K1585" s="8">
        <f>I1585/1000000</f>
        <v>13.1476945014</v>
      </c>
      <c r="L1585" s="8">
        <f>J1585/1000000</f>
        <v>7.2</v>
      </c>
      <c r="M1585" t="s">
        <v>39</v>
      </c>
    </row>
    <row r="1586" spans="2:13" x14ac:dyDescent="0.25">
      <c r="B1586" t="s">
        <v>13</v>
      </c>
      <c r="C1586" t="s">
        <v>14</v>
      </c>
      <c r="D1586" t="s">
        <v>109</v>
      </c>
      <c r="E1586">
        <v>2030</v>
      </c>
      <c r="F1586" t="s">
        <v>65</v>
      </c>
      <c r="G1586" t="s">
        <v>17</v>
      </c>
      <c r="H1586" t="s">
        <v>18</v>
      </c>
      <c r="I1586" s="8">
        <v>13656431.343599999</v>
      </c>
      <c r="J1586" s="8">
        <v>7200000</v>
      </c>
      <c r="K1586" s="8">
        <f>I1586/1000000</f>
        <v>13.6564313436</v>
      </c>
      <c r="L1586" s="8">
        <f>J1586/1000000</f>
        <v>7.2</v>
      </c>
      <c r="M1586" t="s">
        <v>39</v>
      </c>
    </row>
    <row r="1587" spans="2:13" x14ac:dyDescent="0.25">
      <c r="B1587" t="s">
        <v>13</v>
      </c>
      <c r="C1587" t="s">
        <v>14</v>
      </c>
      <c r="D1587" t="s">
        <v>52</v>
      </c>
      <c r="E1587">
        <v>2027</v>
      </c>
      <c r="F1587" t="s">
        <v>65</v>
      </c>
      <c r="G1587" t="s">
        <v>17</v>
      </c>
      <c r="H1587" t="s">
        <v>18</v>
      </c>
      <c r="I1587" s="8">
        <v>22124970.842</v>
      </c>
      <c r="J1587" s="8">
        <v>20910389.387708899</v>
      </c>
      <c r="K1587" s="8">
        <f>I1587/1000000</f>
        <v>22.124970842</v>
      </c>
      <c r="L1587" s="8">
        <f>J1587/1000000</f>
        <v>20.9103893877089</v>
      </c>
      <c r="M1587" t="s">
        <v>19</v>
      </c>
    </row>
    <row r="1588" spans="2:13" x14ac:dyDescent="0.25">
      <c r="B1588" t="s">
        <v>13</v>
      </c>
      <c r="C1588" t="s">
        <v>14</v>
      </c>
      <c r="D1588" t="s">
        <v>52</v>
      </c>
      <c r="E1588">
        <v>2029</v>
      </c>
      <c r="F1588" t="s">
        <v>65</v>
      </c>
      <c r="G1588" t="s">
        <v>17</v>
      </c>
      <c r="H1588" t="s">
        <v>18</v>
      </c>
      <c r="I1588" s="8">
        <v>30816694.152100001</v>
      </c>
      <c r="J1588" s="8">
        <v>26727336.856687501</v>
      </c>
      <c r="K1588" s="8">
        <f>I1588/1000000</f>
        <v>30.816694152100002</v>
      </c>
      <c r="L1588" s="8">
        <f>J1588/1000000</f>
        <v>26.727336856687501</v>
      </c>
      <c r="M1588" t="s">
        <v>19</v>
      </c>
    </row>
    <row r="1589" spans="2:13" x14ac:dyDescent="0.25">
      <c r="B1589" t="s">
        <v>13</v>
      </c>
      <c r="C1589" t="s">
        <v>46</v>
      </c>
      <c r="D1589" t="s">
        <v>72</v>
      </c>
      <c r="E1589">
        <v>2027</v>
      </c>
      <c r="F1589" t="s">
        <v>65</v>
      </c>
      <c r="G1589" t="s">
        <v>17</v>
      </c>
      <c r="H1589" t="s">
        <v>18</v>
      </c>
      <c r="I1589" s="8">
        <v>-1154046.8600000001</v>
      </c>
      <c r="J1589" s="8"/>
      <c r="K1589" s="8">
        <f>I1589/1000000</f>
        <v>-1.15404686</v>
      </c>
      <c r="L1589" s="8">
        <f>J1589/1000000</f>
        <v>0</v>
      </c>
      <c r="M1589" t="s">
        <v>19</v>
      </c>
    </row>
    <row r="1590" spans="2:13" x14ac:dyDescent="0.25">
      <c r="B1590" t="s">
        <v>13</v>
      </c>
      <c r="C1590" t="s">
        <v>14</v>
      </c>
      <c r="D1590" t="s">
        <v>15</v>
      </c>
      <c r="E1590">
        <v>2026</v>
      </c>
      <c r="F1590" t="s">
        <v>31</v>
      </c>
      <c r="G1590" t="s">
        <v>17</v>
      </c>
      <c r="H1590" t="s">
        <v>18</v>
      </c>
      <c r="I1590" s="8">
        <v>7269603.9342</v>
      </c>
      <c r="J1590" s="8">
        <v>2404880</v>
      </c>
      <c r="K1590" s="8">
        <f>I1590/1000000</f>
        <v>7.2696039342000001</v>
      </c>
      <c r="L1590" s="8">
        <f>J1590/1000000</f>
        <v>2.4048799999999999</v>
      </c>
      <c r="M1590" t="s">
        <v>19</v>
      </c>
    </row>
    <row r="1591" spans="2:13" x14ac:dyDescent="0.25">
      <c r="B1591" t="s">
        <v>13</v>
      </c>
      <c r="C1591" t="s">
        <v>14</v>
      </c>
      <c r="D1591" t="s">
        <v>15</v>
      </c>
      <c r="E1591">
        <v>2027</v>
      </c>
      <c r="F1591" t="s">
        <v>31</v>
      </c>
      <c r="G1591" t="s">
        <v>17</v>
      </c>
      <c r="H1591" t="s">
        <v>18</v>
      </c>
      <c r="I1591" s="8">
        <v>2642056.7302999999</v>
      </c>
      <c r="J1591" s="8">
        <v>874026.9</v>
      </c>
      <c r="K1591" s="8">
        <f>I1591/1000000</f>
        <v>2.6420567302999998</v>
      </c>
      <c r="L1591" s="8">
        <f>J1591/1000000</f>
        <v>0.87402690000000005</v>
      </c>
      <c r="M1591" t="s">
        <v>19</v>
      </c>
    </row>
    <row r="1592" spans="2:13" x14ac:dyDescent="0.25">
      <c r="B1592" t="s">
        <v>13</v>
      </c>
      <c r="C1592" t="s">
        <v>46</v>
      </c>
      <c r="D1592" t="s">
        <v>52</v>
      </c>
      <c r="E1592">
        <v>2029</v>
      </c>
      <c r="F1592" t="s">
        <v>31</v>
      </c>
      <c r="G1592" t="s">
        <v>17</v>
      </c>
      <c r="H1592" t="s">
        <v>18</v>
      </c>
      <c r="I1592" s="8">
        <v>5253063.6374000004</v>
      </c>
      <c r="J1592" s="8">
        <v>4182170.0617389502</v>
      </c>
      <c r="K1592" s="8">
        <f>I1592/1000000</f>
        <v>5.2530636374000004</v>
      </c>
      <c r="L1592" s="8">
        <f>J1592/1000000</f>
        <v>4.1821700617389501</v>
      </c>
      <c r="M1592" t="s">
        <v>19</v>
      </c>
    </row>
    <row r="1593" spans="2:13" x14ac:dyDescent="0.25">
      <c r="B1593" t="s">
        <v>13</v>
      </c>
      <c r="C1593" t="s">
        <v>46</v>
      </c>
      <c r="D1593" t="s">
        <v>52</v>
      </c>
      <c r="E1593">
        <v>2030</v>
      </c>
      <c r="F1593" t="s">
        <v>31</v>
      </c>
      <c r="G1593" t="s">
        <v>17</v>
      </c>
      <c r="H1593" t="s">
        <v>18</v>
      </c>
      <c r="I1593" s="8">
        <v>4458072.2687999997</v>
      </c>
      <c r="J1593" s="8">
        <v>3517068.2446912499</v>
      </c>
      <c r="K1593" s="8">
        <f>I1593/1000000</f>
        <v>4.4580722687999996</v>
      </c>
      <c r="L1593" s="8">
        <f>J1593/1000000</f>
        <v>3.51706824469125</v>
      </c>
      <c r="M1593" t="s">
        <v>19</v>
      </c>
    </row>
    <row r="1594" spans="2:13" x14ac:dyDescent="0.25">
      <c r="B1594" t="s">
        <v>13</v>
      </c>
      <c r="C1594" t="s">
        <v>46</v>
      </c>
      <c r="D1594" t="s">
        <v>52</v>
      </c>
      <c r="E1594">
        <v>2026</v>
      </c>
      <c r="F1594" t="s">
        <v>31</v>
      </c>
      <c r="G1594" t="s">
        <v>17</v>
      </c>
      <c r="H1594" t="s">
        <v>18</v>
      </c>
      <c r="I1594" s="8">
        <v>9196093.9366999995</v>
      </c>
      <c r="J1594" s="8">
        <v>7379000</v>
      </c>
      <c r="K1594" s="8">
        <f>I1594/1000000</f>
        <v>9.1960939366999987</v>
      </c>
      <c r="L1594" s="8">
        <f>J1594/1000000</f>
        <v>7.3789999999999996</v>
      </c>
      <c r="M1594" t="s">
        <v>19</v>
      </c>
    </row>
    <row r="1595" spans="2:13" x14ac:dyDescent="0.25">
      <c r="B1595" t="s">
        <v>13</v>
      </c>
      <c r="C1595" t="s">
        <v>46</v>
      </c>
      <c r="D1595" t="s">
        <v>52</v>
      </c>
      <c r="E1595">
        <v>2027</v>
      </c>
      <c r="F1595" t="s">
        <v>31</v>
      </c>
      <c r="G1595" t="s">
        <v>17</v>
      </c>
      <c r="H1595" t="s">
        <v>18</v>
      </c>
      <c r="I1595" s="8">
        <v>8535657.3479999993</v>
      </c>
      <c r="J1595" s="8">
        <v>6904993.3770130202</v>
      </c>
      <c r="K1595" s="8">
        <f>I1595/1000000</f>
        <v>8.5356573479999991</v>
      </c>
      <c r="L1595" s="8">
        <f>J1595/1000000</f>
        <v>6.9049933770130201</v>
      </c>
      <c r="M1595" t="s">
        <v>19</v>
      </c>
    </row>
    <row r="1596" spans="2:13" x14ac:dyDescent="0.25">
      <c r="B1596" t="s">
        <v>13</v>
      </c>
      <c r="C1596" t="s">
        <v>46</v>
      </c>
      <c r="D1596" t="s">
        <v>52</v>
      </c>
      <c r="E1596">
        <v>2028</v>
      </c>
      <c r="F1596" t="s">
        <v>31</v>
      </c>
      <c r="G1596" t="s">
        <v>17</v>
      </c>
      <c r="H1596" t="s">
        <v>18</v>
      </c>
      <c r="I1596" s="8">
        <v>7009864.3492000001</v>
      </c>
      <c r="J1596" s="8">
        <v>5657319.7079187799</v>
      </c>
      <c r="K1596" s="8">
        <f>I1596/1000000</f>
        <v>7.0098643491999999</v>
      </c>
      <c r="L1596" s="8">
        <f>J1596/1000000</f>
        <v>5.6573197079187798</v>
      </c>
      <c r="M1596" t="s">
        <v>19</v>
      </c>
    </row>
    <row r="1597" spans="2:13" x14ac:dyDescent="0.25">
      <c r="B1597" t="s">
        <v>13</v>
      </c>
      <c r="C1597" t="s">
        <v>46</v>
      </c>
      <c r="D1597" t="s">
        <v>69</v>
      </c>
      <c r="E1597">
        <v>2029</v>
      </c>
      <c r="F1597" t="s">
        <v>31</v>
      </c>
      <c r="G1597" t="s">
        <v>17</v>
      </c>
      <c r="H1597" t="s">
        <v>18</v>
      </c>
      <c r="I1597" s="8">
        <v>33867927.373000003</v>
      </c>
      <c r="J1597" s="8">
        <v>14827372.7149956</v>
      </c>
      <c r="K1597" s="8">
        <f>I1597/1000000</f>
        <v>33.867927373000001</v>
      </c>
      <c r="L1597" s="8">
        <f>J1597/1000000</f>
        <v>14.827372714995601</v>
      </c>
      <c r="M1597" t="s">
        <v>19</v>
      </c>
    </row>
    <row r="1598" spans="2:13" x14ac:dyDescent="0.25">
      <c r="B1598" t="s">
        <v>13</v>
      </c>
      <c r="C1598" t="s">
        <v>46</v>
      </c>
      <c r="D1598" t="s">
        <v>69</v>
      </c>
      <c r="E1598">
        <v>2030</v>
      </c>
      <c r="F1598" t="s">
        <v>31</v>
      </c>
      <c r="G1598" t="s">
        <v>17</v>
      </c>
      <c r="H1598" t="s">
        <v>18</v>
      </c>
      <c r="I1598" s="8">
        <v>25322294.575300001</v>
      </c>
      <c r="J1598" s="8">
        <v>11060170.4094932</v>
      </c>
      <c r="K1598" s="8">
        <f>I1598/1000000</f>
        <v>25.322294575299999</v>
      </c>
      <c r="L1598" s="8">
        <f>J1598/1000000</f>
        <v>11.0601704094932</v>
      </c>
      <c r="M1598" t="s">
        <v>19</v>
      </c>
    </row>
    <row r="1599" spans="2:13" x14ac:dyDescent="0.25">
      <c r="B1599" t="s">
        <v>13</v>
      </c>
      <c r="C1599" t="s">
        <v>46</v>
      </c>
      <c r="D1599" t="s">
        <v>73</v>
      </c>
      <c r="E1599">
        <v>2026</v>
      </c>
      <c r="F1599" t="s">
        <v>31</v>
      </c>
      <c r="G1599" t="s">
        <v>17</v>
      </c>
      <c r="H1599" t="s">
        <v>18</v>
      </c>
      <c r="I1599" s="8">
        <v>5049748.7757000001</v>
      </c>
      <c r="J1599" s="8">
        <v>5356500</v>
      </c>
      <c r="K1599" s="8">
        <f>I1599/1000000</f>
        <v>5.0497487757000004</v>
      </c>
      <c r="L1599" s="8">
        <f>J1599/1000000</f>
        <v>5.3564999999999996</v>
      </c>
      <c r="M1599" t="s">
        <v>19</v>
      </c>
    </row>
    <row r="1600" spans="2:13" x14ac:dyDescent="0.25">
      <c r="B1600" t="s">
        <v>13</v>
      </c>
      <c r="C1600" t="s">
        <v>46</v>
      </c>
      <c r="D1600" t="s">
        <v>73</v>
      </c>
      <c r="E1600">
        <v>2027</v>
      </c>
      <c r="F1600" t="s">
        <v>31</v>
      </c>
      <c r="G1600" t="s">
        <v>17</v>
      </c>
      <c r="H1600" t="s">
        <v>18</v>
      </c>
      <c r="I1600" s="8">
        <v>6327659.9501999998</v>
      </c>
      <c r="J1600" s="8">
        <v>6738780.3341061296</v>
      </c>
      <c r="K1600" s="8">
        <f>I1600/1000000</f>
        <v>6.3276599502000002</v>
      </c>
      <c r="L1600" s="8">
        <f>J1600/1000000</f>
        <v>6.7387803341061296</v>
      </c>
      <c r="M1600" t="s">
        <v>19</v>
      </c>
    </row>
    <row r="1601" spans="2:13" x14ac:dyDescent="0.25">
      <c r="B1601" t="s">
        <v>13</v>
      </c>
      <c r="C1601" t="s">
        <v>46</v>
      </c>
      <c r="D1601" t="s">
        <v>73</v>
      </c>
      <c r="E1601">
        <v>2028</v>
      </c>
      <c r="F1601" t="s">
        <v>31</v>
      </c>
      <c r="G1601" t="s">
        <v>17</v>
      </c>
      <c r="H1601" t="s">
        <v>18</v>
      </c>
      <c r="I1601" s="8">
        <v>3519418.4547000001</v>
      </c>
      <c r="J1601" s="8">
        <v>3497791.1439726502</v>
      </c>
      <c r="K1601" s="8">
        <f>I1601/1000000</f>
        <v>3.5194184547000003</v>
      </c>
      <c r="L1601" s="8">
        <f>J1601/1000000</f>
        <v>3.4977911439726501</v>
      </c>
      <c r="M1601" t="s">
        <v>19</v>
      </c>
    </row>
    <row r="1602" spans="2:13" x14ac:dyDescent="0.25">
      <c r="B1602" t="s">
        <v>13</v>
      </c>
      <c r="C1602" t="s">
        <v>46</v>
      </c>
      <c r="D1602" t="s">
        <v>70</v>
      </c>
      <c r="E1602">
        <v>2026</v>
      </c>
      <c r="F1602" t="s">
        <v>31</v>
      </c>
      <c r="G1602" t="s">
        <v>17</v>
      </c>
      <c r="H1602" t="s">
        <v>18</v>
      </c>
      <c r="I1602" s="8">
        <v>32207650.996399999</v>
      </c>
      <c r="J1602" s="8">
        <v>15860000</v>
      </c>
      <c r="K1602" s="8">
        <f>I1602/1000000</f>
        <v>32.207650996399998</v>
      </c>
      <c r="L1602" s="8">
        <f>J1602/1000000</f>
        <v>15.86</v>
      </c>
      <c r="M1602" t="s">
        <v>19</v>
      </c>
    </row>
    <row r="1603" spans="2:13" x14ac:dyDescent="0.25">
      <c r="B1603" t="s">
        <v>13</v>
      </c>
      <c r="C1603" t="s">
        <v>46</v>
      </c>
      <c r="D1603" t="s">
        <v>70</v>
      </c>
      <c r="E1603">
        <v>2027</v>
      </c>
      <c r="F1603" t="s">
        <v>31</v>
      </c>
      <c r="G1603" t="s">
        <v>17</v>
      </c>
      <c r="H1603" t="s">
        <v>18</v>
      </c>
      <c r="I1603" s="8">
        <v>21686213.3539</v>
      </c>
      <c r="J1603" s="8">
        <v>16025315.216082601</v>
      </c>
      <c r="K1603" s="8">
        <f>I1603/1000000</f>
        <v>21.686213353900001</v>
      </c>
      <c r="L1603" s="8">
        <f>J1603/1000000</f>
        <v>16.0253152160826</v>
      </c>
      <c r="M1603" t="s">
        <v>19</v>
      </c>
    </row>
    <row r="1604" spans="2:13" x14ac:dyDescent="0.25">
      <c r="B1604" t="s">
        <v>13</v>
      </c>
      <c r="C1604" t="s">
        <v>46</v>
      </c>
      <c r="D1604" t="s">
        <v>70</v>
      </c>
      <c r="E1604">
        <v>2028</v>
      </c>
      <c r="F1604" t="s">
        <v>31</v>
      </c>
      <c r="G1604" t="s">
        <v>17</v>
      </c>
      <c r="H1604" t="s">
        <v>18</v>
      </c>
      <c r="I1604" s="8">
        <v>17455906.079</v>
      </c>
      <c r="J1604" s="8">
        <v>12172423.7784821</v>
      </c>
      <c r="K1604" s="8">
        <f>I1604/1000000</f>
        <v>17.455906078999998</v>
      </c>
      <c r="L1604" s="8">
        <f>J1604/1000000</f>
        <v>12.1724237784821</v>
      </c>
      <c r="M1604" t="s">
        <v>19</v>
      </c>
    </row>
    <row r="1605" spans="2:13" x14ac:dyDescent="0.25">
      <c r="B1605" t="s">
        <v>13</v>
      </c>
      <c r="C1605" t="s">
        <v>46</v>
      </c>
      <c r="D1605" t="s">
        <v>15</v>
      </c>
      <c r="E1605">
        <v>2027</v>
      </c>
      <c r="F1605" t="s">
        <v>31</v>
      </c>
      <c r="G1605" t="s">
        <v>17</v>
      </c>
      <c r="H1605" t="s">
        <v>18</v>
      </c>
      <c r="I1605" s="8">
        <v>3456614.0422</v>
      </c>
      <c r="J1605" s="8">
        <v>1143493.10562053</v>
      </c>
      <c r="K1605" s="8">
        <f>I1605/1000000</f>
        <v>3.4566140422</v>
      </c>
      <c r="L1605" s="8">
        <f>J1605/1000000</f>
        <v>1.14349310562053</v>
      </c>
      <c r="M1605" t="s">
        <v>19</v>
      </c>
    </row>
    <row r="1606" spans="2:13" x14ac:dyDescent="0.25">
      <c r="B1606" t="s">
        <v>13</v>
      </c>
      <c r="C1606" t="s">
        <v>46</v>
      </c>
      <c r="D1606" t="s">
        <v>15</v>
      </c>
      <c r="E1606">
        <v>2028</v>
      </c>
      <c r="F1606" t="s">
        <v>31</v>
      </c>
      <c r="G1606" t="s">
        <v>17</v>
      </c>
      <c r="H1606" t="s">
        <v>18</v>
      </c>
      <c r="I1606" s="8">
        <v>2900945.6650999999</v>
      </c>
      <c r="J1606" s="8">
        <v>965375.58224210504</v>
      </c>
      <c r="K1606" s="8">
        <f>I1606/1000000</f>
        <v>2.9009456651000001</v>
      </c>
      <c r="L1606" s="8">
        <f>J1606/1000000</f>
        <v>0.96537558224210507</v>
      </c>
      <c r="M1606" t="s">
        <v>19</v>
      </c>
    </row>
    <row r="1607" spans="2:13" x14ac:dyDescent="0.25">
      <c r="B1607" t="s">
        <v>13</v>
      </c>
      <c r="C1607" t="s">
        <v>46</v>
      </c>
      <c r="D1607" t="s">
        <v>15</v>
      </c>
      <c r="E1607">
        <v>2029</v>
      </c>
      <c r="F1607" t="s">
        <v>31</v>
      </c>
      <c r="G1607" t="s">
        <v>17</v>
      </c>
      <c r="H1607" t="s">
        <v>18</v>
      </c>
      <c r="I1607" s="8">
        <v>2423852.1932999999</v>
      </c>
      <c r="J1607" s="8">
        <v>806608.60025789496</v>
      </c>
      <c r="K1607" s="8">
        <f>I1607/1000000</f>
        <v>2.4238521933000001</v>
      </c>
      <c r="L1607" s="8">
        <f>J1607/1000000</f>
        <v>0.80660860025789494</v>
      </c>
      <c r="M1607" t="s">
        <v>19</v>
      </c>
    </row>
    <row r="1608" spans="2:13" x14ac:dyDescent="0.25">
      <c r="B1608" t="s">
        <v>13</v>
      </c>
      <c r="C1608" t="s">
        <v>46</v>
      </c>
      <c r="D1608" t="s">
        <v>15</v>
      </c>
      <c r="E1608">
        <v>2030</v>
      </c>
      <c r="F1608" t="s">
        <v>31</v>
      </c>
      <c r="G1608" t="s">
        <v>17</v>
      </c>
      <c r="H1608" t="s">
        <v>18</v>
      </c>
      <c r="I1608" s="8">
        <v>1868312.3389000001</v>
      </c>
      <c r="J1608" s="8">
        <v>621736.26126315806</v>
      </c>
      <c r="K1608" s="8">
        <f>I1608/1000000</f>
        <v>1.8683123389</v>
      </c>
      <c r="L1608" s="8">
        <f>J1608/1000000</f>
        <v>0.62173626126315806</v>
      </c>
      <c r="M1608" t="s">
        <v>19</v>
      </c>
    </row>
    <row r="1609" spans="2:13" x14ac:dyDescent="0.25">
      <c r="B1609" t="s">
        <v>13</v>
      </c>
      <c r="C1609" t="s">
        <v>46</v>
      </c>
      <c r="D1609" t="s">
        <v>100</v>
      </c>
      <c r="E1609">
        <v>2026</v>
      </c>
      <c r="F1609" t="s">
        <v>31</v>
      </c>
      <c r="G1609" t="s">
        <v>17</v>
      </c>
      <c r="H1609" t="s">
        <v>18</v>
      </c>
      <c r="I1609" s="8">
        <v>8633981.7298000008</v>
      </c>
      <c r="J1609" s="8">
        <v>4055100</v>
      </c>
      <c r="K1609" s="8">
        <f>I1609/1000000</f>
        <v>8.6339817298000003</v>
      </c>
      <c r="L1609" s="8">
        <f>J1609/1000000</f>
        <v>4.0551000000000004</v>
      </c>
      <c r="M1609" t="s">
        <v>19</v>
      </c>
    </row>
    <row r="1610" spans="2:13" x14ac:dyDescent="0.25">
      <c r="B1610" t="s">
        <v>13</v>
      </c>
      <c r="C1610" t="s">
        <v>46</v>
      </c>
      <c r="D1610" t="s">
        <v>100</v>
      </c>
      <c r="E1610">
        <v>2029</v>
      </c>
      <c r="F1610" t="s">
        <v>31</v>
      </c>
      <c r="G1610" t="s">
        <v>17</v>
      </c>
      <c r="H1610" t="s">
        <v>18</v>
      </c>
      <c r="I1610" s="8">
        <v>6589192.9222999997</v>
      </c>
      <c r="J1610" s="8">
        <v>2904533.11532924</v>
      </c>
      <c r="K1610" s="8">
        <f>I1610/1000000</f>
        <v>6.5891929222999996</v>
      </c>
      <c r="L1610" s="8">
        <f>J1610/1000000</f>
        <v>2.9045331153292402</v>
      </c>
      <c r="M1610" t="s">
        <v>19</v>
      </c>
    </row>
    <row r="1611" spans="2:13" x14ac:dyDescent="0.25">
      <c r="B1611" t="s">
        <v>13</v>
      </c>
      <c r="C1611" t="s">
        <v>46</v>
      </c>
      <c r="D1611" t="s">
        <v>100</v>
      </c>
      <c r="E1611">
        <v>2030</v>
      </c>
      <c r="F1611" t="s">
        <v>31</v>
      </c>
      <c r="G1611" t="s">
        <v>17</v>
      </c>
      <c r="H1611" t="s">
        <v>18</v>
      </c>
      <c r="I1611" s="8">
        <v>6643384.1670000004</v>
      </c>
      <c r="J1611" s="8">
        <v>2954467.4915182199</v>
      </c>
      <c r="K1611" s="8">
        <f>I1611/1000000</f>
        <v>6.6433841670000007</v>
      </c>
      <c r="L1611" s="8">
        <f>J1611/1000000</f>
        <v>2.9544674915182201</v>
      </c>
      <c r="M1611" t="s">
        <v>19</v>
      </c>
    </row>
    <row r="1612" spans="2:13" x14ac:dyDescent="0.25">
      <c r="B1612" t="s">
        <v>13</v>
      </c>
      <c r="C1612" t="s">
        <v>46</v>
      </c>
      <c r="D1612" t="s">
        <v>100</v>
      </c>
      <c r="E1612">
        <v>2027</v>
      </c>
      <c r="F1612" t="s">
        <v>31</v>
      </c>
      <c r="G1612" t="s">
        <v>17</v>
      </c>
      <c r="H1612" t="s">
        <v>18</v>
      </c>
      <c r="I1612" s="8">
        <v>9704106.8313999996</v>
      </c>
      <c r="J1612" s="8">
        <v>4515289.2195053501</v>
      </c>
      <c r="K1612" s="8">
        <f>I1612/1000000</f>
        <v>9.704106831399999</v>
      </c>
      <c r="L1612" s="8">
        <f>J1612/1000000</f>
        <v>4.51528921950535</v>
      </c>
      <c r="M1612" t="s">
        <v>19</v>
      </c>
    </row>
    <row r="1613" spans="2:13" x14ac:dyDescent="0.25">
      <c r="B1613" t="s">
        <v>13</v>
      </c>
      <c r="C1613" t="s">
        <v>46</v>
      </c>
      <c r="D1613" t="s">
        <v>100</v>
      </c>
      <c r="E1613">
        <v>2028</v>
      </c>
      <c r="F1613" t="s">
        <v>31</v>
      </c>
      <c r="G1613" t="s">
        <v>17</v>
      </c>
      <c r="H1613" t="s">
        <v>18</v>
      </c>
      <c r="I1613" s="8">
        <v>6676857.7083999999</v>
      </c>
      <c r="J1613" s="8">
        <v>3136752.3641345198</v>
      </c>
      <c r="K1613" s="8">
        <f>I1613/1000000</f>
        <v>6.6768577084</v>
      </c>
      <c r="L1613" s="8">
        <f>J1613/1000000</f>
        <v>3.1367523641345199</v>
      </c>
      <c r="M1613" t="s">
        <v>19</v>
      </c>
    </row>
    <row r="1614" spans="2:13" x14ac:dyDescent="0.25">
      <c r="B1614" t="s">
        <v>13</v>
      </c>
      <c r="C1614" t="s">
        <v>46</v>
      </c>
      <c r="D1614" t="s">
        <v>72</v>
      </c>
      <c r="E1614">
        <v>2026</v>
      </c>
      <c r="F1614" t="s">
        <v>31</v>
      </c>
      <c r="G1614" t="s">
        <v>17</v>
      </c>
      <c r="H1614" t="s">
        <v>18</v>
      </c>
      <c r="I1614" s="8">
        <v>24372002.1424</v>
      </c>
      <c r="J1614" s="8">
        <v>8551600</v>
      </c>
      <c r="K1614" s="8">
        <f>I1614/1000000</f>
        <v>24.3720021424</v>
      </c>
      <c r="L1614" s="8">
        <f>J1614/1000000</f>
        <v>8.5516000000000005</v>
      </c>
      <c r="M1614" t="s">
        <v>19</v>
      </c>
    </row>
    <row r="1615" spans="2:13" x14ac:dyDescent="0.25">
      <c r="B1615" t="s">
        <v>13</v>
      </c>
      <c r="C1615" t="s">
        <v>46</v>
      </c>
      <c r="D1615" t="s">
        <v>72</v>
      </c>
      <c r="E1615">
        <v>2029</v>
      </c>
      <c r="F1615" t="s">
        <v>31</v>
      </c>
      <c r="G1615" t="s">
        <v>17</v>
      </c>
      <c r="H1615" t="s">
        <v>18</v>
      </c>
      <c r="I1615" s="8">
        <v>9149427.773</v>
      </c>
      <c r="J1615" s="8">
        <v>4384416.4016749002</v>
      </c>
      <c r="K1615" s="8">
        <f>I1615/1000000</f>
        <v>9.1494277729999993</v>
      </c>
      <c r="L1615" s="8">
        <f>J1615/1000000</f>
        <v>4.3844164016749003</v>
      </c>
      <c r="M1615" t="s">
        <v>19</v>
      </c>
    </row>
    <row r="1616" spans="2:13" x14ac:dyDescent="0.25">
      <c r="B1616" t="s">
        <v>13</v>
      </c>
      <c r="C1616" t="s">
        <v>46</v>
      </c>
      <c r="D1616" t="s">
        <v>72</v>
      </c>
      <c r="E1616">
        <v>2030</v>
      </c>
      <c r="F1616" t="s">
        <v>31</v>
      </c>
      <c r="G1616" t="s">
        <v>17</v>
      </c>
      <c r="H1616" t="s">
        <v>18</v>
      </c>
      <c r="I1616" s="8">
        <v>9310196.0072000008</v>
      </c>
      <c r="J1616" s="8">
        <v>4461456.7260205802</v>
      </c>
      <c r="K1616" s="8">
        <f>I1616/1000000</f>
        <v>9.3101960072000001</v>
      </c>
      <c r="L1616" s="8">
        <f>J1616/1000000</f>
        <v>4.4614567260205797</v>
      </c>
      <c r="M1616" t="s">
        <v>19</v>
      </c>
    </row>
    <row r="1617" spans="2:13" x14ac:dyDescent="0.25">
      <c r="B1617" t="s">
        <v>13</v>
      </c>
      <c r="C1617" t="s">
        <v>46</v>
      </c>
      <c r="D1617" t="s">
        <v>72</v>
      </c>
      <c r="E1617">
        <v>2027</v>
      </c>
      <c r="F1617" t="s">
        <v>31</v>
      </c>
      <c r="G1617" t="s">
        <v>17</v>
      </c>
      <c r="H1617" t="s">
        <v>18</v>
      </c>
      <c r="I1617" s="8">
        <v>16706048.9098</v>
      </c>
      <c r="J1617" s="8">
        <v>6818814.2749717804</v>
      </c>
      <c r="K1617" s="8">
        <f>I1617/1000000</f>
        <v>16.7060489098</v>
      </c>
      <c r="L1617" s="8">
        <f>J1617/1000000</f>
        <v>6.8188142749717802</v>
      </c>
      <c r="M1617" t="s">
        <v>19</v>
      </c>
    </row>
    <row r="1618" spans="2:13" x14ac:dyDescent="0.25">
      <c r="B1618" t="s">
        <v>13</v>
      </c>
      <c r="C1618" t="s">
        <v>46</v>
      </c>
      <c r="D1618" t="s">
        <v>72</v>
      </c>
      <c r="E1618">
        <v>2028</v>
      </c>
      <c r="F1618" t="s">
        <v>31</v>
      </c>
      <c r="G1618" t="s">
        <v>17</v>
      </c>
      <c r="H1618" t="s">
        <v>18</v>
      </c>
      <c r="I1618" s="8">
        <v>11533796.4816</v>
      </c>
      <c r="J1618" s="8">
        <v>4733160.9726731898</v>
      </c>
      <c r="K1618" s="8">
        <f>I1618/1000000</f>
        <v>11.5337964816</v>
      </c>
      <c r="L1618" s="8">
        <f>J1618/1000000</f>
        <v>4.7331609726731898</v>
      </c>
      <c r="M1618" t="s">
        <v>19</v>
      </c>
    </row>
    <row r="1619" spans="2:13" x14ac:dyDescent="0.25">
      <c r="B1619" t="s">
        <v>13</v>
      </c>
      <c r="C1619" t="s">
        <v>46</v>
      </c>
      <c r="D1619" t="s">
        <v>69</v>
      </c>
      <c r="E1619">
        <v>2028</v>
      </c>
      <c r="F1619" t="s">
        <v>31</v>
      </c>
      <c r="G1619" t="s">
        <v>17</v>
      </c>
      <c r="H1619" t="s">
        <v>18</v>
      </c>
      <c r="I1619" s="8">
        <v>7046327.1311999997</v>
      </c>
      <c r="J1619" s="8">
        <v>2690257.5636899802</v>
      </c>
      <c r="K1619" s="8">
        <f>I1619/1000000</f>
        <v>7.0463271312</v>
      </c>
      <c r="L1619" s="8">
        <f>J1619/1000000</f>
        <v>2.6902575636899804</v>
      </c>
      <c r="M1619" t="s">
        <v>19</v>
      </c>
    </row>
    <row r="1620" spans="2:13" x14ac:dyDescent="0.25">
      <c r="B1620" t="s">
        <v>13</v>
      </c>
      <c r="C1620" t="s">
        <v>46</v>
      </c>
      <c r="D1620" t="s">
        <v>15</v>
      </c>
      <c r="E1620">
        <v>2026</v>
      </c>
      <c r="F1620" t="s">
        <v>31</v>
      </c>
      <c r="G1620" t="s">
        <v>17</v>
      </c>
      <c r="H1620" t="s">
        <v>18</v>
      </c>
      <c r="I1620" s="8">
        <v>3562465.0408999999</v>
      </c>
      <c r="J1620" s="8">
        <v>1178510</v>
      </c>
      <c r="K1620" s="8">
        <f>I1620/1000000</f>
        <v>3.5624650408999998</v>
      </c>
      <c r="L1620" s="8">
        <f>J1620/1000000</f>
        <v>1.1785099999999999</v>
      </c>
      <c r="M1620" t="s">
        <v>19</v>
      </c>
    </row>
    <row r="1621" spans="2:13" x14ac:dyDescent="0.25">
      <c r="B1621" t="s">
        <v>13</v>
      </c>
      <c r="C1621" t="s">
        <v>14</v>
      </c>
      <c r="D1621" t="s">
        <v>52</v>
      </c>
      <c r="E1621">
        <v>2029</v>
      </c>
      <c r="F1621" t="s">
        <v>31</v>
      </c>
      <c r="G1621" t="s">
        <v>17</v>
      </c>
      <c r="H1621" t="s">
        <v>18</v>
      </c>
      <c r="I1621" s="8">
        <v>28404315.429400001</v>
      </c>
      <c r="J1621" s="8">
        <v>24635079.3799688</v>
      </c>
      <c r="K1621" s="8">
        <f>I1621/1000000</f>
        <v>28.4043154294</v>
      </c>
      <c r="L1621" s="8">
        <f>J1621/1000000</f>
        <v>24.635079379968801</v>
      </c>
      <c r="M1621" t="s">
        <v>19</v>
      </c>
    </row>
    <row r="1622" spans="2:13" x14ac:dyDescent="0.25">
      <c r="B1622" t="s">
        <v>13</v>
      </c>
      <c r="C1622" t="s">
        <v>46</v>
      </c>
      <c r="D1622" t="s">
        <v>101</v>
      </c>
      <c r="E1622">
        <v>2026</v>
      </c>
      <c r="F1622" t="s">
        <v>31</v>
      </c>
      <c r="G1622" t="s">
        <v>17</v>
      </c>
      <c r="H1622" t="s">
        <v>18</v>
      </c>
      <c r="I1622" s="8">
        <v>3020110.6512000002</v>
      </c>
      <c r="J1622" s="8">
        <v>2734600</v>
      </c>
      <c r="K1622" s="8">
        <f>I1622/1000000</f>
        <v>3.0201106512</v>
      </c>
      <c r="L1622" s="8">
        <f>J1622/1000000</f>
        <v>2.7345999999999999</v>
      </c>
      <c r="M1622" t="s">
        <v>39</v>
      </c>
    </row>
    <row r="1623" spans="2:13" x14ac:dyDescent="0.25">
      <c r="B1623" t="s">
        <v>13</v>
      </c>
      <c r="C1623" t="s">
        <v>46</v>
      </c>
      <c r="D1623" t="s">
        <v>101</v>
      </c>
      <c r="E1623">
        <v>2027</v>
      </c>
      <c r="F1623" t="s">
        <v>31</v>
      </c>
      <c r="G1623" t="s">
        <v>17</v>
      </c>
      <c r="H1623" t="s">
        <v>18</v>
      </c>
      <c r="I1623" s="8">
        <v>2389399.3354000002</v>
      </c>
      <c r="J1623" s="8">
        <v>2163513.9234209801</v>
      </c>
      <c r="K1623" s="8">
        <f>I1623/1000000</f>
        <v>2.3893993354000003</v>
      </c>
      <c r="L1623" s="8">
        <f>J1623/1000000</f>
        <v>2.1635139234209801</v>
      </c>
      <c r="M1623" t="s">
        <v>39</v>
      </c>
    </row>
    <row r="1624" spans="2:13" x14ac:dyDescent="0.25">
      <c r="B1624" t="s">
        <v>13</v>
      </c>
      <c r="C1624" t="s">
        <v>46</v>
      </c>
      <c r="D1624" t="s">
        <v>101</v>
      </c>
      <c r="E1624">
        <v>2028</v>
      </c>
      <c r="F1624" t="s">
        <v>31</v>
      </c>
      <c r="G1624" t="s">
        <v>17</v>
      </c>
      <c r="H1624" t="s">
        <v>18</v>
      </c>
      <c r="I1624" s="8">
        <v>1645506.9463</v>
      </c>
      <c r="J1624" s="8">
        <v>1500711.6439817899</v>
      </c>
      <c r="K1624" s="8">
        <f>I1624/1000000</f>
        <v>1.6455069463000001</v>
      </c>
      <c r="L1624" s="8">
        <f>J1624/1000000</f>
        <v>1.50071164398179</v>
      </c>
      <c r="M1624" t="s">
        <v>39</v>
      </c>
    </row>
    <row r="1625" spans="2:13" x14ac:dyDescent="0.25">
      <c r="B1625" t="s">
        <v>13</v>
      </c>
      <c r="C1625" t="s">
        <v>46</v>
      </c>
      <c r="D1625" t="s">
        <v>101</v>
      </c>
      <c r="E1625">
        <v>2029</v>
      </c>
      <c r="F1625" t="s">
        <v>31</v>
      </c>
      <c r="G1625" t="s">
        <v>17</v>
      </c>
      <c r="H1625" t="s">
        <v>18</v>
      </c>
      <c r="I1625" s="8">
        <v>1519491.3903000001</v>
      </c>
      <c r="J1625" s="8">
        <v>1385784.7439943</v>
      </c>
      <c r="K1625" s="8">
        <f>I1625/1000000</f>
        <v>1.5194913903</v>
      </c>
      <c r="L1625" s="8">
        <f>J1625/1000000</f>
        <v>1.3857847439943001</v>
      </c>
      <c r="M1625" t="s">
        <v>39</v>
      </c>
    </row>
    <row r="1626" spans="2:13" x14ac:dyDescent="0.25">
      <c r="B1626" t="s">
        <v>13</v>
      </c>
      <c r="C1626" t="s">
        <v>46</v>
      </c>
      <c r="D1626" t="s">
        <v>101</v>
      </c>
      <c r="E1626">
        <v>2030</v>
      </c>
      <c r="F1626" t="s">
        <v>31</v>
      </c>
      <c r="G1626" t="s">
        <v>17</v>
      </c>
      <c r="H1626" t="s">
        <v>18</v>
      </c>
      <c r="I1626" s="8">
        <v>1541932.1051</v>
      </c>
      <c r="J1626" s="8">
        <v>1406250.8028414</v>
      </c>
      <c r="K1626" s="8">
        <f>I1626/1000000</f>
        <v>1.5419321051000001</v>
      </c>
      <c r="L1626" s="8">
        <f>J1626/1000000</f>
        <v>1.4062508028414</v>
      </c>
      <c r="M1626" t="s">
        <v>39</v>
      </c>
    </row>
    <row r="1627" spans="2:13" x14ac:dyDescent="0.25">
      <c r="B1627" t="s">
        <v>13</v>
      </c>
      <c r="C1627" t="s">
        <v>14</v>
      </c>
      <c r="D1627" t="s">
        <v>15</v>
      </c>
      <c r="E1627">
        <v>2026</v>
      </c>
      <c r="F1627" t="s">
        <v>32</v>
      </c>
      <c r="G1627" t="s">
        <v>17</v>
      </c>
      <c r="H1627" t="s">
        <v>18</v>
      </c>
      <c r="I1627" s="8">
        <v>1862199.699</v>
      </c>
      <c r="J1627" s="8">
        <v>616040</v>
      </c>
      <c r="K1627" s="8">
        <f>I1627/1000000</f>
        <v>1.862199699</v>
      </c>
      <c r="L1627" s="8">
        <f>J1627/1000000</f>
        <v>0.61604000000000003</v>
      </c>
      <c r="M1627" t="s">
        <v>19</v>
      </c>
    </row>
    <row r="1628" spans="2:13" x14ac:dyDescent="0.25">
      <c r="B1628" t="s">
        <v>13</v>
      </c>
      <c r="C1628" t="s">
        <v>46</v>
      </c>
      <c r="D1628" t="s">
        <v>52</v>
      </c>
      <c r="E1628">
        <v>2026</v>
      </c>
      <c r="F1628" t="s">
        <v>32</v>
      </c>
      <c r="G1628" t="s">
        <v>17</v>
      </c>
      <c r="H1628" t="s">
        <v>18</v>
      </c>
      <c r="I1628" s="8">
        <v>133220.2463</v>
      </c>
      <c r="J1628" s="8">
        <v>132500</v>
      </c>
      <c r="K1628" s="8">
        <f>I1628/1000000</f>
        <v>0.13322024630000001</v>
      </c>
      <c r="L1628" s="8">
        <f>J1628/1000000</f>
        <v>0.13250000000000001</v>
      </c>
      <c r="M1628" t="s">
        <v>19</v>
      </c>
    </row>
    <row r="1629" spans="2:13" x14ac:dyDescent="0.25">
      <c r="B1629" t="s">
        <v>13</v>
      </c>
      <c r="C1629" t="s">
        <v>46</v>
      </c>
      <c r="D1629" t="s">
        <v>52</v>
      </c>
      <c r="E1629">
        <v>2027</v>
      </c>
      <c r="F1629" t="s">
        <v>32</v>
      </c>
      <c r="G1629" t="s">
        <v>17</v>
      </c>
      <c r="H1629" t="s">
        <v>18</v>
      </c>
      <c r="I1629" s="8">
        <v>74057.541400000002</v>
      </c>
      <c r="J1629" s="8">
        <v>70347.965825162406</v>
      </c>
      <c r="K1629" s="8">
        <f>I1629/1000000</f>
        <v>7.4057541399999996E-2</v>
      </c>
      <c r="L1629" s="8">
        <f>J1629/1000000</f>
        <v>7.0347965825162409E-2</v>
      </c>
      <c r="M1629" t="s">
        <v>19</v>
      </c>
    </row>
    <row r="1630" spans="2:13" x14ac:dyDescent="0.25">
      <c r="B1630" t="s">
        <v>13</v>
      </c>
      <c r="C1630" t="s">
        <v>46</v>
      </c>
      <c r="D1630" t="s">
        <v>52</v>
      </c>
      <c r="E1630">
        <v>2028</v>
      </c>
      <c r="F1630" t="s">
        <v>32</v>
      </c>
      <c r="G1630" t="s">
        <v>17</v>
      </c>
      <c r="H1630" t="s">
        <v>18</v>
      </c>
      <c r="I1630" s="8">
        <v>82089.017000000007</v>
      </c>
      <c r="J1630" s="8">
        <v>74875.462552071607</v>
      </c>
      <c r="K1630" s="8">
        <f>I1630/1000000</f>
        <v>8.2089017E-2</v>
      </c>
      <c r="L1630" s="8">
        <f>J1630/1000000</f>
        <v>7.4875462552071601E-2</v>
      </c>
      <c r="M1630" t="s">
        <v>19</v>
      </c>
    </row>
    <row r="1631" spans="2:13" x14ac:dyDescent="0.25">
      <c r="B1631" t="s">
        <v>13</v>
      </c>
      <c r="C1631" t="s">
        <v>46</v>
      </c>
      <c r="D1631" t="s">
        <v>52</v>
      </c>
      <c r="E1631">
        <v>2029</v>
      </c>
      <c r="F1631" t="s">
        <v>32</v>
      </c>
      <c r="G1631" t="s">
        <v>17</v>
      </c>
      <c r="H1631" t="s">
        <v>18</v>
      </c>
      <c r="I1631" s="8">
        <v>90644.730899999995</v>
      </c>
      <c r="J1631" s="8">
        <v>78973.223016512493</v>
      </c>
      <c r="K1631" s="8">
        <f>I1631/1000000</f>
        <v>9.0644730899999998E-2</v>
      </c>
      <c r="L1631" s="8">
        <f>J1631/1000000</f>
        <v>7.8973223016512495E-2</v>
      </c>
      <c r="M1631" t="s">
        <v>19</v>
      </c>
    </row>
    <row r="1632" spans="2:13" x14ac:dyDescent="0.25">
      <c r="B1632" t="s">
        <v>13</v>
      </c>
      <c r="C1632" t="s">
        <v>46</v>
      </c>
      <c r="D1632" t="s">
        <v>52</v>
      </c>
      <c r="E1632">
        <v>2030</v>
      </c>
      <c r="F1632" t="s">
        <v>32</v>
      </c>
      <c r="G1632" t="s">
        <v>17</v>
      </c>
      <c r="H1632" t="s">
        <v>18</v>
      </c>
      <c r="I1632" s="8">
        <v>100594.2997</v>
      </c>
      <c r="J1632" s="8">
        <v>83702.109164382593</v>
      </c>
      <c r="K1632" s="8">
        <f>I1632/1000000</f>
        <v>0.1005942997</v>
      </c>
      <c r="L1632" s="8">
        <f>J1632/1000000</f>
        <v>8.3702109164382588E-2</v>
      </c>
      <c r="M1632" t="s">
        <v>19</v>
      </c>
    </row>
    <row r="1633" spans="2:13" x14ac:dyDescent="0.25">
      <c r="B1633" t="s">
        <v>13</v>
      </c>
      <c r="C1633" t="s">
        <v>46</v>
      </c>
      <c r="D1633" t="s">
        <v>73</v>
      </c>
      <c r="E1633">
        <v>2026</v>
      </c>
      <c r="F1633" t="s">
        <v>32</v>
      </c>
      <c r="G1633" t="s">
        <v>17</v>
      </c>
      <c r="H1633" t="s">
        <v>18</v>
      </c>
      <c r="I1633" s="8">
        <v>216594.8052</v>
      </c>
      <c r="J1633" s="8">
        <v>154300</v>
      </c>
      <c r="K1633" s="8">
        <f>I1633/1000000</f>
        <v>0.21659480519999999</v>
      </c>
      <c r="L1633" s="8">
        <f>J1633/1000000</f>
        <v>0.15429999999999999</v>
      </c>
      <c r="M1633" t="s">
        <v>19</v>
      </c>
    </row>
    <row r="1634" spans="2:13" x14ac:dyDescent="0.25">
      <c r="B1634" t="s">
        <v>13</v>
      </c>
      <c r="C1634" t="s">
        <v>46</v>
      </c>
      <c r="D1634" t="s">
        <v>73</v>
      </c>
      <c r="E1634">
        <v>2027</v>
      </c>
      <c r="F1634" t="s">
        <v>32</v>
      </c>
      <c r="G1634" t="s">
        <v>17</v>
      </c>
      <c r="H1634" t="s">
        <v>18</v>
      </c>
      <c r="I1634" s="8">
        <v>192881.90549999999</v>
      </c>
      <c r="J1634" s="8">
        <v>138342.050110685</v>
      </c>
      <c r="K1634" s="8">
        <f>I1634/1000000</f>
        <v>0.19288190550000001</v>
      </c>
      <c r="L1634" s="8">
        <f>J1634/1000000</f>
        <v>0.13834205011068501</v>
      </c>
      <c r="M1634" t="s">
        <v>19</v>
      </c>
    </row>
    <row r="1635" spans="2:13" x14ac:dyDescent="0.25">
      <c r="B1635" t="s">
        <v>13</v>
      </c>
      <c r="C1635" t="s">
        <v>46</v>
      </c>
      <c r="D1635" t="s">
        <v>73</v>
      </c>
      <c r="E1635">
        <v>2028</v>
      </c>
      <c r="F1635" t="s">
        <v>32</v>
      </c>
      <c r="G1635" t="s">
        <v>17</v>
      </c>
      <c r="H1635" t="s">
        <v>18</v>
      </c>
      <c r="I1635" s="8">
        <v>156520.57070000001</v>
      </c>
      <c r="J1635" s="8">
        <v>112321.332015543</v>
      </c>
      <c r="K1635" s="8">
        <f>I1635/1000000</f>
        <v>0.1565205707</v>
      </c>
      <c r="L1635" s="8">
        <f>J1635/1000000</f>
        <v>0.11232133201554299</v>
      </c>
      <c r="M1635" t="s">
        <v>19</v>
      </c>
    </row>
    <row r="1636" spans="2:13" x14ac:dyDescent="0.25">
      <c r="B1636" t="s">
        <v>13</v>
      </c>
      <c r="C1636" t="s">
        <v>46</v>
      </c>
      <c r="D1636" t="s">
        <v>73</v>
      </c>
      <c r="E1636">
        <v>2029</v>
      </c>
      <c r="F1636" t="s">
        <v>32</v>
      </c>
      <c r="G1636" t="s">
        <v>17</v>
      </c>
      <c r="H1636" t="s">
        <v>18</v>
      </c>
      <c r="I1636" s="8">
        <v>118554.9811</v>
      </c>
      <c r="J1636" s="8">
        <v>85076.706494666505</v>
      </c>
      <c r="K1636" s="8">
        <f>I1636/1000000</f>
        <v>0.1185549811</v>
      </c>
      <c r="L1636" s="8">
        <f>J1636/1000000</f>
        <v>8.5076706494666504E-2</v>
      </c>
      <c r="M1636" t="s">
        <v>19</v>
      </c>
    </row>
    <row r="1637" spans="2:13" x14ac:dyDescent="0.25">
      <c r="B1637" t="s">
        <v>13</v>
      </c>
      <c r="C1637" t="s">
        <v>46</v>
      </c>
      <c r="D1637" t="s">
        <v>73</v>
      </c>
      <c r="E1637">
        <v>2030</v>
      </c>
      <c r="F1637" t="s">
        <v>32</v>
      </c>
      <c r="G1637" t="s">
        <v>17</v>
      </c>
      <c r="H1637" t="s">
        <v>18</v>
      </c>
      <c r="I1637" s="8">
        <v>79973.8986</v>
      </c>
      <c r="J1637" s="8">
        <v>57390.388269304</v>
      </c>
      <c r="K1637" s="8">
        <f>I1637/1000000</f>
        <v>7.9973898599999996E-2</v>
      </c>
      <c r="L1637" s="8">
        <f>J1637/1000000</f>
        <v>5.7390388269303996E-2</v>
      </c>
      <c r="M1637" t="s">
        <v>19</v>
      </c>
    </row>
    <row r="1638" spans="2:13" x14ac:dyDescent="0.25">
      <c r="B1638" t="s">
        <v>13</v>
      </c>
      <c r="C1638" t="s">
        <v>46</v>
      </c>
      <c r="D1638" t="s">
        <v>70</v>
      </c>
      <c r="E1638">
        <v>2026</v>
      </c>
      <c r="F1638" t="s">
        <v>32</v>
      </c>
      <c r="G1638" t="s">
        <v>17</v>
      </c>
      <c r="H1638" t="s">
        <v>18</v>
      </c>
      <c r="I1638" s="8">
        <v>854407.83940000006</v>
      </c>
      <c r="J1638" s="8">
        <v>497000</v>
      </c>
      <c r="K1638" s="8">
        <f>I1638/1000000</f>
        <v>0.85440783940000009</v>
      </c>
      <c r="L1638" s="8">
        <f>J1638/1000000</f>
        <v>0.497</v>
      </c>
      <c r="M1638" t="s">
        <v>19</v>
      </c>
    </row>
    <row r="1639" spans="2:13" x14ac:dyDescent="0.25">
      <c r="B1639" t="s">
        <v>13</v>
      </c>
      <c r="C1639" t="s">
        <v>46</v>
      </c>
      <c r="D1639" t="s">
        <v>70</v>
      </c>
      <c r="E1639">
        <v>2027</v>
      </c>
      <c r="F1639" t="s">
        <v>32</v>
      </c>
      <c r="G1639" t="s">
        <v>17</v>
      </c>
      <c r="H1639" t="s">
        <v>18</v>
      </c>
      <c r="I1639" s="8">
        <v>590441.86259999999</v>
      </c>
      <c r="J1639" s="8">
        <v>422663.387669241</v>
      </c>
      <c r="K1639" s="8">
        <f>I1639/1000000</f>
        <v>0.59044186259999998</v>
      </c>
      <c r="L1639" s="8">
        <f>J1639/1000000</f>
        <v>0.422663387669241</v>
      </c>
      <c r="M1639" t="s">
        <v>19</v>
      </c>
    </row>
    <row r="1640" spans="2:13" x14ac:dyDescent="0.25">
      <c r="B1640" t="s">
        <v>13</v>
      </c>
      <c r="C1640" t="s">
        <v>46</v>
      </c>
      <c r="D1640" t="s">
        <v>70</v>
      </c>
      <c r="E1640">
        <v>2028</v>
      </c>
      <c r="F1640" t="s">
        <v>32</v>
      </c>
      <c r="G1640" t="s">
        <v>17</v>
      </c>
      <c r="H1640" t="s">
        <v>18</v>
      </c>
      <c r="I1640" s="8">
        <v>608180.96909999999</v>
      </c>
      <c r="J1640" s="8">
        <v>430488.17763559998</v>
      </c>
      <c r="K1640" s="8">
        <f>I1640/1000000</f>
        <v>0.60818096909999997</v>
      </c>
      <c r="L1640" s="8">
        <f>J1640/1000000</f>
        <v>0.43048817763559999</v>
      </c>
      <c r="M1640" t="s">
        <v>19</v>
      </c>
    </row>
    <row r="1641" spans="2:13" x14ac:dyDescent="0.25">
      <c r="B1641" t="s">
        <v>13</v>
      </c>
      <c r="C1641" t="s">
        <v>46</v>
      </c>
      <c r="D1641" t="s">
        <v>70</v>
      </c>
      <c r="E1641">
        <v>2029</v>
      </c>
      <c r="F1641" t="s">
        <v>32</v>
      </c>
      <c r="G1641" t="s">
        <v>17</v>
      </c>
      <c r="H1641" t="s">
        <v>18</v>
      </c>
      <c r="I1641" s="8">
        <v>693053.04130000004</v>
      </c>
      <c r="J1641" s="8">
        <v>435858.69515850901</v>
      </c>
      <c r="K1641" s="8">
        <f>I1641/1000000</f>
        <v>0.69305304130000001</v>
      </c>
      <c r="L1641" s="8">
        <f>J1641/1000000</f>
        <v>0.435858695158509</v>
      </c>
      <c r="M1641" t="s">
        <v>19</v>
      </c>
    </row>
    <row r="1642" spans="2:13" x14ac:dyDescent="0.25">
      <c r="B1642" t="s">
        <v>13</v>
      </c>
      <c r="C1642" t="s">
        <v>46</v>
      </c>
      <c r="D1642" t="s">
        <v>70</v>
      </c>
      <c r="E1642">
        <v>2030</v>
      </c>
      <c r="F1642" t="s">
        <v>32</v>
      </c>
      <c r="G1642" t="s">
        <v>17</v>
      </c>
      <c r="H1642" t="s">
        <v>18</v>
      </c>
      <c r="I1642" s="8">
        <v>566539.88970000006</v>
      </c>
      <c r="J1642" s="8">
        <v>355981.24869436002</v>
      </c>
      <c r="K1642" s="8">
        <f>I1642/1000000</f>
        <v>0.56653988970000002</v>
      </c>
      <c r="L1642" s="8">
        <f>J1642/1000000</f>
        <v>0.35598124869436004</v>
      </c>
      <c r="M1642" t="s">
        <v>19</v>
      </c>
    </row>
    <row r="1643" spans="2:13" x14ac:dyDescent="0.25">
      <c r="B1643" t="s">
        <v>13</v>
      </c>
      <c r="C1643" t="s">
        <v>46</v>
      </c>
      <c r="D1643" t="s">
        <v>15</v>
      </c>
      <c r="E1643">
        <v>2027</v>
      </c>
      <c r="F1643" t="s">
        <v>32</v>
      </c>
      <c r="G1643" t="s">
        <v>17</v>
      </c>
      <c r="H1643" t="s">
        <v>18</v>
      </c>
      <c r="I1643" s="8">
        <v>126532.14969999999</v>
      </c>
      <c r="J1643" s="8">
        <v>41858.4890021053</v>
      </c>
      <c r="K1643" s="8">
        <f>I1643/1000000</f>
        <v>0.12653214969999999</v>
      </c>
      <c r="L1643" s="8">
        <f>J1643/1000000</f>
        <v>4.1858489002105301E-2</v>
      </c>
      <c r="M1643" t="s">
        <v>19</v>
      </c>
    </row>
    <row r="1644" spans="2:13" x14ac:dyDescent="0.25">
      <c r="B1644" t="s">
        <v>13</v>
      </c>
      <c r="C1644" t="s">
        <v>46</v>
      </c>
      <c r="D1644" t="s">
        <v>15</v>
      </c>
      <c r="E1644">
        <v>2028</v>
      </c>
      <c r="F1644" t="s">
        <v>32</v>
      </c>
      <c r="G1644" t="s">
        <v>17</v>
      </c>
      <c r="H1644" t="s">
        <v>18</v>
      </c>
      <c r="I1644" s="8">
        <v>96376.022700000001</v>
      </c>
      <c r="J1644" s="8">
        <v>32071.975749473699</v>
      </c>
      <c r="K1644" s="8">
        <f>I1644/1000000</f>
        <v>9.6376022700000008E-2</v>
      </c>
      <c r="L1644" s="8">
        <f>J1644/1000000</f>
        <v>3.2071975749473701E-2</v>
      </c>
      <c r="M1644" t="s">
        <v>19</v>
      </c>
    </row>
    <row r="1645" spans="2:13" x14ac:dyDescent="0.25">
      <c r="B1645" t="s">
        <v>13</v>
      </c>
      <c r="C1645" t="s">
        <v>46</v>
      </c>
      <c r="D1645" t="s">
        <v>15</v>
      </c>
      <c r="E1645">
        <v>2029</v>
      </c>
      <c r="F1645" t="s">
        <v>32</v>
      </c>
      <c r="G1645" t="s">
        <v>17</v>
      </c>
      <c r="H1645" t="s">
        <v>18</v>
      </c>
      <c r="I1645" s="8">
        <v>65621.871299999999</v>
      </c>
      <c r="J1645" s="8">
        <v>21837.621082105299</v>
      </c>
      <c r="K1645" s="8">
        <f>I1645/1000000</f>
        <v>6.5621871299999995E-2</v>
      </c>
      <c r="L1645" s="8">
        <f>J1645/1000000</f>
        <v>2.18376210821053E-2</v>
      </c>
      <c r="M1645" t="s">
        <v>19</v>
      </c>
    </row>
    <row r="1646" spans="2:13" x14ac:dyDescent="0.25">
      <c r="B1646" t="s">
        <v>13</v>
      </c>
      <c r="C1646" t="s">
        <v>46</v>
      </c>
      <c r="D1646" t="s">
        <v>15</v>
      </c>
      <c r="E1646">
        <v>2030</v>
      </c>
      <c r="F1646" t="s">
        <v>32</v>
      </c>
      <c r="G1646" t="s">
        <v>17</v>
      </c>
      <c r="H1646" t="s">
        <v>18</v>
      </c>
      <c r="I1646" s="8">
        <v>33442.9732</v>
      </c>
      <c r="J1646" s="8">
        <v>11129.1397578947</v>
      </c>
      <c r="K1646" s="8">
        <f>I1646/1000000</f>
        <v>3.3442973200000004E-2</v>
      </c>
      <c r="L1646" s="8">
        <f>J1646/1000000</f>
        <v>1.11291397578947E-2</v>
      </c>
      <c r="M1646" t="s">
        <v>19</v>
      </c>
    </row>
    <row r="1647" spans="2:13" x14ac:dyDescent="0.25">
      <c r="B1647" t="s">
        <v>13</v>
      </c>
      <c r="C1647" t="s">
        <v>46</v>
      </c>
      <c r="D1647" t="s">
        <v>72</v>
      </c>
      <c r="E1647">
        <v>2026</v>
      </c>
      <c r="F1647" t="s">
        <v>32</v>
      </c>
      <c r="G1647" t="s">
        <v>17</v>
      </c>
      <c r="H1647" t="s">
        <v>18</v>
      </c>
      <c r="I1647" s="8">
        <v>239.11949999999999</v>
      </c>
      <c r="J1647" s="8">
        <v>0</v>
      </c>
      <c r="K1647" s="8">
        <f>I1647/1000000</f>
        <v>2.3911949999999999E-4</v>
      </c>
      <c r="L1647" s="8">
        <f>J1647/1000000</f>
        <v>0</v>
      </c>
      <c r="M1647" t="s">
        <v>19</v>
      </c>
    </row>
    <row r="1648" spans="2:13" x14ac:dyDescent="0.25">
      <c r="B1648" t="s">
        <v>13</v>
      </c>
      <c r="C1648" t="s">
        <v>46</v>
      </c>
      <c r="D1648" t="s">
        <v>72</v>
      </c>
      <c r="E1648">
        <v>2027</v>
      </c>
      <c r="F1648" t="s">
        <v>32</v>
      </c>
      <c r="G1648" t="s">
        <v>17</v>
      </c>
      <c r="H1648" t="s">
        <v>18</v>
      </c>
      <c r="I1648" s="8">
        <v>491427.05310000002</v>
      </c>
      <c r="J1648" s="8">
        <v>138342.050110685</v>
      </c>
      <c r="K1648" s="8">
        <f>I1648/1000000</f>
        <v>0.49142705310000001</v>
      </c>
      <c r="L1648" s="8">
        <f>J1648/1000000</f>
        <v>0.13834205011068501</v>
      </c>
      <c r="M1648" t="s">
        <v>19</v>
      </c>
    </row>
    <row r="1649" spans="2:13" x14ac:dyDescent="0.25">
      <c r="B1649" t="s">
        <v>13</v>
      </c>
      <c r="C1649" t="s">
        <v>46</v>
      </c>
      <c r="D1649" t="s">
        <v>72</v>
      </c>
      <c r="E1649">
        <v>2028</v>
      </c>
      <c r="F1649" t="s">
        <v>32</v>
      </c>
      <c r="G1649" t="s">
        <v>17</v>
      </c>
      <c r="H1649" t="s">
        <v>18</v>
      </c>
      <c r="I1649" s="8">
        <v>393641.43229999999</v>
      </c>
      <c r="J1649" s="8">
        <v>112321.332015543</v>
      </c>
      <c r="K1649" s="8">
        <f>I1649/1000000</f>
        <v>0.39364143229999998</v>
      </c>
      <c r="L1649" s="8">
        <f>J1649/1000000</f>
        <v>0.11232133201554299</v>
      </c>
      <c r="M1649" t="s">
        <v>19</v>
      </c>
    </row>
    <row r="1650" spans="2:13" x14ac:dyDescent="0.25">
      <c r="B1650" t="s">
        <v>13</v>
      </c>
      <c r="C1650" t="s">
        <v>46</v>
      </c>
      <c r="D1650" t="s">
        <v>72</v>
      </c>
      <c r="E1650">
        <v>2029</v>
      </c>
      <c r="F1650" t="s">
        <v>32</v>
      </c>
      <c r="G1650" t="s">
        <v>17</v>
      </c>
      <c r="H1650" t="s">
        <v>18</v>
      </c>
      <c r="I1650" s="8">
        <v>187560.17689999999</v>
      </c>
      <c r="J1650" s="8">
        <v>85076.706494666505</v>
      </c>
      <c r="K1650" s="8">
        <f>I1650/1000000</f>
        <v>0.18756017689999999</v>
      </c>
      <c r="L1650" s="8">
        <f>J1650/1000000</f>
        <v>8.5076706494666504E-2</v>
      </c>
      <c r="M1650" t="s">
        <v>19</v>
      </c>
    </row>
    <row r="1651" spans="2:13" x14ac:dyDescent="0.25">
      <c r="B1651" t="s">
        <v>13</v>
      </c>
      <c r="C1651" t="s">
        <v>46</v>
      </c>
      <c r="D1651" t="s">
        <v>72</v>
      </c>
      <c r="E1651">
        <v>2030</v>
      </c>
      <c r="F1651" t="s">
        <v>32</v>
      </c>
      <c r="G1651" t="s">
        <v>17</v>
      </c>
      <c r="H1651" t="s">
        <v>18</v>
      </c>
      <c r="I1651" s="8">
        <v>126522.8971</v>
      </c>
      <c r="J1651" s="8">
        <v>57390.388269304</v>
      </c>
      <c r="K1651" s="8">
        <f>I1651/1000000</f>
        <v>0.1265228971</v>
      </c>
      <c r="L1651" s="8">
        <f>J1651/1000000</f>
        <v>5.7390388269303996E-2</v>
      </c>
      <c r="M1651" t="s">
        <v>19</v>
      </c>
    </row>
    <row r="1652" spans="2:13" x14ac:dyDescent="0.25">
      <c r="B1652" t="s">
        <v>13</v>
      </c>
      <c r="C1652" t="s">
        <v>46</v>
      </c>
      <c r="D1652" t="s">
        <v>15</v>
      </c>
      <c r="E1652">
        <v>2026</v>
      </c>
      <c r="F1652" t="s">
        <v>32</v>
      </c>
      <c r="G1652" t="s">
        <v>17</v>
      </c>
      <c r="H1652" t="s">
        <v>18</v>
      </c>
      <c r="I1652" s="8">
        <v>62180.124000000003</v>
      </c>
      <c r="J1652" s="8">
        <v>20570</v>
      </c>
      <c r="K1652" s="8">
        <f>I1652/1000000</f>
        <v>6.2180124000000003E-2</v>
      </c>
      <c r="L1652" s="8">
        <f>J1652/1000000</f>
        <v>2.0570000000000001E-2</v>
      </c>
      <c r="M1652" t="s">
        <v>19</v>
      </c>
    </row>
    <row r="1653" spans="2:13" x14ac:dyDescent="0.25">
      <c r="B1653" t="s">
        <v>13</v>
      </c>
      <c r="C1653" t="s">
        <v>14</v>
      </c>
      <c r="D1653" t="s">
        <v>52</v>
      </c>
      <c r="E1653">
        <v>2027</v>
      </c>
      <c r="F1653" t="s">
        <v>32</v>
      </c>
      <c r="G1653" t="s">
        <v>17</v>
      </c>
      <c r="H1653" t="s">
        <v>18</v>
      </c>
      <c r="I1653" s="8">
        <v>983096.74860000005</v>
      </c>
      <c r="J1653" s="8">
        <v>929129.13119502296</v>
      </c>
      <c r="K1653" s="8">
        <f>I1653/1000000</f>
        <v>0.98309674860000007</v>
      </c>
      <c r="L1653" s="8">
        <f>J1653/1000000</f>
        <v>0.92912913119502294</v>
      </c>
      <c r="M1653" t="s">
        <v>19</v>
      </c>
    </row>
    <row r="1654" spans="2:13" x14ac:dyDescent="0.25">
      <c r="B1654" t="s">
        <v>13</v>
      </c>
      <c r="C1654" t="s">
        <v>14</v>
      </c>
      <c r="D1654" t="s">
        <v>52</v>
      </c>
      <c r="E1654">
        <v>2030</v>
      </c>
      <c r="F1654" t="s">
        <v>32</v>
      </c>
      <c r="G1654" t="s">
        <v>17</v>
      </c>
      <c r="H1654" t="s">
        <v>18</v>
      </c>
      <c r="I1654" s="8">
        <v>1012069.9528</v>
      </c>
      <c r="J1654" s="8">
        <v>838482.80174999998</v>
      </c>
      <c r="K1654" s="8">
        <f>I1654/1000000</f>
        <v>1.0120699527999999</v>
      </c>
      <c r="L1654" s="8">
        <f>J1654/1000000</f>
        <v>0.83848280175000001</v>
      </c>
      <c r="M1654" t="s">
        <v>19</v>
      </c>
    </row>
    <row r="1655" spans="2:13" x14ac:dyDescent="0.25">
      <c r="B1655" t="s">
        <v>13</v>
      </c>
      <c r="C1655" t="s">
        <v>14</v>
      </c>
      <c r="D1655" t="s">
        <v>15</v>
      </c>
      <c r="E1655">
        <v>2029</v>
      </c>
      <c r="F1655" t="s">
        <v>35</v>
      </c>
      <c r="G1655" t="s">
        <v>17</v>
      </c>
      <c r="H1655" t="s">
        <v>18</v>
      </c>
      <c r="I1655" s="8">
        <v>2459733.8607000001</v>
      </c>
      <c r="J1655" s="8">
        <v>817833.2</v>
      </c>
      <c r="K1655" s="8">
        <f>I1655/1000000</f>
        <v>2.4597338607000001</v>
      </c>
      <c r="L1655" s="8">
        <f>J1655/1000000</f>
        <v>0.81783319999999993</v>
      </c>
      <c r="M1655" t="s">
        <v>19</v>
      </c>
    </row>
    <row r="1656" spans="2:13" x14ac:dyDescent="0.25">
      <c r="B1656" t="s">
        <v>13</v>
      </c>
      <c r="C1656" t="s">
        <v>46</v>
      </c>
      <c r="D1656" t="s">
        <v>52</v>
      </c>
      <c r="E1656">
        <v>2027</v>
      </c>
      <c r="F1656" t="s">
        <v>35</v>
      </c>
      <c r="G1656" t="s">
        <v>17</v>
      </c>
      <c r="H1656" t="s">
        <v>18</v>
      </c>
      <c r="I1656" s="8">
        <v>1059548.5042999999</v>
      </c>
      <c r="J1656" s="8">
        <v>987393.81177657598</v>
      </c>
      <c r="K1656" s="8">
        <f>I1656/1000000</f>
        <v>1.0595485042999999</v>
      </c>
      <c r="L1656" s="8">
        <f>J1656/1000000</f>
        <v>0.98739381177657604</v>
      </c>
      <c r="M1656" t="s">
        <v>19</v>
      </c>
    </row>
    <row r="1657" spans="2:13" x14ac:dyDescent="0.25">
      <c r="B1657" t="s">
        <v>13</v>
      </c>
      <c r="C1657" t="s">
        <v>46</v>
      </c>
      <c r="D1657" t="s">
        <v>52</v>
      </c>
      <c r="E1657">
        <v>2026</v>
      </c>
      <c r="F1657" t="s">
        <v>35</v>
      </c>
      <c r="G1657" t="s">
        <v>17</v>
      </c>
      <c r="H1657" t="s">
        <v>18</v>
      </c>
      <c r="I1657" s="8">
        <v>915726.1936</v>
      </c>
      <c r="J1657" s="8">
        <v>901000</v>
      </c>
      <c r="K1657" s="8">
        <f>I1657/1000000</f>
        <v>0.91572619359999996</v>
      </c>
      <c r="L1657" s="8">
        <f>J1657/1000000</f>
        <v>0.90100000000000002</v>
      </c>
      <c r="M1657" t="s">
        <v>19</v>
      </c>
    </row>
    <row r="1658" spans="2:13" x14ac:dyDescent="0.25">
      <c r="B1658" t="s">
        <v>13</v>
      </c>
      <c r="C1658" t="s">
        <v>46</v>
      </c>
      <c r="D1658" t="s">
        <v>52</v>
      </c>
      <c r="E1658">
        <v>2028</v>
      </c>
      <c r="F1658" t="s">
        <v>35</v>
      </c>
      <c r="G1658" t="s">
        <v>17</v>
      </c>
      <c r="H1658" t="s">
        <v>18</v>
      </c>
      <c r="I1658" s="8">
        <v>1171855.2005</v>
      </c>
      <c r="J1658" s="8">
        <v>1050706.3782845601</v>
      </c>
      <c r="K1658" s="8">
        <f>I1658/1000000</f>
        <v>1.1718552005</v>
      </c>
      <c r="L1658" s="8">
        <f>J1658/1000000</f>
        <v>1.05070637828456</v>
      </c>
      <c r="M1658" t="s">
        <v>19</v>
      </c>
    </row>
    <row r="1659" spans="2:13" x14ac:dyDescent="0.25">
      <c r="B1659" t="s">
        <v>13</v>
      </c>
      <c r="C1659" t="s">
        <v>46</v>
      </c>
      <c r="D1659" t="s">
        <v>52</v>
      </c>
      <c r="E1659">
        <v>2029</v>
      </c>
      <c r="F1659" t="s">
        <v>35</v>
      </c>
      <c r="G1659" t="s">
        <v>17</v>
      </c>
      <c r="H1659" t="s">
        <v>18</v>
      </c>
      <c r="I1659" s="8">
        <v>1289843.5977</v>
      </c>
      <c r="J1659" s="8">
        <v>1106655.1217763301</v>
      </c>
      <c r="K1659" s="8">
        <f>I1659/1000000</f>
        <v>1.2898435977</v>
      </c>
      <c r="L1659" s="8">
        <f>J1659/1000000</f>
        <v>1.1066551217763301</v>
      </c>
      <c r="M1659" t="s">
        <v>19</v>
      </c>
    </row>
    <row r="1660" spans="2:13" x14ac:dyDescent="0.25">
      <c r="B1660" t="s">
        <v>13</v>
      </c>
      <c r="C1660" t="s">
        <v>46</v>
      </c>
      <c r="D1660" t="s">
        <v>52</v>
      </c>
      <c r="E1660">
        <v>2030</v>
      </c>
      <c r="F1660" t="s">
        <v>35</v>
      </c>
      <c r="G1660" t="s">
        <v>17</v>
      </c>
      <c r="H1660" t="s">
        <v>18</v>
      </c>
      <c r="I1660" s="8">
        <v>1418512.3056999999</v>
      </c>
      <c r="J1660" s="8">
        <v>1164209.17514422</v>
      </c>
      <c r="K1660" s="8">
        <f>I1660/1000000</f>
        <v>1.4185123057</v>
      </c>
      <c r="L1660" s="8">
        <f>J1660/1000000</f>
        <v>1.1642091751442201</v>
      </c>
      <c r="M1660" t="s">
        <v>19</v>
      </c>
    </row>
    <row r="1661" spans="2:13" x14ac:dyDescent="0.25">
      <c r="B1661" t="s">
        <v>13</v>
      </c>
      <c r="C1661" t="s">
        <v>46</v>
      </c>
      <c r="D1661" t="s">
        <v>69</v>
      </c>
      <c r="E1661">
        <v>2028</v>
      </c>
      <c r="F1661" t="s">
        <v>35</v>
      </c>
      <c r="G1661" t="s">
        <v>17</v>
      </c>
      <c r="H1661" t="s">
        <v>18</v>
      </c>
      <c r="I1661" s="8">
        <v>8278062.7932000002</v>
      </c>
      <c r="J1661" s="8">
        <v>3155605.2045758101</v>
      </c>
      <c r="K1661" s="8">
        <f>I1661/1000000</f>
        <v>8.2780627932000002</v>
      </c>
      <c r="L1661" s="8">
        <f>J1661/1000000</f>
        <v>3.1556052045758101</v>
      </c>
      <c r="M1661" t="s">
        <v>19</v>
      </c>
    </row>
    <row r="1662" spans="2:13" x14ac:dyDescent="0.25">
      <c r="B1662" t="s">
        <v>13</v>
      </c>
      <c r="C1662" t="s">
        <v>46</v>
      </c>
      <c r="D1662" t="s">
        <v>69</v>
      </c>
      <c r="E1662">
        <v>2029</v>
      </c>
      <c r="F1662" t="s">
        <v>35</v>
      </c>
      <c r="G1662" t="s">
        <v>17</v>
      </c>
      <c r="H1662" t="s">
        <v>18</v>
      </c>
      <c r="I1662" s="8">
        <v>6624476.1058999998</v>
      </c>
      <c r="J1662" s="8">
        <v>2894163.96622848</v>
      </c>
      <c r="K1662" s="8">
        <f>I1662/1000000</f>
        <v>6.6244761058999995</v>
      </c>
      <c r="L1662" s="8">
        <f>J1662/1000000</f>
        <v>2.8941639662284802</v>
      </c>
      <c r="M1662" t="s">
        <v>19</v>
      </c>
    </row>
    <row r="1663" spans="2:13" x14ac:dyDescent="0.25">
      <c r="B1663" t="s">
        <v>13</v>
      </c>
      <c r="C1663" t="s">
        <v>46</v>
      </c>
      <c r="D1663" t="s">
        <v>69</v>
      </c>
      <c r="E1663">
        <v>2030</v>
      </c>
      <c r="F1663" t="s">
        <v>35</v>
      </c>
      <c r="G1663" t="s">
        <v>17</v>
      </c>
      <c r="H1663" t="s">
        <v>18</v>
      </c>
      <c r="I1663" s="8">
        <v>6770762.5191000002</v>
      </c>
      <c r="J1663" s="8">
        <v>2951187.6701862598</v>
      </c>
      <c r="K1663" s="8">
        <f>I1663/1000000</f>
        <v>6.7707625190999998</v>
      </c>
      <c r="L1663" s="8">
        <f>J1663/1000000</f>
        <v>2.9511876701862598</v>
      </c>
      <c r="M1663" t="s">
        <v>19</v>
      </c>
    </row>
    <row r="1664" spans="2:13" x14ac:dyDescent="0.25">
      <c r="B1664" t="s">
        <v>13</v>
      </c>
      <c r="C1664" t="s">
        <v>46</v>
      </c>
      <c r="D1664" t="s">
        <v>73</v>
      </c>
      <c r="E1664">
        <v>2026</v>
      </c>
      <c r="F1664" t="s">
        <v>35</v>
      </c>
      <c r="G1664" t="s">
        <v>17</v>
      </c>
      <c r="H1664" t="s">
        <v>18</v>
      </c>
      <c r="I1664" s="8">
        <v>2204665.5436</v>
      </c>
      <c r="J1664" s="8">
        <v>2308200</v>
      </c>
      <c r="K1664" s="8">
        <f>I1664/1000000</f>
        <v>2.2046655436</v>
      </c>
      <c r="L1664" s="8">
        <f>J1664/1000000</f>
        <v>2.3081999999999998</v>
      </c>
      <c r="M1664" t="s">
        <v>19</v>
      </c>
    </row>
    <row r="1665" spans="2:13" x14ac:dyDescent="0.25">
      <c r="B1665" t="s">
        <v>13</v>
      </c>
      <c r="C1665" t="s">
        <v>46</v>
      </c>
      <c r="D1665" t="s">
        <v>73</v>
      </c>
      <c r="E1665">
        <v>2027</v>
      </c>
      <c r="F1665" t="s">
        <v>35</v>
      </c>
      <c r="G1665" t="s">
        <v>17</v>
      </c>
      <c r="H1665" t="s">
        <v>18</v>
      </c>
      <c r="I1665" s="8">
        <v>917064.81880000001</v>
      </c>
      <c r="J1665" s="8">
        <v>962949.78503397002</v>
      </c>
      <c r="K1665" s="8">
        <f>I1665/1000000</f>
        <v>0.91706481880000001</v>
      </c>
      <c r="L1665" s="8">
        <f>J1665/1000000</f>
        <v>0.96294978503397</v>
      </c>
      <c r="M1665" t="s">
        <v>19</v>
      </c>
    </row>
    <row r="1666" spans="2:13" x14ac:dyDescent="0.25">
      <c r="B1666" t="s">
        <v>13</v>
      </c>
      <c r="C1666" t="s">
        <v>46</v>
      </c>
      <c r="D1666" t="s">
        <v>70</v>
      </c>
      <c r="E1666">
        <v>2026</v>
      </c>
      <c r="F1666" t="s">
        <v>35</v>
      </c>
      <c r="G1666" t="s">
        <v>17</v>
      </c>
      <c r="H1666" t="s">
        <v>18</v>
      </c>
      <c r="I1666" s="8">
        <v>3105173.3283000002</v>
      </c>
      <c r="J1666" s="8">
        <v>1524000</v>
      </c>
      <c r="K1666" s="8">
        <f>I1666/1000000</f>
        <v>3.1051733283000003</v>
      </c>
      <c r="L1666" s="8">
        <f>J1666/1000000</f>
        <v>1.524</v>
      </c>
      <c r="M1666" t="s">
        <v>19</v>
      </c>
    </row>
    <row r="1667" spans="2:13" x14ac:dyDescent="0.25">
      <c r="B1667" t="s">
        <v>13</v>
      </c>
      <c r="C1667" t="s">
        <v>46</v>
      </c>
      <c r="D1667" t="s">
        <v>70</v>
      </c>
      <c r="E1667">
        <v>2027</v>
      </c>
      <c r="F1667" t="s">
        <v>35</v>
      </c>
      <c r="G1667" t="s">
        <v>17</v>
      </c>
      <c r="H1667" t="s">
        <v>18</v>
      </c>
      <c r="I1667" s="8">
        <v>863998.54500000004</v>
      </c>
      <c r="J1667" s="8">
        <v>635285.89741343702</v>
      </c>
      <c r="K1667" s="8">
        <f>I1667/1000000</f>
        <v>0.86399854500000006</v>
      </c>
      <c r="L1667" s="8">
        <f>J1667/1000000</f>
        <v>0.635285897413437</v>
      </c>
      <c r="M1667" t="s">
        <v>19</v>
      </c>
    </row>
    <row r="1668" spans="2:13" x14ac:dyDescent="0.25">
      <c r="B1668" t="s">
        <v>13</v>
      </c>
      <c r="C1668" t="s">
        <v>46</v>
      </c>
      <c r="D1668" t="s">
        <v>15</v>
      </c>
      <c r="E1668">
        <v>2030</v>
      </c>
      <c r="F1668" t="s">
        <v>35</v>
      </c>
      <c r="G1668" t="s">
        <v>17</v>
      </c>
      <c r="H1668" t="s">
        <v>18</v>
      </c>
      <c r="I1668" s="8">
        <v>595333.05480000004</v>
      </c>
      <c r="J1668" s="8">
        <v>197977.47157894701</v>
      </c>
      <c r="K1668" s="8">
        <f>I1668/1000000</f>
        <v>0.59533305480000009</v>
      </c>
      <c r="L1668" s="8">
        <f>J1668/1000000</f>
        <v>0.19797747157894702</v>
      </c>
      <c r="M1668" t="s">
        <v>19</v>
      </c>
    </row>
    <row r="1669" spans="2:13" x14ac:dyDescent="0.25">
      <c r="B1669" t="s">
        <v>13</v>
      </c>
      <c r="C1669" t="s">
        <v>46</v>
      </c>
      <c r="D1669" t="s">
        <v>100</v>
      </c>
      <c r="E1669">
        <v>2028</v>
      </c>
      <c r="F1669" t="s">
        <v>35</v>
      </c>
      <c r="G1669" t="s">
        <v>17</v>
      </c>
      <c r="H1669" t="s">
        <v>18</v>
      </c>
      <c r="I1669" s="8">
        <v>1190888.27</v>
      </c>
      <c r="J1669" s="8">
        <v>1240508.61458333</v>
      </c>
      <c r="K1669" s="8">
        <f>I1669/1000000</f>
        <v>1.1908882700000001</v>
      </c>
      <c r="L1669" s="8">
        <f>J1669/1000000</f>
        <v>1.2405086145833299</v>
      </c>
      <c r="M1669" t="s">
        <v>19</v>
      </c>
    </row>
    <row r="1670" spans="2:13" x14ac:dyDescent="0.25">
      <c r="B1670" t="s">
        <v>13</v>
      </c>
      <c r="C1670" t="s">
        <v>46</v>
      </c>
      <c r="D1670" t="s">
        <v>100</v>
      </c>
      <c r="E1670">
        <v>2029</v>
      </c>
      <c r="F1670" t="s">
        <v>35</v>
      </c>
      <c r="G1670" t="s">
        <v>17</v>
      </c>
      <c r="H1670" t="s">
        <v>18</v>
      </c>
      <c r="I1670" s="8">
        <v>1501209.034</v>
      </c>
      <c r="J1670" s="8">
        <v>1294145.7189655199</v>
      </c>
      <c r="K1670" s="8">
        <f>I1670/1000000</f>
        <v>1.5012090339999999</v>
      </c>
      <c r="L1670" s="8">
        <f>J1670/1000000</f>
        <v>1.2941457189655199</v>
      </c>
      <c r="M1670" t="s">
        <v>19</v>
      </c>
    </row>
    <row r="1671" spans="2:13" x14ac:dyDescent="0.25">
      <c r="B1671" t="s">
        <v>13</v>
      </c>
      <c r="C1671" t="s">
        <v>46</v>
      </c>
      <c r="D1671" t="s">
        <v>100</v>
      </c>
      <c r="E1671">
        <v>2030</v>
      </c>
      <c r="F1671" t="s">
        <v>35</v>
      </c>
      <c r="G1671" t="s">
        <v>17</v>
      </c>
      <c r="H1671" t="s">
        <v>18</v>
      </c>
      <c r="I1671" s="8">
        <v>1520140.7520000001</v>
      </c>
      <c r="J1671" s="8">
        <v>1310466.1655172401</v>
      </c>
      <c r="K1671" s="8">
        <f>I1671/1000000</f>
        <v>1.5201407520000001</v>
      </c>
      <c r="L1671" s="8">
        <f>J1671/1000000</f>
        <v>1.31046616551724</v>
      </c>
      <c r="M1671" t="s">
        <v>19</v>
      </c>
    </row>
    <row r="1672" spans="2:13" x14ac:dyDescent="0.25">
      <c r="B1672" t="s">
        <v>13</v>
      </c>
      <c r="C1672" t="s">
        <v>46</v>
      </c>
      <c r="D1672" t="s">
        <v>72</v>
      </c>
      <c r="E1672">
        <v>2029</v>
      </c>
      <c r="F1672" t="s">
        <v>35</v>
      </c>
      <c r="G1672" t="s">
        <v>17</v>
      </c>
      <c r="H1672" t="s">
        <v>18</v>
      </c>
      <c r="I1672" s="8">
        <v>4435941.9837999996</v>
      </c>
      <c r="J1672" s="8">
        <v>2120672.4900000002</v>
      </c>
      <c r="K1672" s="8">
        <f>I1672/1000000</f>
        <v>4.4359419837999994</v>
      </c>
      <c r="L1672" s="8">
        <f>J1672/1000000</f>
        <v>2.12067249</v>
      </c>
      <c r="M1672" t="s">
        <v>19</v>
      </c>
    </row>
    <row r="1673" spans="2:13" x14ac:dyDescent="0.25">
      <c r="B1673" t="s">
        <v>13</v>
      </c>
      <c r="C1673" t="s">
        <v>46</v>
      </c>
      <c r="D1673" t="s">
        <v>72</v>
      </c>
      <c r="E1673">
        <v>2030</v>
      </c>
      <c r="F1673" t="s">
        <v>35</v>
      </c>
      <c r="G1673" t="s">
        <v>17</v>
      </c>
      <c r="H1673" t="s">
        <v>18</v>
      </c>
      <c r="I1673" s="8">
        <v>4491882.1403999999</v>
      </c>
      <c r="J1673" s="8">
        <v>2147415.5699999998</v>
      </c>
      <c r="K1673" s="8">
        <f>I1673/1000000</f>
        <v>4.4918821403999996</v>
      </c>
      <c r="L1673" s="8">
        <f>J1673/1000000</f>
        <v>2.1474155699999997</v>
      </c>
      <c r="M1673" t="s">
        <v>19</v>
      </c>
    </row>
    <row r="1674" spans="2:13" x14ac:dyDescent="0.25">
      <c r="B1674" t="s">
        <v>13</v>
      </c>
      <c r="C1674" t="s">
        <v>46</v>
      </c>
      <c r="D1674" t="s">
        <v>72</v>
      </c>
      <c r="E1674">
        <v>2028</v>
      </c>
      <c r="F1674" t="s">
        <v>35</v>
      </c>
      <c r="G1674" t="s">
        <v>17</v>
      </c>
      <c r="H1674" t="s">
        <v>18</v>
      </c>
      <c r="I1674" s="8">
        <v>5114082.9358999999</v>
      </c>
      <c r="J1674" s="8">
        <v>2094423.24</v>
      </c>
      <c r="K1674" s="8">
        <f>I1674/1000000</f>
        <v>5.1140829359</v>
      </c>
      <c r="L1674" s="8">
        <f>J1674/1000000</f>
        <v>2.0944232399999998</v>
      </c>
      <c r="M1674" t="s">
        <v>19</v>
      </c>
    </row>
    <row r="1675" spans="2:13" x14ac:dyDescent="0.25">
      <c r="B1675" t="s">
        <v>13</v>
      </c>
      <c r="C1675" t="s">
        <v>46</v>
      </c>
      <c r="D1675" t="s">
        <v>103</v>
      </c>
      <c r="E1675">
        <v>2029</v>
      </c>
      <c r="F1675" t="s">
        <v>35</v>
      </c>
      <c r="G1675" t="s">
        <v>17</v>
      </c>
      <c r="H1675" t="s">
        <v>18</v>
      </c>
      <c r="I1675" s="8">
        <v>307362.86310000002</v>
      </c>
      <c r="J1675" s="8">
        <v>30112.0210858586</v>
      </c>
      <c r="K1675" s="8">
        <f>I1675/1000000</f>
        <v>0.30736286309999999</v>
      </c>
      <c r="L1675" s="8">
        <f>J1675/1000000</f>
        <v>3.0112021085858601E-2</v>
      </c>
      <c r="M1675" t="s">
        <v>39</v>
      </c>
    </row>
    <row r="1676" spans="2:13" x14ac:dyDescent="0.25">
      <c r="B1676" t="s">
        <v>13</v>
      </c>
      <c r="C1676" t="s">
        <v>46</v>
      </c>
      <c r="D1676" t="s">
        <v>103</v>
      </c>
      <c r="E1676">
        <v>2030</v>
      </c>
      <c r="F1676" t="s">
        <v>35</v>
      </c>
      <c r="G1676" t="s">
        <v>17</v>
      </c>
      <c r="H1676" t="s">
        <v>18</v>
      </c>
      <c r="I1676" s="8">
        <v>254188.10810000001</v>
      </c>
      <c r="J1676" s="8">
        <v>24902.5454545455</v>
      </c>
      <c r="K1676" s="8">
        <f>I1676/1000000</f>
        <v>0.25418810810000003</v>
      </c>
      <c r="L1676" s="8">
        <f>J1676/1000000</f>
        <v>2.49025454545455E-2</v>
      </c>
      <c r="M1676" t="s">
        <v>39</v>
      </c>
    </row>
    <row r="1677" spans="2:13" x14ac:dyDescent="0.25">
      <c r="B1677" t="s">
        <v>13</v>
      </c>
      <c r="C1677" t="s">
        <v>46</v>
      </c>
      <c r="D1677" t="s">
        <v>69</v>
      </c>
      <c r="E1677">
        <v>2027</v>
      </c>
      <c r="F1677" t="s">
        <v>35</v>
      </c>
      <c r="G1677" t="s">
        <v>17</v>
      </c>
      <c r="H1677" t="s">
        <v>18</v>
      </c>
      <c r="I1677" s="8">
        <v>4836446.9188999999</v>
      </c>
      <c r="J1677" s="8">
        <v>1625779.9857511199</v>
      </c>
      <c r="K1677" s="8">
        <f>I1677/1000000</f>
        <v>4.8364469189000001</v>
      </c>
      <c r="L1677" s="8">
        <f>J1677/1000000</f>
        <v>1.6257799857511199</v>
      </c>
      <c r="M1677" t="s">
        <v>19</v>
      </c>
    </row>
    <row r="1678" spans="2:13" x14ac:dyDescent="0.25">
      <c r="B1678" t="s">
        <v>13</v>
      </c>
      <c r="C1678" t="s">
        <v>46</v>
      </c>
      <c r="D1678" t="s">
        <v>15</v>
      </c>
      <c r="E1678">
        <v>2029</v>
      </c>
      <c r="F1678" t="s">
        <v>35</v>
      </c>
      <c r="G1678" t="s">
        <v>17</v>
      </c>
      <c r="H1678" t="s">
        <v>18</v>
      </c>
      <c r="I1678" s="8">
        <v>689875.8077</v>
      </c>
      <c r="J1678" s="8">
        <v>229417.57894736799</v>
      </c>
      <c r="K1678" s="8">
        <f>I1678/1000000</f>
        <v>0.68987580770000001</v>
      </c>
      <c r="L1678" s="8">
        <f>J1678/1000000</f>
        <v>0.229417578947368</v>
      </c>
      <c r="M1678" t="s">
        <v>19</v>
      </c>
    </row>
    <row r="1679" spans="2:13" x14ac:dyDescent="0.25">
      <c r="B1679" t="s">
        <v>13</v>
      </c>
      <c r="C1679" t="s">
        <v>46</v>
      </c>
      <c r="D1679" t="s">
        <v>72</v>
      </c>
      <c r="E1679">
        <v>2027</v>
      </c>
      <c r="F1679" t="s">
        <v>35</v>
      </c>
      <c r="G1679" t="s">
        <v>17</v>
      </c>
      <c r="H1679" t="s">
        <v>18</v>
      </c>
      <c r="I1679" s="8">
        <v>6157822.3640000001</v>
      </c>
      <c r="J1679" s="8">
        <v>2508293.7000000002</v>
      </c>
      <c r="K1679" s="8">
        <f>I1679/1000000</f>
        <v>6.1578223640000003</v>
      </c>
      <c r="L1679" s="8">
        <f>J1679/1000000</f>
        <v>2.5082937000000003</v>
      </c>
      <c r="M1679" t="s">
        <v>19</v>
      </c>
    </row>
    <row r="1680" spans="2:13" x14ac:dyDescent="0.25">
      <c r="B1680" t="s">
        <v>13</v>
      </c>
      <c r="C1680" t="s">
        <v>46</v>
      </c>
      <c r="D1680" t="s">
        <v>100</v>
      </c>
      <c r="E1680">
        <v>2027</v>
      </c>
      <c r="F1680" t="s">
        <v>35</v>
      </c>
      <c r="G1680" t="s">
        <v>17</v>
      </c>
      <c r="H1680" t="s">
        <v>18</v>
      </c>
      <c r="I1680" s="8">
        <v>1369008.4811</v>
      </c>
      <c r="J1680" s="8">
        <v>1358143.3343750001</v>
      </c>
      <c r="K1680" s="8">
        <f>I1680/1000000</f>
        <v>1.3690084811000001</v>
      </c>
      <c r="L1680" s="8">
        <f>J1680/1000000</f>
        <v>1.358143334375</v>
      </c>
      <c r="M1680" t="s">
        <v>19</v>
      </c>
    </row>
    <row r="1681" spans="2:13" x14ac:dyDescent="0.25">
      <c r="B1681" t="s">
        <v>13</v>
      </c>
      <c r="C1681" t="s">
        <v>46</v>
      </c>
      <c r="D1681" t="s">
        <v>103</v>
      </c>
      <c r="E1681">
        <v>2028</v>
      </c>
      <c r="F1681" t="s">
        <v>35</v>
      </c>
      <c r="G1681" t="s">
        <v>17</v>
      </c>
      <c r="H1681" t="s">
        <v>18</v>
      </c>
      <c r="I1681" s="8">
        <v>25608.4568</v>
      </c>
      <c r="J1681" s="8">
        <v>2508.8339646465001</v>
      </c>
      <c r="K1681" s="8">
        <f>I1681/1000000</f>
        <v>2.5608456799999998E-2</v>
      </c>
      <c r="L1681" s="8">
        <f>J1681/1000000</f>
        <v>2.5088339646465001E-3</v>
      </c>
      <c r="M1681" t="s">
        <v>39</v>
      </c>
    </row>
    <row r="1682" spans="2:13" x14ac:dyDescent="0.25">
      <c r="B1682" t="s">
        <v>13</v>
      </c>
      <c r="C1682" t="s">
        <v>14</v>
      </c>
      <c r="D1682" t="s">
        <v>72</v>
      </c>
      <c r="E1682">
        <v>2027</v>
      </c>
      <c r="F1682" t="s">
        <v>35</v>
      </c>
      <c r="G1682" t="s">
        <v>17</v>
      </c>
      <c r="H1682" t="s">
        <v>18</v>
      </c>
      <c r="I1682" s="8">
        <v>10108338.678099999</v>
      </c>
      <c r="J1682" s="8">
        <v>4120352.611155</v>
      </c>
      <c r="K1682" s="8">
        <f>I1682/1000000</f>
        <v>10.108338678099999</v>
      </c>
      <c r="L1682" s="8">
        <f>J1682/1000000</f>
        <v>4.120352611155</v>
      </c>
      <c r="M1682" t="s">
        <v>19</v>
      </c>
    </row>
    <row r="1683" spans="2:13" x14ac:dyDescent="0.25">
      <c r="B1683" t="s">
        <v>13</v>
      </c>
      <c r="C1683" t="s">
        <v>14</v>
      </c>
      <c r="D1683" t="s">
        <v>52</v>
      </c>
      <c r="E1683">
        <v>2028</v>
      </c>
      <c r="F1683" t="s">
        <v>35</v>
      </c>
      <c r="G1683" t="s">
        <v>17</v>
      </c>
      <c r="H1683" t="s">
        <v>18</v>
      </c>
      <c r="I1683" s="8">
        <v>2694878.1351000001</v>
      </c>
      <c r="J1683" s="8">
        <v>2440308.2668593698</v>
      </c>
      <c r="K1683" s="8">
        <f>I1683/1000000</f>
        <v>2.6948781351000002</v>
      </c>
      <c r="L1683" s="8">
        <f>J1683/1000000</f>
        <v>2.4403082668593696</v>
      </c>
      <c r="M1683" t="s">
        <v>19</v>
      </c>
    </row>
    <row r="1684" spans="2:13" x14ac:dyDescent="0.25">
      <c r="B1684" t="s">
        <v>13</v>
      </c>
      <c r="C1684" t="s">
        <v>46</v>
      </c>
      <c r="D1684" t="s">
        <v>69</v>
      </c>
      <c r="E1684">
        <v>2029</v>
      </c>
      <c r="F1684" t="s">
        <v>81</v>
      </c>
      <c r="G1684" t="s">
        <v>17</v>
      </c>
      <c r="H1684" t="s">
        <v>18</v>
      </c>
      <c r="I1684" s="8">
        <v>2596208.0414</v>
      </c>
      <c r="J1684" s="8">
        <v>1134255.99884297</v>
      </c>
      <c r="K1684" s="8">
        <f>I1684/1000000</f>
        <v>2.5962080414000002</v>
      </c>
      <c r="L1684" s="8">
        <f>J1684/1000000</f>
        <v>1.1342559988429699</v>
      </c>
      <c r="M1684" t="s">
        <v>19</v>
      </c>
    </row>
    <row r="1685" spans="2:13" x14ac:dyDescent="0.25">
      <c r="B1685" t="s">
        <v>13</v>
      </c>
      <c r="C1685" t="s">
        <v>46</v>
      </c>
      <c r="D1685" t="s">
        <v>69</v>
      </c>
      <c r="E1685">
        <v>2030</v>
      </c>
      <c r="F1685" t="s">
        <v>81</v>
      </c>
      <c r="G1685" t="s">
        <v>17</v>
      </c>
      <c r="H1685" t="s">
        <v>18</v>
      </c>
      <c r="I1685" s="8">
        <v>2232263.7897999999</v>
      </c>
      <c r="J1685" s="8">
        <v>972981.89894649899</v>
      </c>
      <c r="K1685" s="8">
        <f>I1685/1000000</f>
        <v>2.2322637897999997</v>
      </c>
      <c r="L1685" s="8">
        <f>J1685/1000000</f>
        <v>0.972981898946499</v>
      </c>
      <c r="M1685" t="s">
        <v>19</v>
      </c>
    </row>
    <row r="1686" spans="2:13" x14ac:dyDescent="0.25">
      <c r="B1686" t="s">
        <v>13</v>
      </c>
      <c r="C1686" t="s">
        <v>46</v>
      </c>
      <c r="D1686" t="s">
        <v>73</v>
      </c>
      <c r="E1686">
        <v>2026</v>
      </c>
      <c r="F1686" t="s">
        <v>81</v>
      </c>
      <c r="G1686" t="s">
        <v>17</v>
      </c>
      <c r="H1686" t="s">
        <v>18</v>
      </c>
      <c r="I1686" s="8">
        <v>733264.58299999998</v>
      </c>
      <c r="J1686" s="8">
        <v>767700</v>
      </c>
      <c r="K1686" s="8">
        <f>I1686/1000000</f>
        <v>0.73326458299999997</v>
      </c>
      <c r="L1686" s="8">
        <f>J1686/1000000</f>
        <v>0.76770000000000005</v>
      </c>
      <c r="M1686" t="s">
        <v>19</v>
      </c>
    </row>
    <row r="1687" spans="2:13" x14ac:dyDescent="0.25">
      <c r="B1687" t="s">
        <v>13</v>
      </c>
      <c r="C1687" t="s">
        <v>46</v>
      </c>
      <c r="D1687" t="s">
        <v>73</v>
      </c>
      <c r="E1687">
        <v>2027</v>
      </c>
      <c r="F1687" t="s">
        <v>81</v>
      </c>
      <c r="G1687" t="s">
        <v>17</v>
      </c>
      <c r="H1687" t="s">
        <v>18</v>
      </c>
      <c r="I1687" s="8">
        <v>747660.32070000004</v>
      </c>
      <c r="J1687" s="8">
        <v>785069.20154604304</v>
      </c>
      <c r="K1687" s="8">
        <f>I1687/1000000</f>
        <v>0.74766032069999999</v>
      </c>
      <c r="L1687" s="8">
        <f>J1687/1000000</f>
        <v>0.78506920154604309</v>
      </c>
      <c r="M1687" t="s">
        <v>19</v>
      </c>
    </row>
    <row r="1688" spans="2:13" x14ac:dyDescent="0.25">
      <c r="B1688" t="s">
        <v>13</v>
      </c>
      <c r="C1688" t="s">
        <v>46</v>
      </c>
      <c r="D1688" t="s">
        <v>73</v>
      </c>
      <c r="E1688">
        <v>2028</v>
      </c>
      <c r="F1688" t="s">
        <v>81</v>
      </c>
      <c r="G1688" t="s">
        <v>17</v>
      </c>
      <c r="H1688" t="s">
        <v>18</v>
      </c>
      <c r="I1688" s="8">
        <v>622982.06629999995</v>
      </c>
      <c r="J1688" s="8">
        <v>611923.97312971996</v>
      </c>
      <c r="K1688" s="8">
        <f>I1688/1000000</f>
        <v>0.62298206629999997</v>
      </c>
      <c r="L1688" s="8">
        <f>J1688/1000000</f>
        <v>0.61192397312971991</v>
      </c>
      <c r="M1688" t="s">
        <v>19</v>
      </c>
    </row>
    <row r="1689" spans="2:13" x14ac:dyDescent="0.25">
      <c r="B1689" t="s">
        <v>13</v>
      </c>
      <c r="C1689" t="s">
        <v>46</v>
      </c>
      <c r="D1689" t="s">
        <v>70</v>
      </c>
      <c r="E1689">
        <v>2026</v>
      </c>
      <c r="F1689" t="s">
        <v>81</v>
      </c>
      <c r="G1689" t="s">
        <v>17</v>
      </c>
      <c r="H1689" t="s">
        <v>18</v>
      </c>
      <c r="I1689" s="8">
        <v>1488414.9036999999</v>
      </c>
      <c r="J1689" s="8">
        <v>862400</v>
      </c>
      <c r="K1689" s="8">
        <f>I1689/1000000</f>
        <v>1.4884149036999998</v>
      </c>
      <c r="L1689" s="8">
        <f>J1689/1000000</f>
        <v>0.86240000000000006</v>
      </c>
      <c r="M1689" t="s">
        <v>19</v>
      </c>
    </row>
    <row r="1690" spans="2:13" x14ac:dyDescent="0.25">
      <c r="B1690" t="s">
        <v>13</v>
      </c>
      <c r="C1690" t="s">
        <v>46</v>
      </c>
      <c r="D1690" t="s">
        <v>70</v>
      </c>
      <c r="E1690">
        <v>2027</v>
      </c>
      <c r="F1690" t="s">
        <v>81</v>
      </c>
      <c r="G1690" t="s">
        <v>17</v>
      </c>
      <c r="H1690" t="s">
        <v>18</v>
      </c>
      <c r="I1690" s="8">
        <v>1217379.0388</v>
      </c>
      <c r="J1690" s="8">
        <v>871451.67240250902</v>
      </c>
      <c r="K1690" s="8">
        <f>I1690/1000000</f>
        <v>1.2173790388000001</v>
      </c>
      <c r="L1690" s="8">
        <f>J1690/1000000</f>
        <v>0.87145167240250898</v>
      </c>
      <c r="M1690" t="s">
        <v>19</v>
      </c>
    </row>
    <row r="1691" spans="2:13" x14ac:dyDescent="0.25">
      <c r="B1691" t="s">
        <v>13</v>
      </c>
      <c r="C1691" t="s">
        <v>46</v>
      </c>
      <c r="D1691" t="s">
        <v>70</v>
      </c>
      <c r="E1691">
        <v>2028</v>
      </c>
      <c r="F1691" t="s">
        <v>81</v>
      </c>
      <c r="G1691" t="s">
        <v>17</v>
      </c>
      <c r="H1691" t="s">
        <v>18</v>
      </c>
      <c r="I1691" s="8">
        <v>930757.63430000003</v>
      </c>
      <c r="J1691" s="8">
        <v>658817.32269738102</v>
      </c>
      <c r="K1691" s="8">
        <f>I1691/1000000</f>
        <v>0.93075763430000003</v>
      </c>
      <c r="L1691" s="8">
        <f>J1691/1000000</f>
        <v>0.65881732269738102</v>
      </c>
      <c r="M1691" t="s">
        <v>19</v>
      </c>
    </row>
    <row r="1692" spans="2:13" x14ac:dyDescent="0.25">
      <c r="B1692" t="s">
        <v>13</v>
      </c>
      <c r="C1692" t="s">
        <v>46</v>
      </c>
      <c r="D1692" t="s">
        <v>15</v>
      </c>
      <c r="E1692">
        <v>2028</v>
      </c>
      <c r="F1692" t="s">
        <v>81</v>
      </c>
      <c r="G1692" t="s">
        <v>17</v>
      </c>
      <c r="H1692" t="s">
        <v>18</v>
      </c>
      <c r="I1692" s="8">
        <v>436374.1042</v>
      </c>
      <c r="J1692" s="8">
        <v>145089.36749999999</v>
      </c>
      <c r="K1692" s="8">
        <f>I1692/1000000</f>
        <v>0.4363741042</v>
      </c>
      <c r="L1692" s="8">
        <f>J1692/1000000</f>
        <v>0.14508936749999998</v>
      </c>
      <c r="M1692" t="s">
        <v>19</v>
      </c>
    </row>
    <row r="1693" spans="2:13" x14ac:dyDescent="0.25">
      <c r="B1693" t="s">
        <v>13</v>
      </c>
      <c r="C1693" t="s">
        <v>46</v>
      </c>
      <c r="D1693" t="s">
        <v>15</v>
      </c>
      <c r="E1693">
        <v>2026</v>
      </c>
      <c r="F1693" t="s">
        <v>81</v>
      </c>
      <c r="G1693" t="s">
        <v>17</v>
      </c>
      <c r="H1693" t="s">
        <v>18</v>
      </c>
      <c r="I1693" s="8">
        <v>655762.09739999997</v>
      </c>
      <c r="J1693" s="8">
        <v>141771.05249999999</v>
      </c>
      <c r="K1693" s="8">
        <f>I1693/1000000</f>
        <v>0.65576209740000002</v>
      </c>
      <c r="L1693" s="8">
        <f>J1693/1000000</f>
        <v>0.14177105249999999</v>
      </c>
      <c r="M1693" t="s">
        <v>19</v>
      </c>
    </row>
    <row r="1694" spans="2:13" x14ac:dyDescent="0.25">
      <c r="B1694" t="s">
        <v>13</v>
      </c>
      <c r="C1694" t="s">
        <v>46</v>
      </c>
      <c r="D1694" t="s">
        <v>15</v>
      </c>
      <c r="E1694">
        <v>2027</v>
      </c>
      <c r="F1694" t="s">
        <v>81</v>
      </c>
      <c r="G1694" t="s">
        <v>17</v>
      </c>
      <c r="H1694" t="s">
        <v>18</v>
      </c>
      <c r="I1694" s="8">
        <v>669112.88809999998</v>
      </c>
      <c r="J1694" s="8">
        <v>144657.39749999999</v>
      </c>
      <c r="K1694" s="8">
        <f>I1694/1000000</f>
        <v>0.66911288810000003</v>
      </c>
      <c r="L1694" s="8">
        <f>J1694/1000000</f>
        <v>0.14465739749999998</v>
      </c>
      <c r="M1694" t="s">
        <v>19</v>
      </c>
    </row>
    <row r="1695" spans="2:13" x14ac:dyDescent="0.25">
      <c r="B1695" t="s">
        <v>13</v>
      </c>
      <c r="C1695" t="s">
        <v>46</v>
      </c>
      <c r="D1695" t="s">
        <v>15</v>
      </c>
      <c r="E1695">
        <v>2030</v>
      </c>
      <c r="F1695" t="s">
        <v>81</v>
      </c>
      <c r="G1695" t="s">
        <v>17</v>
      </c>
      <c r="H1695" t="s">
        <v>18</v>
      </c>
      <c r="I1695" s="8">
        <v>443469.34980000003</v>
      </c>
      <c r="J1695" s="8">
        <v>147448.45499999999</v>
      </c>
      <c r="K1695" s="8">
        <f>I1695/1000000</f>
        <v>0.44346934980000002</v>
      </c>
      <c r="L1695" s="8">
        <f>J1695/1000000</f>
        <v>0.14744845499999998</v>
      </c>
      <c r="M1695" t="s">
        <v>19</v>
      </c>
    </row>
    <row r="1696" spans="2:13" x14ac:dyDescent="0.25">
      <c r="B1696" t="s">
        <v>13</v>
      </c>
      <c r="C1696" t="s">
        <v>46</v>
      </c>
      <c r="D1696" t="s">
        <v>100</v>
      </c>
      <c r="E1696">
        <v>2026</v>
      </c>
      <c r="F1696" t="s">
        <v>81</v>
      </c>
      <c r="G1696" t="s">
        <v>17</v>
      </c>
      <c r="H1696" t="s">
        <v>18</v>
      </c>
      <c r="I1696" s="8">
        <v>1507591.9717999999</v>
      </c>
      <c r="J1696" s="8">
        <v>664800</v>
      </c>
      <c r="K1696" s="8">
        <f>I1696/1000000</f>
        <v>1.5075919717999999</v>
      </c>
      <c r="L1696" s="8">
        <f>J1696/1000000</f>
        <v>0.66479999999999995</v>
      </c>
      <c r="M1696" t="s">
        <v>19</v>
      </c>
    </row>
    <row r="1697" spans="2:13" x14ac:dyDescent="0.25">
      <c r="B1697" t="s">
        <v>13</v>
      </c>
      <c r="C1697" t="s">
        <v>46</v>
      </c>
      <c r="D1697" t="s">
        <v>100</v>
      </c>
      <c r="E1697">
        <v>2029</v>
      </c>
      <c r="F1697" t="s">
        <v>81</v>
      </c>
      <c r="G1697" t="s">
        <v>17</v>
      </c>
      <c r="H1697" t="s">
        <v>18</v>
      </c>
      <c r="I1697" s="8">
        <v>1606448.9839000001</v>
      </c>
      <c r="J1697" s="8">
        <v>708126.82630381605</v>
      </c>
      <c r="K1697" s="8">
        <f>I1697/1000000</f>
        <v>1.6064489839</v>
      </c>
      <c r="L1697" s="8">
        <f>J1697/1000000</f>
        <v>0.70812682630381607</v>
      </c>
      <c r="M1697" t="s">
        <v>19</v>
      </c>
    </row>
    <row r="1698" spans="2:13" x14ac:dyDescent="0.25">
      <c r="B1698" t="s">
        <v>13</v>
      </c>
      <c r="C1698" t="s">
        <v>46</v>
      </c>
      <c r="D1698" t="s">
        <v>100</v>
      </c>
      <c r="E1698">
        <v>2030</v>
      </c>
      <c r="F1698" t="s">
        <v>81</v>
      </c>
      <c r="G1698" t="s">
        <v>17</v>
      </c>
      <c r="H1698" t="s">
        <v>18</v>
      </c>
      <c r="I1698" s="8">
        <v>1613409.0033</v>
      </c>
      <c r="J1698" s="8">
        <v>717520.51830259396</v>
      </c>
      <c r="K1698" s="8">
        <f>I1698/1000000</f>
        <v>1.6134090032999999</v>
      </c>
      <c r="L1698" s="8">
        <f>J1698/1000000</f>
        <v>0.717520518302594</v>
      </c>
      <c r="M1698" t="s">
        <v>19</v>
      </c>
    </row>
    <row r="1699" spans="2:13" x14ac:dyDescent="0.25">
      <c r="B1699" t="s">
        <v>13</v>
      </c>
      <c r="C1699" t="s">
        <v>46</v>
      </c>
      <c r="D1699" t="s">
        <v>100</v>
      </c>
      <c r="E1699">
        <v>2027</v>
      </c>
      <c r="F1699" t="s">
        <v>81</v>
      </c>
      <c r="G1699" t="s">
        <v>17</v>
      </c>
      <c r="H1699" t="s">
        <v>18</v>
      </c>
      <c r="I1699" s="8">
        <v>1457576.3308999999</v>
      </c>
      <c r="J1699" s="8">
        <v>678205.50698814297</v>
      </c>
      <c r="K1699" s="8">
        <f>I1699/1000000</f>
        <v>1.4575763309000001</v>
      </c>
      <c r="L1699" s="8">
        <f>J1699/1000000</f>
        <v>0.67820550698814297</v>
      </c>
      <c r="M1699" t="s">
        <v>19</v>
      </c>
    </row>
    <row r="1700" spans="2:13" x14ac:dyDescent="0.25">
      <c r="B1700" t="s">
        <v>13</v>
      </c>
      <c r="C1700" t="s">
        <v>46</v>
      </c>
      <c r="D1700" t="s">
        <v>100</v>
      </c>
      <c r="E1700">
        <v>2028</v>
      </c>
      <c r="F1700" t="s">
        <v>81</v>
      </c>
      <c r="G1700" t="s">
        <v>17</v>
      </c>
      <c r="H1700" t="s">
        <v>18</v>
      </c>
      <c r="I1700" s="8">
        <v>1476828.8071999999</v>
      </c>
      <c r="J1700" s="8">
        <v>693806.34646568901</v>
      </c>
      <c r="K1700" s="8">
        <f>I1700/1000000</f>
        <v>1.4768288072</v>
      </c>
      <c r="L1700" s="8">
        <f>J1700/1000000</f>
        <v>0.69380634646568906</v>
      </c>
      <c r="M1700" t="s">
        <v>19</v>
      </c>
    </row>
    <row r="1701" spans="2:13" x14ac:dyDescent="0.25">
      <c r="B1701" t="s">
        <v>13</v>
      </c>
      <c r="C1701" t="s">
        <v>46</v>
      </c>
      <c r="D1701" t="s">
        <v>72</v>
      </c>
      <c r="E1701">
        <v>2026</v>
      </c>
      <c r="F1701" t="s">
        <v>81</v>
      </c>
      <c r="G1701" t="s">
        <v>17</v>
      </c>
      <c r="H1701" t="s">
        <v>18</v>
      </c>
      <c r="I1701" s="8">
        <v>2971977.6132999999</v>
      </c>
      <c r="J1701" s="8">
        <v>1041000</v>
      </c>
      <c r="K1701" s="8">
        <f>I1701/1000000</f>
        <v>2.9719776133</v>
      </c>
      <c r="L1701" s="8">
        <f>J1701/1000000</f>
        <v>1.0409999999999999</v>
      </c>
      <c r="M1701" t="s">
        <v>19</v>
      </c>
    </row>
    <row r="1702" spans="2:13" x14ac:dyDescent="0.25">
      <c r="B1702" t="s">
        <v>13</v>
      </c>
      <c r="C1702" t="s">
        <v>46</v>
      </c>
      <c r="D1702" t="s">
        <v>72</v>
      </c>
      <c r="E1702">
        <v>2029</v>
      </c>
      <c r="F1702" t="s">
        <v>81</v>
      </c>
      <c r="G1702" t="s">
        <v>17</v>
      </c>
      <c r="H1702" t="s">
        <v>18</v>
      </c>
      <c r="I1702" s="8">
        <v>2301042.6592999999</v>
      </c>
      <c r="J1702" s="8">
        <v>1100049.9744659101</v>
      </c>
      <c r="K1702" s="8">
        <f>I1702/1000000</f>
        <v>2.3010426592999997</v>
      </c>
      <c r="L1702" s="8">
        <f>J1702/1000000</f>
        <v>1.10004997446591</v>
      </c>
      <c r="M1702" t="s">
        <v>19</v>
      </c>
    </row>
    <row r="1703" spans="2:13" x14ac:dyDescent="0.25">
      <c r="B1703" t="s">
        <v>13</v>
      </c>
      <c r="C1703" t="s">
        <v>46</v>
      </c>
      <c r="D1703" t="s">
        <v>72</v>
      </c>
      <c r="E1703">
        <v>2030</v>
      </c>
      <c r="F1703" t="s">
        <v>81</v>
      </c>
      <c r="G1703" t="s">
        <v>17</v>
      </c>
      <c r="H1703" t="s">
        <v>18</v>
      </c>
      <c r="I1703" s="8">
        <v>2333959.4174000002</v>
      </c>
      <c r="J1703" s="8">
        <v>1115786.3532515501</v>
      </c>
      <c r="K1703" s="8">
        <f>I1703/1000000</f>
        <v>2.3339594174</v>
      </c>
      <c r="L1703" s="8">
        <f>J1703/1000000</f>
        <v>1.1157863532515502</v>
      </c>
      <c r="M1703" t="s">
        <v>19</v>
      </c>
    </row>
    <row r="1704" spans="2:13" x14ac:dyDescent="0.25">
      <c r="B1704" t="s">
        <v>13</v>
      </c>
      <c r="C1704" t="s">
        <v>46</v>
      </c>
      <c r="D1704" t="s">
        <v>72</v>
      </c>
      <c r="E1704">
        <v>2027</v>
      </c>
      <c r="F1704" t="s">
        <v>81</v>
      </c>
      <c r="G1704" t="s">
        <v>17</v>
      </c>
      <c r="H1704" t="s">
        <v>18</v>
      </c>
      <c r="I1704" s="8">
        <v>2602057.2678999999</v>
      </c>
      <c r="J1704" s="8">
        <v>1059907.7833604901</v>
      </c>
      <c r="K1704" s="8">
        <f>I1704/1000000</f>
        <v>2.6020572678999998</v>
      </c>
      <c r="L1704" s="8">
        <f>J1704/1000000</f>
        <v>1.0599077833604902</v>
      </c>
      <c r="M1704" t="s">
        <v>19</v>
      </c>
    </row>
    <row r="1705" spans="2:13" x14ac:dyDescent="0.25">
      <c r="B1705" t="s">
        <v>13</v>
      </c>
      <c r="C1705" t="s">
        <v>46</v>
      </c>
      <c r="D1705" t="s">
        <v>72</v>
      </c>
      <c r="E1705">
        <v>2028</v>
      </c>
      <c r="F1705" t="s">
        <v>81</v>
      </c>
      <c r="G1705" t="s">
        <v>17</v>
      </c>
      <c r="H1705" t="s">
        <v>18</v>
      </c>
      <c r="I1705" s="8">
        <v>2648138.0419000001</v>
      </c>
      <c r="J1705" s="8">
        <v>1084519.34145363</v>
      </c>
      <c r="K1705" s="8">
        <f>I1705/1000000</f>
        <v>2.6481380419000002</v>
      </c>
      <c r="L1705" s="8">
        <f>J1705/1000000</f>
        <v>1.08451934145363</v>
      </c>
      <c r="M1705" t="s">
        <v>19</v>
      </c>
    </row>
    <row r="1706" spans="2:13" x14ac:dyDescent="0.25">
      <c r="B1706" t="s">
        <v>13</v>
      </c>
      <c r="C1706" t="s">
        <v>46</v>
      </c>
      <c r="D1706" t="s">
        <v>102</v>
      </c>
      <c r="E1706">
        <v>2028</v>
      </c>
      <c r="F1706" t="s">
        <v>81</v>
      </c>
      <c r="G1706" t="s">
        <v>17</v>
      </c>
      <c r="H1706" t="s">
        <v>18</v>
      </c>
      <c r="I1706" s="8">
        <v>56025.528899999998</v>
      </c>
      <c r="J1706" s="8">
        <v>125579.081125211</v>
      </c>
      <c r="K1706" s="8">
        <f>I1706/1000000</f>
        <v>5.6025528899999996E-2</v>
      </c>
      <c r="L1706" s="8">
        <f>J1706/1000000</f>
        <v>0.12557908112521099</v>
      </c>
      <c r="M1706" t="s">
        <v>19</v>
      </c>
    </row>
    <row r="1707" spans="2:13" x14ac:dyDescent="0.25">
      <c r="B1707" t="s">
        <v>13</v>
      </c>
      <c r="C1707" t="s">
        <v>46</v>
      </c>
      <c r="D1707" t="s">
        <v>102</v>
      </c>
      <c r="E1707">
        <v>2029</v>
      </c>
      <c r="F1707" t="s">
        <v>81</v>
      </c>
      <c r="G1707" t="s">
        <v>17</v>
      </c>
      <c r="H1707" t="s">
        <v>18</v>
      </c>
      <c r="I1707" s="8">
        <v>56779.847199999997</v>
      </c>
      <c r="J1707" s="8">
        <v>127269.856770604</v>
      </c>
      <c r="K1707" s="8">
        <f>I1707/1000000</f>
        <v>5.6779847199999997E-2</v>
      </c>
      <c r="L1707" s="8">
        <f>J1707/1000000</f>
        <v>0.12726985677060401</v>
      </c>
      <c r="M1707" t="s">
        <v>19</v>
      </c>
    </row>
    <row r="1708" spans="2:13" x14ac:dyDescent="0.25">
      <c r="B1708" t="s">
        <v>13</v>
      </c>
      <c r="C1708" t="s">
        <v>46</v>
      </c>
      <c r="D1708" t="s">
        <v>102</v>
      </c>
      <c r="E1708">
        <v>2030</v>
      </c>
      <c r="F1708" t="s">
        <v>81</v>
      </c>
      <c r="G1708" t="s">
        <v>17</v>
      </c>
      <c r="H1708" t="s">
        <v>18</v>
      </c>
      <c r="I1708" s="8">
        <v>57098.016600000003</v>
      </c>
      <c r="J1708" s="8">
        <v>127983.02136238301</v>
      </c>
      <c r="K1708" s="8">
        <f>I1708/1000000</f>
        <v>5.7098016600000003E-2</v>
      </c>
      <c r="L1708" s="8">
        <f>J1708/1000000</f>
        <v>0.12798302136238301</v>
      </c>
      <c r="M1708" t="s">
        <v>19</v>
      </c>
    </row>
    <row r="1709" spans="2:13" x14ac:dyDescent="0.25">
      <c r="B1709" t="s">
        <v>13</v>
      </c>
      <c r="C1709" t="s">
        <v>46</v>
      </c>
      <c r="D1709" t="s">
        <v>102</v>
      </c>
      <c r="E1709">
        <v>2027</v>
      </c>
      <c r="F1709" t="s">
        <v>81</v>
      </c>
      <c r="G1709" t="s">
        <v>17</v>
      </c>
      <c r="H1709" t="s">
        <v>18</v>
      </c>
      <c r="I1709" s="8">
        <v>51929.752</v>
      </c>
      <c r="J1709" s="8">
        <v>111905.56014476701</v>
      </c>
      <c r="K1709" s="8">
        <f>I1709/1000000</f>
        <v>5.1929752000000003E-2</v>
      </c>
      <c r="L1709" s="8">
        <f>J1709/1000000</f>
        <v>0.11190556014476701</v>
      </c>
      <c r="M1709" t="s">
        <v>19</v>
      </c>
    </row>
    <row r="1710" spans="2:13" x14ac:dyDescent="0.25">
      <c r="B1710" t="s">
        <v>13</v>
      </c>
      <c r="C1710" t="s">
        <v>46</v>
      </c>
      <c r="D1710" t="s">
        <v>69</v>
      </c>
      <c r="E1710">
        <v>2028</v>
      </c>
      <c r="F1710" t="s">
        <v>81</v>
      </c>
      <c r="G1710" t="s">
        <v>17</v>
      </c>
      <c r="H1710" t="s">
        <v>18</v>
      </c>
      <c r="I1710" s="8">
        <v>623857.40480000002</v>
      </c>
      <c r="J1710" s="8">
        <v>237815.02055817001</v>
      </c>
      <c r="K1710" s="8">
        <f>I1710/1000000</f>
        <v>0.62385740480000007</v>
      </c>
      <c r="L1710" s="8">
        <f>J1710/1000000</f>
        <v>0.23781502055817003</v>
      </c>
      <c r="M1710" t="s">
        <v>19</v>
      </c>
    </row>
    <row r="1711" spans="2:13" x14ac:dyDescent="0.25">
      <c r="B1711" t="s">
        <v>13</v>
      </c>
      <c r="C1711" t="s">
        <v>46</v>
      </c>
      <c r="D1711" t="s">
        <v>15</v>
      </c>
      <c r="E1711">
        <v>2029</v>
      </c>
      <c r="F1711" t="s">
        <v>81</v>
      </c>
      <c r="G1711" t="s">
        <v>17</v>
      </c>
      <c r="H1711" t="s">
        <v>18</v>
      </c>
      <c r="I1711" s="8">
        <v>439015.35359999997</v>
      </c>
      <c r="J1711" s="8">
        <v>145967.55249999999</v>
      </c>
      <c r="K1711" s="8">
        <f>I1711/1000000</f>
        <v>0.43901535359999999</v>
      </c>
      <c r="L1711" s="8">
        <f>J1711/1000000</f>
        <v>0.14596755249999999</v>
      </c>
      <c r="M1711" t="s">
        <v>19</v>
      </c>
    </row>
    <row r="1712" spans="2:13" x14ac:dyDescent="0.25">
      <c r="B1712" t="s">
        <v>13</v>
      </c>
      <c r="C1712" t="s">
        <v>46</v>
      </c>
      <c r="D1712" t="s">
        <v>102</v>
      </c>
      <c r="E1712">
        <v>2026</v>
      </c>
      <c r="F1712" t="s">
        <v>81</v>
      </c>
      <c r="G1712" t="s">
        <v>17</v>
      </c>
      <c r="H1712" t="s">
        <v>18</v>
      </c>
      <c r="I1712" s="8">
        <v>50325.790699999998</v>
      </c>
      <c r="J1712" s="8">
        <v>101700</v>
      </c>
      <c r="K1712" s="8">
        <f>I1712/1000000</f>
        <v>5.0325790699999998E-2</v>
      </c>
      <c r="L1712" s="8">
        <f>J1712/1000000</f>
        <v>0.1017</v>
      </c>
      <c r="M1712" t="s">
        <v>19</v>
      </c>
    </row>
    <row r="1713" spans="2:13" x14ac:dyDescent="0.25">
      <c r="B1713" t="s">
        <v>13</v>
      </c>
      <c r="C1713" t="s">
        <v>46</v>
      </c>
      <c r="D1713" t="s">
        <v>108</v>
      </c>
      <c r="E1713">
        <v>2030</v>
      </c>
      <c r="F1713" t="s">
        <v>81</v>
      </c>
      <c r="G1713" t="s">
        <v>17</v>
      </c>
      <c r="H1713" t="s">
        <v>18</v>
      </c>
      <c r="I1713" s="8">
        <v>1347002.139</v>
      </c>
      <c r="J1713" s="8">
        <v>362015.86807442497</v>
      </c>
      <c r="K1713" s="8">
        <f>I1713/1000000</f>
        <v>1.347002139</v>
      </c>
      <c r="L1713" s="8">
        <f>J1713/1000000</f>
        <v>0.36201586807442498</v>
      </c>
      <c r="M1713" t="s">
        <v>39</v>
      </c>
    </row>
    <row r="1714" spans="2:13" x14ac:dyDescent="0.25">
      <c r="B1714" t="s">
        <v>13</v>
      </c>
      <c r="C1714" t="s">
        <v>46</v>
      </c>
      <c r="D1714" t="s">
        <v>101</v>
      </c>
      <c r="E1714">
        <v>2028</v>
      </c>
      <c r="F1714" t="s">
        <v>81</v>
      </c>
      <c r="G1714" t="s">
        <v>17</v>
      </c>
      <c r="H1714" t="s">
        <v>18</v>
      </c>
      <c r="I1714" s="8">
        <v>287451.19959999999</v>
      </c>
      <c r="J1714" s="8">
        <v>259707.192591592</v>
      </c>
      <c r="K1714" s="8">
        <f>I1714/1000000</f>
        <v>0.28745119959999998</v>
      </c>
      <c r="L1714" s="8">
        <f>J1714/1000000</f>
        <v>0.25970719259159197</v>
      </c>
      <c r="M1714" t="s">
        <v>39</v>
      </c>
    </row>
    <row r="1715" spans="2:13" x14ac:dyDescent="0.25">
      <c r="B1715" t="s">
        <v>13</v>
      </c>
      <c r="C1715" t="s">
        <v>14</v>
      </c>
      <c r="D1715" t="s">
        <v>101</v>
      </c>
      <c r="E1715">
        <v>2028</v>
      </c>
      <c r="F1715" t="s">
        <v>81</v>
      </c>
      <c r="G1715" t="s">
        <v>17</v>
      </c>
      <c r="H1715" t="s">
        <v>18</v>
      </c>
      <c r="I1715" s="8">
        <v>6590489.7461999999</v>
      </c>
      <c r="J1715" s="8">
        <v>5905885.9522500001</v>
      </c>
      <c r="K1715" s="8">
        <f>I1715/1000000</f>
        <v>6.5904897462000003</v>
      </c>
      <c r="L1715" s="8">
        <f>J1715/1000000</f>
        <v>5.9058859522500002</v>
      </c>
      <c r="M1715" t="s">
        <v>39</v>
      </c>
    </row>
    <row r="1716" spans="2:13" x14ac:dyDescent="0.25">
      <c r="B1716" t="s">
        <v>13</v>
      </c>
      <c r="C1716" t="s">
        <v>14</v>
      </c>
      <c r="D1716" t="s">
        <v>52</v>
      </c>
      <c r="E1716">
        <v>2028</v>
      </c>
      <c r="F1716" t="s">
        <v>81</v>
      </c>
      <c r="G1716" t="s">
        <v>17</v>
      </c>
      <c r="H1716" t="s">
        <v>18</v>
      </c>
      <c r="I1716" s="8">
        <v>2035668.0319999999</v>
      </c>
      <c r="J1716" s="8">
        <v>1843370.0071874999</v>
      </c>
      <c r="K1716" s="8">
        <f>I1716/1000000</f>
        <v>2.0356680319999998</v>
      </c>
      <c r="L1716" s="8">
        <f>J1716/1000000</f>
        <v>1.8433700071874999</v>
      </c>
      <c r="M1716" t="s">
        <v>19</v>
      </c>
    </row>
    <row r="1717" spans="2:13" x14ac:dyDescent="0.25">
      <c r="B1717" t="s">
        <v>13</v>
      </c>
      <c r="C1717" t="s">
        <v>46</v>
      </c>
      <c r="D1717" t="s">
        <v>101</v>
      </c>
      <c r="E1717">
        <v>2029</v>
      </c>
      <c r="F1717" t="s">
        <v>81</v>
      </c>
      <c r="G1717" t="s">
        <v>17</v>
      </c>
      <c r="H1717" t="s">
        <v>18</v>
      </c>
      <c r="I1717" s="8">
        <v>442796.10509999999</v>
      </c>
      <c r="J1717" s="8">
        <v>400058.630785794</v>
      </c>
      <c r="K1717" s="8">
        <f>I1717/1000000</f>
        <v>0.4427961051</v>
      </c>
      <c r="L1717" s="8">
        <f>J1717/1000000</f>
        <v>0.40005863078579401</v>
      </c>
      <c r="M1717" t="s">
        <v>39</v>
      </c>
    </row>
    <row r="1718" spans="2:13" x14ac:dyDescent="0.25">
      <c r="B1718" t="s">
        <v>13</v>
      </c>
      <c r="C1718" t="s">
        <v>46</v>
      </c>
      <c r="D1718" t="s">
        <v>101</v>
      </c>
      <c r="E1718">
        <v>2030</v>
      </c>
      <c r="F1718" t="s">
        <v>81</v>
      </c>
      <c r="G1718" t="s">
        <v>17</v>
      </c>
      <c r="H1718" t="s">
        <v>18</v>
      </c>
      <c r="I1718" s="8">
        <v>407833.43119999999</v>
      </c>
      <c r="J1718" s="8">
        <v>368470.45893059397</v>
      </c>
      <c r="K1718" s="8">
        <f>I1718/1000000</f>
        <v>0.40783343119999999</v>
      </c>
      <c r="L1718" s="8">
        <f>J1718/1000000</f>
        <v>0.36847045893059399</v>
      </c>
      <c r="M1718" t="s">
        <v>39</v>
      </c>
    </row>
    <row r="1719" spans="2:13" x14ac:dyDescent="0.25">
      <c r="B1719" t="s">
        <v>13</v>
      </c>
      <c r="C1719" t="s">
        <v>46</v>
      </c>
      <c r="D1719" t="s">
        <v>69</v>
      </c>
      <c r="E1719">
        <v>2029</v>
      </c>
      <c r="F1719" t="s">
        <v>84</v>
      </c>
      <c r="G1719" t="s">
        <v>17</v>
      </c>
      <c r="H1719" t="s">
        <v>18</v>
      </c>
      <c r="I1719" s="8">
        <v>22312.4398</v>
      </c>
      <c r="J1719" s="8">
        <v>9768.3822545939001</v>
      </c>
      <c r="K1719" s="8">
        <f>I1719/1000000</f>
        <v>2.23124398E-2</v>
      </c>
      <c r="L1719" s="8">
        <f>J1719/1000000</f>
        <v>9.7683822545939006E-3</v>
      </c>
      <c r="M1719" t="s">
        <v>19</v>
      </c>
    </row>
    <row r="1720" spans="2:13" x14ac:dyDescent="0.25">
      <c r="B1720" t="s">
        <v>13</v>
      </c>
      <c r="C1720" t="s">
        <v>46</v>
      </c>
      <c r="D1720" t="s">
        <v>69</v>
      </c>
      <c r="E1720">
        <v>2030</v>
      </c>
      <c r="F1720" t="s">
        <v>84</v>
      </c>
      <c r="G1720" t="s">
        <v>17</v>
      </c>
      <c r="H1720" t="s">
        <v>18</v>
      </c>
      <c r="I1720" s="8">
        <v>17676.805100000001</v>
      </c>
      <c r="J1720" s="8">
        <v>7720.8041556974003</v>
      </c>
      <c r="K1720" s="8">
        <f>I1720/1000000</f>
        <v>1.7676805100000002E-2</v>
      </c>
      <c r="L1720" s="8">
        <f>J1720/1000000</f>
        <v>7.7208041556974007E-3</v>
      </c>
      <c r="M1720" t="s">
        <v>19</v>
      </c>
    </row>
    <row r="1721" spans="2:13" x14ac:dyDescent="0.25">
      <c r="B1721" t="s">
        <v>13</v>
      </c>
      <c r="C1721" t="s">
        <v>46</v>
      </c>
      <c r="D1721" t="s">
        <v>69</v>
      </c>
      <c r="E1721">
        <v>2028</v>
      </c>
      <c r="F1721" t="s">
        <v>84</v>
      </c>
      <c r="G1721" t="s">
        <v>17</v>
      </c>
      <c r="H1721" t="s">
        <v>18</v>
      </c>
      <c r="I1721" s="8">
        <v>15685.3675</v>
      </c>
      <c r="J1721" s="8">
        <v>5988.6062121995001</v>
      </c>
      <c r="K1721" s="8">
        <f>I1721/1000000</f>
        <v>1.5685367500000002E-2</v>
      </c>
      <c r="L1721" s="8">
        <f>J1721/1000000</f>
        <v>5.9886062121994998E-3</v>
      </c>
      <c r="M1721" t="s">
        <v>19</v>
      </c>
    </row>
    <row r="1722" spans="2:13" x14ac:dyDescent="0.25">
      <c r="B1722" t="s">
        <v>13</v>
      </c>
      <c r="C1722" t="s">
        <v>46</v>
      </c>
      <c r="D1722" t="s">
        <v>74</v>
      </c>
      <c r="E1722">
        <v>2029</v>
      </c>
      <c r="F1722" t="s">
        <v>84</v>
      </c>
      <c r="G1722" t="s">
        <v>17</v>
      </c>
      <c r="H1722" t="s">
        <v>18</v>
      </c>
      <c r="I1722" s="8">
        <v>954.96019999999999</v>
      </c>
      <c r="J1722" s="8">
        <v>658.9</v>
      </c>
      <c r="K1722" s="8">
        <f>I1722/1000000</f>
        <v>9.5496019999999999E-4</v>
      </c>
      <c r="L1722" s="8">
        <f>J1722/1000000</f>
        <v>6.5890000000000002E-4</v>
      </c>
      <c r="M1722" t="s">
        <v>19</v>
      </c>
    </row>
    <row r="1723" spans="2:13" x14ac:dyDescent="0.25">
      <c r="B1723" t="s">
        <v>13</v>
      </c>
      <c r="C1723" t="s">
        <v>46</v>
      </c>
      <c r="D1723" t="s">
        <v>74</v>
      </c>
      <c r="E1723">
        <v>2030</v>
      </c>
      <c r="F1723" t="s">
        <v>84</v>
      </c>
      <c r="G1723" t="s">
        <v>17</v>
      </c>
      <c r="H1723" t="s">
        <v>18</v>
      </c>
      <c r="I1723" s="8">
        <v>504.46899999999999</v>
      </c>
      <c r="J1723" s="8">
        <v>332.03500000000003</v>
      </c>
      <c r="K1723" s="8">
        <f>I1723/1000000</f>
        <v>5.0446900000000001E-4</v>
      </c>
      <c r="L1723" s="8">
        <f>J1723/1000000</f>
        <v>3.32035E-4</v>
      </c>
      <c r="M1723" t="s">
        <v>19</v>
      </c>
    </row>
    <row r="1724" spans="2:13" x14ac:dyDescent="0.25">
      <c r="B1724" t="s">
        <v>13</v>
      </c>
      <c r="C1724" t="s">
        <v>46</v>
      </c>
      <c r="D1724" t="s">
        <v>74</v>
      </c>
      <c r="E1724">
        <v>2026</v>
      </c>
      <c r="F1724" t="s">
        <v>84</v>
      </c>
      <c r="G1724" t="s">
        <v>17</v>
      </c>
      <c r="H1724" t="s">
        <v>18</v>
      </c>
      <c r="I1724" s="8">
        <v>1323.6660999999999</v>
      </c>
      <c r="J1724" s="8">
        <v>664.38250000000005</v>
      </c>
      <c r="K1724" s="8">
        <f>I1724/1000000</f>
        <v>1.3236660999999999E-3</v>
      </c>
      <c r="L1724" s="8">
        <f>J1724/1000000</f>
        <v>6.643825000000001E-4</v>
      </c>
      <c r="M1724" t="s">
        <v>19</v>
      </c>
    </row>
    <row r="1725" spans="2:13" x14ac:dyDescent="0.25">
      <c r="B1725" t="s">
        <v>13</v>
      </c>
      <c r="C1725" t="s">
        <v>46</v>
      </c>
      <c r="D1725" t="s">
        <v>74</v>
      </c>
      <c r="E1725">
        <v>2027</v>
      </c>
      <c r="F1725" t="s">
        <v>84</v>
      </c>
      <c r="G1725" t="s">
        <v>17</v>
      </c>
      <c r="H1725" t="s">
        <v>18</v>
      </c>
      <c r="I1725" s="8">
        <v>1314.9349</v>
      </c>
      <c r="J1725" s="8">
        <v>660</v>
      </c>
      <c r="K1725" s="8">
        <f>I1725/1000000</f>
        <v>1.3149348999999999E-3</v>
      </c>
      <c r="L1725" s="8">
        <f>J1725/1000000</f>
        <v>6.6E-4</v>
      </c>
      <c r="M1725" t="s">
        <v>19</v>
      </c>
    </row>
    <row r="1726" spans="2:13" x14ac:dyDescent="0.25">
      <c r="B1726" t="s">
        <v>13</v>
      </c>
      <c r="C1726" t="s">
        <v>46</v>
      </c>
      <c r="D1726" t="s">
        <v>74</v>
      </c>
      <c r="E1726">
        <v>2028</v>
      </c>
      <c r="F1726" t="s">
        <v>84</v>
      </c>
      <c r="G1726" t="s">
        <v>17</v>
      </c>
      <c r="H1726" t="s">
        <v>18</v>
      </c>
      <c r="I1726" s="8">
        <v>743.06600000000003</v>
      </c>
      <c r="J1726" s="8">
        <v>511.77891469190001</v>
      </c>
      <c r="K1726" s="8">
        <f>I1726/1000000</f>
        <v>7.4306600000000002E-4</v>
      </c>
      <c r="L1726" s="8">
        <f>J1726/1000000</f>
        <v>5.1177891469189997E-4</v>
      </c>
      <c r="M1726" t="s">
        <v>19</v>
      </c>
    </row>
    <row r="1727" spans="2:13" x14ac:dyDescent="0.25">
      <c r="B1727" t="s">
        <v>13</v>
      </c>
      <c r="C1727" t="s">
        <v>46</v>
      </c>
      <c r="D1727" t="s">
        <v>73</v>
      </c>
      <c r="E1727">
        <v>2026</v>
      </c>
      <c r="F1727" t="s">
        <v>84</v>
      </c>
      <c r="G1727" t="s">
        <v>17</v>
      </c>
      <c r="H1727" t="s">
        <v>18</v>
      </c>
      <c r="I1727" s="8">
        <v>3366.1395000000002</v>
      </c>
      <c r="J1727" s="8">
        <v>2393.8847999999998</v>
      </c>
      <c r="K1727" s="8">
        <f>I1727/1000000</f>
        <v>3.3661395000000004E-3</v>
      </c>
      <c r="L1727" s="8">
        <f>J1727/1000000</f>
        <v>2.3938847999999996E-3</v>
      </c>
      <c r="M1727" t="s">
        <v>19</v>
      </c>
    </row>
    <row r="1728" spans="2:13" x14ac:dyDescent="0.25">
      <c r="B1728" t="s">
        <v>13</v>
      </c>
      <c r="C1728" t="s">
        <v>46</v>
      </c>
      <c r="D1728" t="s">
        <v>73</v>
      </c>
      <c r="E1728">
        <v>2027</v>
      </c>
      <c r="F1728" t="s">
        <v>84</v>
      </c>
      <c r="G1728" t="s">
        <v>17</v>
      </c>
      <c r="H1728" t="s">
        <v>18</v>
      </c>
      <c r="I1728" s="8">
        <v>72.390299999999996</v>
      </c>
      <c r="J1728" s="8">
        <v>51.654888960000001</v>
      </c>
      <c r="K1728" s="8">
        <f>I1728/1000000</f>
        <v>7.2390299999999997E-5</v>
      </c>
      <c r="L1728" s="8">
        <f>J1728/1000000</f>
        <v>5.1654888960000003E-5</v>
      </c>
      <c r="M1728" t="s">
        <v>19</v>
      </c>
    </row>
    <row r="1729" spans="2:13" x14ac:dyDescent="0.25">
      <c r="B1729" t="s">
        <v>13</v>
      </c>
      <c r="C1729" t="s">
        <v>46</v>
      </c>
      <c r="D1729" t="s">
        <v>70</v>
      </c>
      <c r="E1729">
        <v>2026</v>
      </c>
      <c r="F1729" t="s">
        <v>84</v>
      </c>
      <c r="G1729" t="s">
        <v>17</v>
      </c>
      <c r="H1729" t="s">
        <v>18</v>
      </c>
      <c r="I1729" s="8">
        <v>25476.371899999998</v>
      </c>
      <c r="J1729" s="8">
        <v>8119.4949999999999</v>
      </c>
      <c r="K1729" s="8">
        <f>I1729/1000000</f>
        <v>2.5476371899999999E-2</v>
      </c>
      <c r="L1729" s="8">
        <f>J1729/1000000</f>
        <v>8.1194949999999991E-3</v>
      </c>
      <c r="M1729" t="s">
        <v>19</v>
      </c>
    </row>
    <row r="1730" spans="2:13" x14ac:dyDescent="0.25">
      <c r="B1730" t="s">
        <v>13</v>
      </c>
      <c r="C1730" t="s">
        <v>46</v>
      </c>
      <c r="D1730" t="s">
        <v>70</v>
      </c>
      <c r="E1730">
        <v>2027</v>
      </c>
      <c r="F1730" t="s">
        <v>84</v>
      </c>
      <c r="G1730" t="s">
        <v>17</v>
      </c>
      <c r="H1730" t="s">
        <v>18</v>
      </c>
      <c r="I1730" s="8">
        <v>592.8913</v>
      </c>
      <c r="J1730" s="8">
        <v>217.36107200000001</v>
      </c>
      <c r="K1730" s="8">
        <f>I1730/1000000</f>
        <v>5.9289130000000001E-4</v>
      </c>
      <c r="L1730" s="8">
        <f>J1730/1000000</f>
        <v>2.1736107200000002E-4</v>
      </c>
      <c r="M1730" t="s">
        <v>19</v>
      </c>
    </row>
    <row r="1731" spans="2:13" x14ac:dyDescent="0.25">
      <c r="B1731" t="s">
        <v>13</v>
      </c>
      <c r="C1731" t="s">
        <v>46</v>
      </c>
      <c r="D1731" t="s">
        <v>15</v>
      </c>
      <c r="E1731">
        <v>2026</v>
      </c>
      <c r="F1731" t="s">
        <v>84</v>
      </c>
      <c r="G1731" t="s">
        <v>17</v>
      </c>
      <c r="H1731" t="s">
        <v>18</v>
      </c>
      <c r="I1731" s="8">
        <v>2915.2626</v>
      </c>
      <c r="J1731" s="8">
        <v>630.61950000000002</v>
      </c>
      <c r="K1731" s="8">
        <f>I1731/1000000</f>
        <v>2.9152625999999998E-3</v>
      </c>
      <c r="L1731" s="8">
        <f>J1731/1000000</f>
        <v>6.3061949999999997E-4</v>
      </c>
      <c r="M1731" t="s">
        <v>19</v>
      </c>
    </row>
    <row r="1732" spans="2:13" x14ac:dyDescent="0.25">
      <c r="B1732" t="s">
        <v>13</v>
      </c>
      <c r="C1732" t="s">
        <v>46</v>
      </c>
      <c r="D1732" t="s">
        <v>15</v>
      </c>
      <c r="E1732">
        <v>2027</v>
      </c>
      <c r="F1732" t="s">
        <v>84</v>
      </c>
      <c r="G1732" t="s">
        <v>17</v>
      </c>
      <c r="H1732" t="s">
        <v>18</v>
      </c>
      <c r="I1732" s="8">
        <v>2300.9886999999999</v>
      </c>
      <c r="J1732" s="8">
        <v>497.56734693879997</v>
      </c>
      <c r="K1732" s="8">
        <f>I1732/1000000</f>
        <v>2.3009886999999997E-3</v>
      </c>
      <c r="L1732" s="8">
        <f>J1732/1000000</f>
        <v>4.9756734693879993E-4</v>
      </c>
      <c r="M1732" t="s">
        <v>19</v>
      </c>
    </row>
    <row r="1733" spans="2:13" x14ac:dyDescent="0.25">
      <c r="B1733" t="s">
        <v>13</v>
      </c>
      <c r="C1733" t="s">
        <v>46</v>
      </c>
      <c r="D1733" t="s">
        <v>15</v>
      </c>
      <c r="E1733">
        <v>2029</v>
      </c>
      <c r="F1733" t="s">
        <v>84</v>
      </c>
      <c r="G1733" t="s">
        <v>17</v>
      </c>
      <c r="H1733" t="s">
        <v>18</v>
      </c>
      <c r="I1733" s="8">
        <v>614.5829</v>
      </c>
      <c r="J1733" s="8">
        <v>204.41326530609999</v>
      </c>
      <c r="K1733" s="8">
        <f>I1733/1000000</f>
        <v>6.145829E-4</v>
      </c>
      <c r="L1733" s="8">
        <f>J1733/1000000</f>
        <v>2.0441326530609997E-4</v>
      </c>
      <c r="M1733" t="s">
        <v>19</v>
      </c>
    </row>
    <row r="1734" spans="2:13" x14ac:dyDescent="0.25">
      <c r="B1734" t="s">
        <v>13</v>
      </c>
      <c r="C1734" t="s">
        <v>46</v>
      </c>
      <c r="D1734" t="s">
        <v>15</v>
      </c>
      <c r="E1734">
        <v>2030</v>
      </c>
      <c r="F1734" t="s">
        <v>84</v>
      </c>
      <c r="G1734" t="s">
        <v>17</v>
      </c>
      <c r="H1734" t="s">
        <v>18</v>
      </c>
      <c r="I1734" s="8">
        <v>311.27210000000002</v>
      </c>
      <c r="J1734" s="8">
        <v>103.5306122449</v>
      </c>
      <c r="K1734" s="8">
        <f>I1734/1000000</f>
        <v>3.112721E-4</v>
      </c>
      <c r="L1734" s="8">
        <f>J1734/1000000</f>
        <v>1.0353061224489999E-4</v>
      </c>
      <c r="M1734" t="s">
        <v>19</v>
      </c>
    </row>
    <row r="1735" spans="2:13" x14ac:dyDescent="0.25">
      <c r="B1735" t="s">
        <v>13</v>
      </c>
      <c r="C1735" t="s">
        <v>46</v>
      </c>
      <c r="D1735" t="s">
        <v>100</v>
      </c>
      <c r="E1735">
        <v>2029</v>
      </c>
      <c r="F1735" t="s">
        <v>84</v>
      </c>
      <c r="G1735" t="s">
        <v>17</v>
      </c>
      <c r="H1735" t="s">
        <v>18</v>
      </c>
      <c r="I1735" s="8">
        <v>1974.2559000000001</v>
      </c>
      <c r="J1735" s="8">
        <v>1907.4935875225001</v>
      </c>
      <c r="K1735" s="8">
        <f>I1735/1000000</f>
        <v>1.9742559000000002E-3</v>
      </c>
      <c r="L1735" s="8">
        <f>J1735/1000000</f>
        <v>1.9074935875225002E-3</v>
      </c>
      <c r="M1735" t="s">
        <v>19</v>
      </c>
    </row>
    <row r="1736" spans="2:13" x14ac:dyDescent="0.25">
      <c r="B1736" t="s">
        <v>13</v>
      </c>
      <c r="C1736" t="s">
        <v>46</v>
      </c>
      <c r="D1736" t="s">
        <v>100</v>
      </c>
      <c r="E1736">
        <v>2030</v>
      </c>
      <c r="F1736" t="s">
        <v>84</v>
      </c>
      <c r="G1736" t="s">
        <v>17</v>
      </c>
      <c r="H1736" t="s">
        <v>18</v>
      </c>
      <c r="I1736" s="8">
        <v>994.94579999999996</v>
      </c>
      <c r="J1736" s="8">
        <v>961.30028055139996</v>
      </c>
      <c r="K1736" s="8">
        <f>I1736/1000000</f>
        <v>9.9494579999999996E-4</v>
      </c>
      <c r="L1736" s="8">
        <f>J1736/1000000</f>
        <v>9.6130028055139993E-4</v>
      </c>
      <c r="M1736" t="s">
        <v>19</v>
      </c>
    </row>
    <row r="1737" spans="2:13" x14ac:dyDescent="0.25">
      <c r="B1737" t="s">
        <v>13</v>
      </c>
      <c r="C1737" t="s">
        <v>46</v>
      </c>
      <c r="D1737" t="s">
        <v>100</v>
      </c>
      <c r="E1737">
        <v>2026</v>
      </c>
      <c r="F1737" t="s">
        <v>84</v>
      </c>
      <c r="G1737" t="s">
        <v>17</v>
      </c>
      <c r="H1737" t="s">
        <v>18</v>
      </c>
      <c r="I1737" s="8">
        <v>3091.0075000000002</v>
      </c>
      <c r="J1737" s="8">
        <v>2370.6432</v>
      </c>
      <c r="K1737" s="8">
        <f>I1737/1000000</f>
        <v>3.0910075E-3</v>
      </c>
      <c r="L1737" s="8">
        <f>J1737/1000000</f>
        <v>2.3706432E-3</v>
      </c>
      <c r="M1737" t="s">
        <v>19</v>
      </c>
    </row>
    <row r="1738" spans="2:13" x14ac:dyDescent="0.25">
      <c r="B1738" t="s">
        <v>13</v>
      </c>
      <c r="C1738" t="s">
        <v>46</v>
      </c>
      <c r="D1738" t="s">
        <v>100</v>
      </c>
      <c r="E1738">
        <v>2027</v>
      </c>
      <c r="F1738" t="s">
        <v>84</v>
      </c>
      <c r="G1738" t="s">
        <v>17</v>
      </c>
      <c r="H1738" t="s">
        <v>18</v>
      </c>
      <c r="I1738" s="8">
        <v>2025.1945000000001</v>
      </c>
      <c r="J1738" s="8">
        <v>1937.0583360000001</v>
      </c>
      <c r="K1738" s="8">
        <f>I1738/1000000</f>
        <v>2.0251944999999999E-3</v>
      </c>
      <c r="L1738" s="8">
        <f>J1738/1000000</f>
        <v>1.9370583360000001E-3</v>
      </c>
      <c r="M1738" t="s">
        <v>19</v>
      </c>
    </row>
    <row r="1739" spans="2:13" x14ac:dyDescent="0.25">
      <c r="B1739" t="s">
        <v>13</v>
      </c>
      <c r="C1739" t="s">
        <v>46</v>
      </c>
      <c r="D1739" t="s">
        <v>100</v>
      </c>
      <c r="E1739">
        <v>2028</v>
      </c>
      <c r="F1739" t="s">
        <v>84</v>
      </c>
      <c r="G1739" t="s">
        <v>17</v>
      </c>
      <c r="H1739" t="s">
        <v>18</v>
      </c>
      <c r="I1739" s="8">
        <v>1565.8033</v>
      </c>
      <c r="J1739" s="8">
        <v>1512.85345218</v>
      </c>
      <c r="K1739" s="8">
        <f>I1739/1000000</f>
        <v>1.5658033E-3</v>
      </c>
      <c r="L1739" s="8">
        <f>J1739/1000000</f>
        <v>1.51285345218E-3</v>
      </c>
      <c r="M1739" t="s">
        <v>19</v>
      </c>
    </row>
    <row r="1740" spans="2:13" x14ac:dyDescent="0.25">
      <c r="B1740" t="s">
        <v>13</v>
      </c>
      <c r="C1740" t="s">
        <v>46</v>
      </c>
      <c r="D1740" t="s">
        <v>72</v>
      </c>
      <c r="E1740">
        <v>2026</v>
      </c>
      <c r="F1740" t="s">
        <v>84</v>
      </c>
      <c r="G1740" t="s">
        <v>17</v>
      </c>
      <c r="H1740" t="s">
        <v>18</v>
      </c>
      <c r="I1740" s="8">
        <v>8423.5452999999998</v>
      </c>
      <c r="J1740" s="8">
        <v>2370.6432</v>
      </c>
      <c r="K1740" s="8">
        <f>I1740/1000000</f>
        <v>8.4235452999999998E-3</v>
      </c>
      <c r="L1740" s="8">
        <f>J1740/1000000</f>
        <v>2.3706432E-3</v>
      </c>
      <c r="M1740" t="s">
        <v>19</v>
      </c>
    </row>
    <row r="1741" spans="2:13" x14ac:dyDescent="0.25">
      <c r="B1741" t="s">
        <v>13</v>
      </c>
      <c r="C1741" t="s">
        <v>46</v>
      </c>
      <c r="D1741" t="s">
        <v>72</v>
      </c>
      <c r="E1741">
        <v>2027</v>
      </c>
      <c r="F1741" t="s">
        <v>84</v>
      </c>
      <c r="G1741" t="s">
        <v>17</v>
      </c>
      <c r="H1741" t="s">
        <v>18</v>
      </c>
      <c r="I1741" s="8">
        <v>6882.9114</v>
      </c>
      <c r="J1741" s="8">
        <v>1937.0583360000001</v>
      </c>
      <c r="K1741" s="8">
        <f>I1741/1000000</f>
        <v>6.8829114000000004E-3</v>
      </c>
      <c r="L1741" s="8">
        <f>J1741/1000000</f>
        <v>1.9370583360000001E-3</v>
      </c>
      <c r="M1741" t="s">
        <v>19</v>
      </c>
    </row>
    <row r="1742" spans="2:13" x14ac:dyDescent="0.25">
      <c r="B1742" t="s">
        <v>13</v>
      </c>
      <c r="C1742" t="s">
        <v>46</v>
      </c>
      <c r="D1742" t="s">
        <v>72</v>
      </c>
      <c r="E1742">
        <v>2028</v>
      </c>
      <c r="F1742" t="s">
        <v>84</v>
      </c>
      <c r="G1742" t="s">
        <v>17</v>
      </c>
      <c r="H1742" t="s">
        <v>18</v>
      </c>
      <c r="I1742" s="8">
        <v>5285.152</v>
      </c>
      <c r="J1742" s="8">
        <v>1507.6367161380001</v>
      </c>
      <c r="K1742" s="8">
        <f>I1742/1000000</f>
        <v>5.2851520000000004E-3</v>
      </c>
      <c r="L1742" s="8">
        <f>J1742/1000000</f>
        <v>1.5076367161380002E-3</v>
      </c>
      <c r="M1742" t="s">
        <v>19</v>
      </c>
    </row>
    <row r="1743" spans="2:13" x14ac:dyDescent="0.25">
      <c r="B1743" t="s">
        <v>13</v>
      </c>
      <c r="C1743" t="s">
        <v>46</v>
      </c>
      <c r="D1743" t="s">
        <v>72</v>
      </c>
      <c r="E1743">
        <v>2029</v>
      </c>
      <c r="F1743" t="s">
        <v>84</v>
      </c>
      <c r="G1743" t="s">
        <v>17</v>
      </c>
      <c r="H1743" t="s">
        <v>18</v>
      </c>
      <c r="I1743" s="8">
        <v>3144.7197999999999</v>
      </c>
      <c r="J1743" s="8">
        <v>1426.4350233492</v>
      </c>
      <c r="K1743" s="8">
        <f>I1743/1000000</f>
        <v>3.1447197999999997E-3</v>
      </c>
      <c r="L1743" s="8">
        <f>J1743/1000000</f>
        <v>1.4264350233491999E-3</v>
      </c>
      <c r="M1743" t="s">
        <v>19</v>
      </c>
    </row>
    <row r="1744" spans="2:13" x14ac:dyDescent="0.25">
      <c r="B1744" t="s">
        <v>13</v>
      </c>
      <c r="C1744" t="s">
        <v>46</v>
      </c>
      <c r="D1744" t="s">
        <v>72</v>
      </c>
      <c r="E1744">
        <v>2030</v>
      </c>
      <c r="F1744" t="s">
        <v>84</v>
      </c>
      <c r="G1744" t="s">
        <v>17</v>
      </c>
      <c r="H1744" t="s">
        <v>18</v>
      </c>
      <c r="I1744" s="8">
        <v>1598.5063</v>
      </c>
      <c r="J1744" s="8">
        <v>725.0774509762</v>
      </c>
      <c r="K1744" s="8">
        <f>I1744/1000000</f>
        <v>1.5985063000000001E-3</v>
      </c>
      <c r="L1744" s="8">
        <f>J1744/1000000</f>
        <v>7.2507745097620004E-4</v>
      </c>
      <c r="M1744" t="s">
        <v>19</v>
      </c>
    </row>
    <row r="1745" spans="2:13" x14ac:dyDescent="0.25">
      <c r="B1745" t="s">
        <v>13</v>
      </c>
      <c r="C1745" t="s">
        <v>46</v>
      </c>
      <c r="D1745" t="s">
        <v>69</v>
      </c>
      <c r="E1745">
        <v>2027</v>
      </c>
      <c r="F1745" t="s">
        <v>84</v>
      </c>
      <c r="G1745" t="s">
        <v>17</v>
      </c>
      <c r="H1745" t="s">
        <v>18</v>
      </c>
      <c r="I1745" s="8">
        <v>770.63509999999997</v>
      </c>
      <c r="J1745" s="8">
        <v>258.27444480000003</v>
      </c>
      <c r="K1745" s="8">
        <f>I1745/1000000</f>
        <v>7.7063510000000002E-4</v>
      </c>
      <c r="L1745" s="8">
        <f>J1745/1000000</f>
        <v>2.5827444480000002E-4</v>
      </c>
      <c r="M1745" t="s">
        <v>19</v>
      </c>
    </row>
    <row r="1746" spans="2:13" x14ac:dyDescent="0.25">
      <c r="B1746" t="s">
        <v>13</v>
      </c>
      <c r="C1746" t="s">
        <v>46</v>
      </c>
      <c r="D1746" t="s">
        <v>15</v>
      </c>
      <c r="E1746">
        <v>2028</v>
      </c>
      <c r="F1746" t="s">
        <v>84</v>
      </c>
      <c r="G1746" t="s">
        <v>17</v>
      </c>
      <c r="H1746" t="s">
        <v>18</v>
      </c>
      <c r="I1746" s="8">
        <v>1164.624</v>
      </c>
      <c r="J1746" s="8">
        <v>387.36097854209999</v>
      </c>
      <c r="K1746" s="8">
        <f>I1746/1000000</f>
        <v>1.164624E-3</v>
      </c>
      <c r="L1746" s="8">
        <f>J1746/1000000</f>
        <v>3.873609785421E-4</v>
      </c>
      <c r="M1746" t="s">
        <v>19</v>
      </c>
    </row>
    <row r="1747" spans="2:13" x14ac:dyDescent="0.25">
      <c r="B1747" t="s">
        <v>13</v>
      </c>
      <c r="C1747" t="s">
        <v>46</v>
      </c>
      <c r="D1747" t="s">
        <v>69</v>
      </c>
      <c r="E1747">
        <v>2028</v>
      </c>
      <c r="F1747" t="s">
        <v>86</v>
      </c>
      <c r="G1747" t="s">
        <v>17</v>
      </c>
      <c r="H1747" t="s">
        <v>18</v>
      </c>
      <c r="I1747" s="8">
        <v>3671173.2044000002</v>
      </c>
      <c r="J1747" s="8">
        <v>1401638.22894428</v>
      </c>
      <c r="K1747" s="8">
        <f>I1747/1000000</f>
        <v>3.6711732044000001</v>
      </c>
      <c r="L1747" s="8">
        <f>J1747/1000000</f>
        <v>1.4016382289442799</v>
      </c>
      <c r="M1747" t="s">
        <v>19</v>
      </c>
    </row>
    <row r="1748" spans="2:13" x14ac:dyDescent="0.25">
      <c r="B1748" t="s">
        <v>13</v>
      </c>
      <c r="C1748" t="s">
        <v>46</v>
      </c>
      <c r="D1748" t="s">
        <v>69</v>
      </c>
      <c r="E1748">
        <v>2029</v>
      </c>
      <c r="F1748" t="s">
        <v>86</v>
      </c>
      <c r="G1748" t="s">
        <v>17</v>
      </c>
      <c r="H1748" t="s">
        <v>18</v>
      </c>
      <c r="I1748" s="8">
        <v>3277383.3182000001</v>
      </c>
      <c r="J1748" s="8">
        <v>1434837.8468279601</v>
      </c>
      <c r="K1748" s="8">
        <f>I1748/1000000</f>
        <v>3.2773833182000001</v>
      </c>
      <c r="L1748" s="8">
        <f>J1748/1000000</f>
        <v>1.4348378468279601</v>
      </c>
      <c r="M1748" t="s">
        <v>19</v>
      </c>
    </row>
    <row r="1749" spans="2:13" x14ac:dyDescent="0.25">
      <c r="B1749" t="s">
        <v>13</v>
      </c>
      <c r="C1749" t="s">
        <v>46</v>
      </c>
      <c r="D1749" t="s">
        <v>69</v>
      </c>
      <c r="E1749">
        <v>2030</v>
      </c>
      <c r="F1749" t="s">
        <v>86</v>
      </c>
      <c r="G1749" t="s">
        <v>17</v>
      </c>
      <c r="H1749" t="s">
        <v>18</v>
      </c>
      <c r="I1749" s="8">
        <v>3108480.1888000001</v>
      </c>
      <c r="J1749" s="8">
        <v>1357709.52749499</v>
      </c>
      <c r="K1749" s="8">
        <f>I1749/1000000</f>
        <v>3.1084801888000002</v>
      </c>
      <c r="L1749" s="8">
        <f>J1749/1000000</f>
        <v>1.35770952749499</v>
      </c>
      <c r="M1749" t="s">
        <v>19</v>
      </c>
    </row>
    <row r="1750" spans="2:13" x14ac:dyDescent="0.25">
      <c r="B1750" t="s">
        <v>13</v>
      </c>
      <c r="C1750" t="s">
        <v>46</v>
      </c>
      <c r="D1750" t="s">
        <v>69</v>
      </c>
      <c r="E1750">
        <v>2026</v>
      </c>
      <c r="F1750" t="s">
        <v>86</v>
      </c>
      <c r="G1750" t="s">
        <v>17</v>
      </c>
      <c r="H1750" t="s">
        <v>18</v>
      </c>
      <c r="I1750" s="8">
        <v>5338504.1163999997</v>
      </c>
      <c r="J1750" s="8">
        <v>1711000</v>
      </c>
      <c r="K1750" s="8">
        <f>I1750/1000000</f>
        <v>5.3385041163999993</v>
      </c>
      <c r="L1750" s="8">
        <f>J1750/1000000</f>
        <v>1.7110000000000001</v>
      </c>
      <c r="M1750" t="s">
        <v>19</v>
      </c>
    </row>
    <row r="1751" spans="2:13" x14ac:dyDescent="0.25">
      <c r="B1751" t="s">
        <v>13</v>
      </c>
      <c r="C1751" t="s">
        <v>46</v>
      </c>
      <c r="D1751" t="s">
        <v>69</v>
      </c>
      <c r="E1751">
        <v>2027</v>
      </c>
      <c r="F1751" t="s">
        <v>86</v>
      </c>
      <c r="G1751" t="s">
        <v>17</v>
      </c>
      <c r="H1751" t="s">
        <v>18</v>
      </c>
      <c r="I1751" s="8">
        <v>4072377.2008000002</v>
      </c>
      <c r="J1751" s="8">
        <v>1370586.8644207299</v>
      </c>
      <c r="K1751" s="8">
        <f>I1751/1000000</f>
        <v>4.0723772008000001</v>
      </c>
      <c r="L1751" s="8">
        <f>J1751/1000000</f>
        <v>1.37058686442073</v>
      </c>
      <c r="M1751" t="s">
        <v>19</v>
      </c>
    </row>
    <row r="1752" spans="2:13" x14ac:dyDescent="0.25">
      <c r="B1752" t="s">
        <v>13</v>
      </c>
      <c r="C1752" t="s">
        <v>46</v>
      </c>
      <c r="D1752" t="s">
        <v>73</v>
      </c>
      <c r="E1752">
        <v>2026</v>
      </c>
      <c r="F1752" t="s">
        <v>86</v>
      </c>
      <c r="G1752" t="s">
        <v>17</v>
      </c>
      <c r="H1752" t="s">
        <v>18</v>
      </c>
      <c r="I1752" s="8">
        <v>1119863.3474999999</v>
      </c>
      <c r="J1752" s="8">
        <v>1190400</v>
      </c>
      <c r="K1752" s="8">
        <f>I1752/1000000</f>
        <v>1.1198633474999999</v>
      </c>
      <c r="L1752" s="8">
        <f>J1752/1000000</f>
        <v>1.1903999999999999</v>
      </c>
      <c r="M1752" t="s">
        <v>19</v>
      </c>
    </row>
    <row r="1753" spans="2:13" x14ac:dyDescent="0.25">
      <c r="B1753" t="s">
        <v>13</v>
      </c>
      <c r="C1753" t="s">
        <v>46</v>
      </c>
      <c r="D1753" t="s">
        <v>70</v>
      </c>
      <c r="E1753">
        <v>2026</v>
      </c>
      <c r="F1753" t="s">
        <v>86</v>
      </c>
      <c r="G1753" t="s">
        <v>17</v>
      </c>
      <c r="H1753" t="s">
        <v>18</v>
      </c>
      <c r="I1753" s="8">
        <v>2571344.3177999998</v>
      </c>
      <c r="J1753" s="8">
        <v>1262000</v>
      </c>
      <c r="K1753" s="8">
        <f>I1753/1000000</f>
        <v>2.5713443177999999</v>
      </c>
      <c r="L1753" s="8">
        <f>J1753/1000000</f>
        <v>1.262</v>
      </c>
      <c r="M1753" t="s">
        <v>19</v>
      </c>
    </row>
    <row r="1754" spans="2:13" x14ac:dyDescent="0.25">
      <c r="B1754" t="s">
        <v>13</v>
      </c>
      <c r="C1754" t="s">
        <v>46</v>
      </c>
      <c r="D1754" t="s">
        <v>15</v>
      </c>
      <c r="E1754">
        <v>2028</v>
      </c>
      <c r="F1754" t="s">
        <v>86</v>
      </c>
      <c r="G1754" t="s">
        <v>17</v>
      </c>
      <c r="H1754" t="s">
        <v>18</v>
      </c>
      <c r="I1754" s="8">
        <v>401074.51260000002</v>
      </c>
      <c r="J1754" s="8">
        <v>133446.05313099601</v>
      </c>
      <c r="K1754" s="8">
        <f>I1754/1000000</f>
        <v>0.40107451260000004</v>
      </c>
      <c r="L1754" s="8">
        <f>J1754/1000000</f>
        <v>0.133446053130996</v>
      </c>
      <c r="M1754" t="s">
        <v>19</v>
      </c>
    </row>
    <row r="1755" spans="2:13" x14ac:dyDescent="0.25">
      <c r="B1755" t="s">
        <v>13</v>
      </c>
      <c r="C1755" t="s">
        <v>46</v>
      </c>
      <c r="D1755" t="s">
        <v>15</v>
      </c>
      <c r="E1755">
        <v>2026</v>
      </c>
      <c r="F1755" t="s">
        <v>86</v>
      </c>
      <c r="G1755" t="s">
        <v>17</v>
      </c>
      <c r="H1755" t="s">
        <v>18</v>
      </c>
      <c r="I1755" s="8">
        <v>652292.42599999998</v>
      </c>
      <c r="J1755" s="8">
        <v>141085.137784071</v>
      </c>
      <c r="K1755" s="8">
        <f>I1755/1000000</f>
        <v>0.65229242599999993</v>
      </c>
      <c r="L1755" s="8">
        <f>J1755/1000000</f>
        <v>0.141085137784071</v>
      </c>
      <c r="M1755" t="s">
        <v>19</v>
      </c>
    </row>
    <row r="1756" spans="2:13" x14ac:dyDescent="0.25">
      <c r="B1756" t="s">
        <v>13</v>
      </c>
      <c r="C1756" t="s">
        <v>46</v>
      </c>
      <c r="D1756" t="s">
        <v>15</v>
      </c>
      <c r="E1756">
        <v>2027</v>
      </c>
      <c r="F1756" t="s">
        <v>86</v>
      </c>
      <c r="G1756" t="s">
        <v>17</v>
      </c>
      <c r="H1756" t="s">
        <v>18</v>
      </c>
      <c r="I1756" s="8">
        <v>637457.14800000004</v>
      </c>
      <c r="J1756" s="8">
        <v>137876.39710698</v>
      </c>
      <c r="K1756" s="8">
        <f>I1756/1000000</f>
        <v>0.63745714800000008</v>
      </c>
      <c r="L1756" s="8">
        <f>J1756/1000000</f>
        <v>0.13787639710697999</v>
      </c>
      <c r="M1756" t="s">
        <v>19</v>
      </c>
    </row>
    <row r="1757" spans="2:13" x14ac:dyDescent="0.25">
      <c r="B1757" t="s">
        <v>13</v>
      </c>
      <c r="C1757" t="s">
        <v>46</v>
      </c>
      <c r="D1757" t="s">
        <v>15</v>
      </c>
      <c r="E1757">
        <v>2030</v>
      </c>
      <c r="F1757" t="s">
        <v>86</v>
      </c>
      <c r="G1757" t="s">
        <v>17</v>
      </c>
      <c r="H1757" t="s">
        <v>18</v>
      </c>
      <c r="I1757" s="8">
        <v>365669.79100000003</v>
      </c>
      <c r="J1757" s="8">
        <v>121666.14639843701</v>
      </c>
      <c r="K1757" s="8">
        <f>I1757/1000000</f>
        <v>0.36566979100000002</v>
      </c>
      <c r="L1757" s="8">
        <f>J1757/1000000</f>
        <v>0.12166614639843701</v>
      </c>
      <c r="M1757" t="s">
        <v>19</v>
      </c>
    </row>
    <row r="1758" spans="2:13" x14ac:dyDescent="0.25">
      <c r="B1758" t="s">
        <v>13</v>
      </c>
      <c r="C1758" t="s">
        <v>46</v>
      </c>
      <c r="D1758" t="s">
        <v>100</v>
      </c>
      <c r="E1758">
        <v>2026</v>
      </c>
      <c r="F1758" t="s">
        <v>86</v>
      </c>
      <c r="G1758" t="s">
        <v>17</v>
      </c>
      <c r="H1758" t="s">
        <v>18</v>
      </c>
      <c r="I1758" s="8">
        <v>3717659.6411000001</v>
      </c>
      <c r="J1758" s="8">
        <v>978050</v>
      </c>
      <c r="K1758" s="8">
        <f>I1758/1000000</f>
        <v>3.7176596411</v>
      </c>
      <c r="L1758" s="8">
        <f>J1758/1000000</f>
        <v>0.97804999999999997</v>
      </c>
      <c r="M1758" t="s">
        <v>19</v>
      </c>
    </row>
    <row r="1759" spans="2:13" x14ac:dyDescent="0.25">
      <c r="B1759" t="s">
        <v>13</v>
      </c>
      <c r="C1759" t="s">
        <v>46</v>
      </c>
      <c r="D1759" t="s">
        <v>100</v>
      </c>
      <c r="E1759">
        <v>2029</v>
      </c>
      <c r="F1759" t="s">
        <v>86</v>
      </c>
      <c r="G1759" t="s">
        <v>17</v>
      </c>
      <c r="H1759" t="s">
        <v>18</v>
      </c>
      <c r="I1759" s="8">
        <v>2013443.7032999999</v>
      </c>
      <c r="J1759" s="8">
        <v>887531.14094248903</v>
      </c>
      <c r="K1759" s="8">
        <f>I1759/1000000</f>
        <v>2.0134437033000001</v>
      </c>
      <c r="L1759" s="8">
        <f>J1759/1000000</f>
        <v>0.88753114094248908</v>
      </c>
      <c r="M1759" t="s">
        <v>19</v>
      </c>
    </row>
    <row r="1760" spans="2:13" x14ac:dyDescent="0.25">
      <c r="B1760" t="s">
        <v>13</v>
      </c>
      <c r="C1760" t="s">
        <v>46</v>
      </c>
      <c r="D1760" t="s">
        <v>100</v>
      </c>
      <c r="E1760">
        <v>2030</v>
      </c>
      <c r="F1760" t="s">
        <v>86</v>
      </c>
      <c r="G1760" t="s">
        <v>17</v>
      </c>
      <c r="H1760" t="s">
        <v>18</v>
      </c>
      <c r="I1760" s="8">
        <v>1888871.9859</v>
      </c>
      <c r="J1760" s="8">
        <v>840025.31505296705</v>
      </c>
      <c r="K1760" s="8">
        <f>I1760/1000000</f>
        <v>1.8888719859000001</v>
      </c>
      <c r="L1760" s="8">
        <f>J1760/1000000</f>
        <v>0.84002531505296707</v>
      </c>
      <c r="M1760" t="s">
        <v>19</v>
      </c>
    </row>
    <row r="1761" spans="2:13" x14ac:dyDescent="0.25">
      <c r="B1761" t="s">
        <v>13</v>
      </c>
      <c r="C1761" t="s">
        <v>46</v>
      </c>
      <c r="D1761" t="s">
        <v>100</v>
      </c>
      <c r="E1761">
        <v>2027</v>
      </c>
      <c r="F1761" t="s">
        <v>86</v>
      </c>
      <c r="G1761" t="s">
        <v>17</v>
      </c>
      <c r="H1761" t="s">
        <v>18</v>
      </c>
      <c r="I1761" s="8">
        <v>2051831.7004</v>
      </c>
      <c r="J1761" s="8">
        <v>954710.58987482102</v>
      </c>
      <c r="K1761" s="8">
        <f>I1761/1000000</f>
        <v>2.0518317004000002</v>
      </c>
      <c r="L1761" s="8">
        <f>J1761/1000000</f>
        <v>0.95471058987482105</v>
      </c>
      <c r="M1761" t="s">
        <v>19</v>
      </c>
    </row>
    <row r="1762" spans="2:13" x14ac:dyDescent="0.25">
      <c r="B1762" t="s">
        <v>13</v>
      </c>
      <c r="C1762" t="s">
        <v>46</v>
      </c>
      <c r="D1762" t="s">
        <v>100</v>
      </c>
      <c r="E1762">
        <v>2028</v>
      </c>
      <c r="F1762" t="s">
        <v>86</v>
      </c>
      <c r="G1762" t="s">
        <v>17</v>
      </c>
      <c r="H1762" t="s">
        <v>18</v>
      </c>
      <c r="I1762" s="8">
        <v>1972144.5893000001</v>
      </c>
      <c r="J1762" s="8">
        <v>926503.07572963706</v>
      </c>
      <c r="K1762" s="8">
        <f>I1762/1000000</f>
        <v>1.9721445893</v>
      </c>
      <c r="L1762" s="8">
        <f>J1762/1000000</f>
        <v>0.92650307572963708</v>
      </c>
      <c r="M1762" t="s">
        <v>19</v>
      </c>
    </row>
    <row r="1763" spans="2:13" x14ac:dyDescent="0.25">
      <c r="B1763" t="s">
        <v>13</v>
      </c>
      <c r="C1763" t="s">
        <v>46</v>
      </c>
      <c r="D1763" t="s">
        <v>72</v>
      </c>
      <c r="E1763">
        <v>2026</v>
      </c>
      <c r="F1763" t="s">
        <v>86</v>
      </c>
      <c r="G1763" t="s">
        <v>17</v>
      </c>
      <c r="H1763" t="s">
        <v>18</v>
      </c>
      <c r="I1763" s="8">
        <v>3255657.9972000001</v>
      </c>
      <c r="J1763" s="8">
        <v>1141800</v>
      </c>
      <c r="K1763" s="8">
        <f>I1763/1000000</f>
        <v>3.2556579972000002</v>
      </c>
      <c r="L1763" s="8">
        <f>J1763/1000000</f>
        <v>1.1417999999999999</v>
      </c>
      <c r="M1763" t="s">
        <v>19</v>
      </c>
    </row>
    <row r="1764" spans="2:13" x14ac:dyDescent="0.25">
      <c r="B1764" t="s">
        <v>13</v>
      </c>
      <c r="C1764" t="s">
        <v>46</v>
      </c>
      <c r="D1764" t="s">
        <v>72</v>
      </c>
      <c r="E1764">
        <v>2029</v>
      </c>
      <c r="F1764" t="s">
        <v>86</v>
      </c>
      <c r="G1764" t="s">
        <v>17</v>
      </c>
      <c r="H1764" t="s">
        <v>18</v>
      </c>
      <c r="I1764" s="8">
        <v>2234840.3158999998</v>
      </c>
      <c r="J1764" s="8">
        <v>1070266.5670102199</v>
      </c>
      <c r="K1764" s="8">
        <f>I1764/1000000</f>
        <v>2.2348403158999997</v>
      </c>
      <c r="L1764" s="8">
        <f>J1764/1000000</f>
        <v>1.0702665670102198</v>
      </c>
      <c r="M1764" t="s">
        <v>19</v>
      </c>
    </row>
    <row r="1765" spans="2:13" x14ac:dyDescent="0.25">
      <c r="B1765" t="s">
        <v>13</v>
      </c>
      <c r="C1765" t="s">
        <v>46</v>
      </c>
      <c r="D1765" t="s">
        <v>72</v>
      </c>
      <c r="E1765">
        <v>2030</v>
      </c>
      <c r="F1765" t="s">
        <v>86</v>
      </c>
      <c r="G1765" t="s">
        <v>17</v>
      </c>
      <c r="H1765" t="s">
        <v>18</v>
      </c>
      <c r="I1765" s="8">
        <v>2133475.0263</v>
      </c>
      <c r="J1765" s="8">
        <v>1021722.65998703</v>
      </c>
      <c r="K1765" s="8">
        <f>I1765/1000000</f>
        <v>2.1334750263000002</v>
      </c>
      <c r="L1765" s="8">
        <f>J1765/1000000</f>
        <v>1.0217226599870299</v>
      </c>
      <c r="M1765" t="s">
        <v>19</v>
      </c>
    </row>
    <row r="1766" spans="2:13" x14ac:dyDescent="0.25">
      <c r="B1766" t="s">
        <v>13</v>
      </c>
      <c r="C1766" t="s">
        <v>46</v>
      </c>
      <c r="D1766" t="s">
        <v>72</v>
      </c>
      <c r="E1766">
        <v>2027</v>
      </c>
      <c r="F1766" t="s">
        <v>86</v>
      </c>
      <c r="G1766" t="s">
        <v>17</v>
      </c>
      <c r="H1766" t="s">
        <v>18</v>
      </c>
      <c r="I1766" s="8">
        <v>2757972.3813999998</v>
      </c>
      <c r="J1766" s="8">
        <v>1125088.4606183199</v>
      </c>
      <c r="K1766" s="8">
        <f>I1766/1000000</f>
        <v>2.7579723813999997</v>
      </c>
      <c r="L1766" s="8">
        <f>J1766/1000000</f>
        <v>1.12508846061832</v>
      </c>
      <c r="M1766" t="s">
        <v>19</v>
      </c>
    </row>
    <row r="1767" spans="2:13" x14ac:dyDescent="0.25">
      <c r="B1767" t="s">
        <v>13</v>
      </c>
      <c r="C1767" t="s">
        <v>46</v>
      </c>
      <c r="D1767" t="s">
        <v>72</v>
      </c>
      <c r="E1767">
        <v>2028</v>
      </c>
      <c r="F1767" t="s">
        <v>86</v>
      </c>
      <c r="G1767" t="s">
        <v>17</v>
      </c>
      <c r="H1767" t="s">
        <v>18</v>
      </c>
      <c r="I1767" s="8">
        <v>2700490.5337999999</v>
      </c>
      <c r="J1767" s="8">
        <v>1107613.8197022299</v>
      </c>
      <c r="K1767" s="8">
        <f>I1767/1000000</f>
        <v>2.7004905338</v>
      </c>
      <c r="L1767" s="8">
        <f>J1767/1000000</f>
        <v>1.1076138197022298</v>
      </c>
      <c r="M1767" t="s">
        <v>19</v>
      </c>
    </row>
    <row r="1768" spans="2:13" x14ac:dyDescent="0.25">
      <c r="B1768" t="s">
        <v>13</v>
      </c>
      <c r="C1768" t="s">
        <v>46</v>
      </c>
      <c r="D1768" t="s">
        <v>103</v>
      </c>
      <c r="E1768">
        <v>2029</v>
      </c>
      <c r="F1768" t="s">
        <v>86</v>
      </c>
      <c r="G1768" t="s">
        <v>17</v>
      </c>
      <c r="H1768" t="s">
        <v>18</v>
      </c>
      <c r="I1768" s="8">
        <v>301663.9081</v>
      </c>
      <c r="J1768" s="8">
        <v>29324.3817013349</v>
      </c>
      <c r="K1768" s="8">
        <f>I1768/1000000</f>
        <v>0.30166390809999999</v>
      </c>
      <c r="L1768" s="8">
        <f>J1768/1000000</f>
        <v>2.93243817013349E-2</v>
      </c>
      <c r="M1768" t="s">
        <v>39</v>
      </c>
    </row>
    <row r="1769" spans="2:13" x14ac:dyDescent="0.25">
      <c r="B1769" t="s">
        <v>13</v>
      </c>
      <c r="C1769" t="s">
        <v>46</v>
      </c>
      <c r="D1769" t="s">
        <v>103</v>
      </c>
      <c r="E1769">
        <v>2030</v>
      </c>
      <c r="F1769" t="s">
        <v>86</v>
      </c>
      <c r="G1769" t="s">
        <v>17</v>
      </c>
      <c r="H1769" t="s">
        <v>18</v>
      </c>
      <c r="I1769" s="8">
        <v>330856.7917</v>
      </c>
      <c r="J1769" s="8">
        <v>32117.420637974901</v>
      </c>
      <c r="K1769" s="8">
        <f>I1769/1000000</f>
        <v>0.33085679169999999</v>
      </c>
      <c r="L1769" s="8">
        <f>J1769/1000000</f>
        <v>3.2117420637974903E-2</v>
      </c>
      <c r="M1769" t="s">
        <v>39</v>
      </c>
    </row>
    <row r="1770" spans="2:13" x14ac:dyDescent="0.25">
      <c r="B1770" t="s">
        <v>13</v>
      </c>
      <c r="C1770" t="s">
        <v>46</v>
      </c>
      <c r="D1770" t="s">
        <v>103</v>
      </c>
      <c r="E1770">
        <v>2028</v>
      </c>
      <c r="F1770" t="s">
        <v>86</v>
      </c>
      <c r="G1770" t="s">
        <v>17</v>
      </c>
      <c r="H1770" t="s">
        <v>18</v>
      </c>
      <c r="I1770" s="8">
        <v>259023.48850000001</v>
      </c>
      <c r="J1770" s="8">
        <v>25212.075842712999</v>
      </c>
      <c r="K1770" s="8">
        <f>I1770/1000000</f>
        <v>0.25902348850000001</v>
      </c>
      <c r="L1770" s="8">
        <f>J1770/1000000</f>
        <v>2.5212075842712997E-2</v>
      </c>
      <c r="M1770" t="s">
        <v>39</v>
      </c>
    </row>
    <row r="1771" spans="2:13" x14ac:dyDescent="0.25">
      <c r="B1771" t="s">
        <v>13</v>
      </c>
      <c r="C1771" t="s">
        <v>46</v>
      </c>
      <c r="D1771" t="s">
        <v>15</v>
      </c>
      <c r="E1771">
        <v>2029</v>
      </c>
      <c r="F1771" t="s">
        <v>86</v>
      </c>
      <c r="G1771" t="s">
        <v>17</v>
      </c>
      <c r="H1771" t="s">
        <v>18</v>
      </c>
      <c r="I1771" s="8">
        <v>385067.65480000002</v>
      </c>
      <c r="J1771" s="8">
        <v>128120.229796916</v>
      </c>
      <c r="K1771" s="8">
        <f>I1771/1000000</f>
        <v>0.38506765479999999</v>
      </c>
      <c r="L1771" s="8">
        <f>J1771/1000000</f>
        <v>0.12812022979691601</v>
      </c>
      <c r="M1771" t="s">
        <v>19</v>
      </c>
    </row>
    <row r="1772" spans="2:13" x14ac:dyDescent="0.25">
      <c r="B1772" t="s">
        <v>13</v>
      </c>
      <c r="C1772" t="s">
        <v>46</v>
      </c>
      <c r="D1772" t="s">
        <v>76</v>
      </c>
      <c r="E1772">
        <v>2027</v>
      </c>
      <c r="F1772" t="s">
        <v>86</v>
      </c>
      <c r="G1772" t="s">
        <v>17</v>
      </c>
      <c r="H1772" t="s">
        <v>18</v>
      </c>
      <c r="I1772" s="8">
        <v>141517.85889999999</v>
      </c>
      <c r="J1772" s="8">
        <v>43761.3621650024</v>
      </c>
      <c r="K1772" s="8">
        <f>I1772/1000000</f>
        <v>0.14151785889999999</v>
      </c>
      <c r="L1772" s="8">
        <f>J1772/1000000</f>
        <v>4.3761362165002399E-2</v>
      </c>
      <c r="M1772" t="s">
        <v>39</v>
      </c>
    </row>
    <row r="1773" spans="2:13" x14ac:dyDescent="0.25">
      <c r="B1773" t="s">
        <v>13</v>
      </c>
      <c r="C1773" t="s">
        <v>46</v>
      </c>
      <c r="D1773" t="s">
        <v>103</v>
      </c>
      <c r="E1773">
        <v>2027</v>
      </c>
      <c r="F1773" t="s">
        <v>86</v>
      </c>
      <c r="G1773" t="s">
        <v>17</v>
      </c>
      <c r="H1773" t="s">
        <v>18</v>
      </c>
      <c r="I1773" s="8">
        <v>236173.5975</v>
      </c>
      <c r="J1773" s="8">
        <v>22597.759182130801</v>
      </c>
      <c r="K1773" s="8">
        <f>I1773/1000000</f>
        <v>0.2361735975</v>
      </c>
      <c r="L1773" s="8">
        <f>J1773/1000000</f>
        <v>2.2597759182130802E-2</v>
      </c>
      <c r="M1773" t="s">
        <v>39</v>
      </c>
    </row>
    <row r="1774" spans="2:13" x14ac:dyDescent="0.25">
      <c r="B1774" t="s">
        <v>13</v>
      </c>
      <c r="C1774" t="s">
        <v>14</v>
      </c>
      <c r="D1774" t="s">
        <v>52</v>
      </c>
      <c r="E1774">
        <v>2028</v>
      </c>
      <c r="F1774" t="s">
        <v>86</v>
      </c>
      <c r="G1774" t="s">
        <v>17</v>
      </c>
      <c r="H1774" t="s">
        <v>18</v>
      </c>
      <c r="I1774" s="8">
        <v>2606319.1179</v>
      </c>
      <c r="J1774" s="8">
        <v>2366041.0331250001</v>
      </c>
      <c r="K1774" s="8">
        <f>I1774/1000000</f>
        <v>2.6063191179</v>
      </c>
      <c r="L1774" s="8">
        <f>J1774/1000000</f>
        <v>2.3660410331250001</v>
      </c>
      <c r="M1774" t="s">
        <v>19</v>
      </c>
    </row>
    <row r="1775" spans="2:13" x14ac:dyDescent="0.25">
      <c r="B1775" t="s">
        <v>13</v>
      </c>
      <c r="C1775" t="s">
        <v>46</v>
      </c>
      <c r="D1775" t="s">
        <v>76</v>
      </c>
      <c r="E1775">
        <v>2028</v>
      </c>
      <c r="F1775" t="s">
        <v>86</v>
      </c>
      <c r="G1775" t="s">
        <v>17</v>
      </c>
      <c r="H1775" t="s">
        <v>18</v>
      </c>
      <c r="I1775" s="8">
        <v>149879.51</v>
      </c>
      <c r="J1775" s="8">
        <v>46998.845722048798</v>
      </c>
      <c r="K1775" s="8">
        <f>I1775/1000000</f>
        <v>0.14987951000000002</v>
      </c>
      <c r="L1775" s="8">
        <f>J1775/1000000</f>
        <v>4.69988457220488E-2</v>
      </c>
      <c r="M1775" t="s">
        <v>39</v>
      </c>
    </row>
    <row r="1776" spans="2:13" x14ac:dyDescent="0.25">
      <c r="B1776" t="s">
        <v>13</v>
      </c>
      <c r="C1776" t="s">
        <v>46</v>
      </c>
      <c r="D1776" t="s">
        <v>76</v>
      </c>
      <c r="E1776">
        <v>2029</v>
      </c>
      <c r="F1776" t="s">
        <v>86</v>
      </c>
      <c r="G1776" t="s">
        <v>17</v>
      </c>
      <c r="H1776" t="s">
        <v>18</v>
      </c>
      <c r="I1776" s="8">
        <v>141612.3315</v>
      </c>
      <c r="J1776" s="8">
        <v>44406.444339597001</v>
      </c>
      <c r="K1776" s="8">
        <f>I1776/1000000</f>
        <v>0.14161233149999999</v>
      </c>
      <c r="L1776" s="8">
        <f>J1776/1000000</f>
        <v>4.4406444339597E-2</v>
      </c>
      <c r="M1776" t="s">
        <v>39</v>
      </c>
    </row>
    <row r="1777" spans="2:13" x14ac:dyDescent="0.25">
      <c r="B1777" t="s">
        <v>13</v>
      </c>
      <c r="C1777" t="s">
        <v>46</v>
      </c>
      <c r="D1777" t="s">
        <v>76</v>
      </c>
      <c r="E1777">
        <v>2030</v>
      </c>
      <c r="F1777" t="s">
        <v>86</v>
      </c>
      <c r="G1777" t="s">
        <v>17</v>
      </c>
      <c r="H1777" t="s">
        <v>18</v>
      </c>
      <c r="I1777" s="8">
        <v>139390.03750000001</v>
      </c>
      <c r="J1777" s="8">
        <v>43709.582892248902</v>
      </c>
      <c r="K1777" s="8">
        <f>I1777/1000000</f>
        <v>0.13939003750000001</v>
      </c>
      <c r="L1777" s="8">
        <f>J1777/1000000</f>
        <v>4.3709582892248904E-2</v>
      </c>
      <c r="M1777" t="s">
        <v>39</v>
      </c>
    </row>
    <row r="1778" spans="2:13" x14ac:dyDescent="0.25">
      <c r="B1778" t="s">
        <v>13</v>
      </c>
      <c r="C1778" t="s">
        <v>46</v>
      </c>
      <c r="D1778" t="s">
        <v>52</v>
      </c>
      <c r="E1778">
        <v>2026</v>
      </c>
      <c r="F1778" t="s">
        <v>55</v>
      </c>
      <c r="G1778" t="s">
        <v>17</v>
      </c>
      <c r="H1778" t="s">
        <v>18</v>
      </c>
      <c r="I1778" s="8">
        <v>271083.50420000002</v>
      </c>
      <c r="J1778" s="8">
        <v>269648.290329365</v>
      </c>
      <c r="K1778" s="8">
        <f>I1778/1000000</f>
        <v>0.27108350420000005</v>
      </c>
      <c r="L1778" s="8">
        <f>J1778/1000000</f>
        <v>0.26964829032936499</v>
      </c>
      <c r="M1778" t="s">
        <v>19</v>
      </c>
    </row>
    <row r="1779" spans="2:13" x14ac:dyDescent="0.25">
      <c r="B1779" t="s">
        <v>13</v>
      </c>
      <c r="C1779" t="s">
        <v>46</v>
      </c>
      <c r="D1779" t="s">
        <v>52</v>
      </c>
      <c r="E1779">
        <v>2030</v>
      </c>
      <c r="F1779" t="s">
        <v>55</v>
      </c>
      <c r="G1779" t="s">
        <v>17</v>
      </c>
      <c r="H1779" t="s">
        <v>18</v>
      </c>
      <c r="I1779" s="8">
        <v>625461.70349999995</v>
      </c>
      <c r="J1779" s="8">
        <v>489985.22479503998</v>
      </c>
      <c r="K1779" s="8">
        <f>I1779/1000000</f>
        <v>0.62546170349999997</v>
      </c>
      <c r="L1779" s="8">
        <f>J1779/1000000</f>
        <v>0.48998522479503998</v>
      </c>
      <c r="M1779" t="s">
        <v>19</v>
      </c>
    </row>
    <row r="1780" spans="2:13" x14ac:dyDescent="0.25">
      <c r="B1780" t="s">
        <v>13</v>
      </c>
      <c r="C1780" t="s">
        <v>46</v>
      </c>
      <c r="D1780" t="s">
        <v>52</v>
      </c>
      <c r="E1780">
        <v>2028</v>
      </c>
      <c r="F1780" t="s">
        <v>55</v>
      </c>
      <c r="G1780" t="s">
        <v>17</v>
      </c>
      <c r="H1780" t="s">
        <v>18</v>
      </c>
      <c r="I1780" s="8">
        <v>591382.81050000002</v>
      </c>
      <c r="J1780" s="8">
        <v>473692.14080811001</v>
      </c>
      <c r="K1780" s="8">
        <f>I1780/1000000</f>
        <v>0.59138281049999997</v>
      </c>
      <c r="L1780" s="8">
        <f>J1780/1000000</f>
        <v>0.47369214080811001</v>
      </c>
      <c r="M1780" t="s">
        <v>19</v>
      </c>
    </row>
    <row r="1781" spans="2:13" x14ac:dyDescent="0.25">
      <c r="B1781" t="s">
        <v>13</v>
      </c>
      <c r="C1781" t="s">
        <v>46</v>
      </c>
      <c r="D1781" t="s">
        <v>52</v>
      </c>
      <c r="E1781">
        <v>2029</v>
      </c>
      <c r="F1781" t="s">
        <v>55</v>
      </c>
      <c r="G1781" t="s">
        <v>17</v>
      </c>
      <c r="H1781" t="s">
        <v>18</v>
      </c>
      <c r="I1781" s="8">
        <v>613266.13520000002</v>
      </c>
      <c r="J1781" s="8">
        <v>484729.26253625302</v>
      </c>
      <c r="K1781" s="8">
        <f>I1781/1000000</f>
        <v>0.61326613520000006</v>
      </c>
      <c r="L1781" s="8">
        <f>J1781/1000000</f>
        <v>0.48472926253625304</v>
      </c>
      <c r="M1781" t="s">
        <v>19</v>
      </c>
    </row>
    <row r="1782" spans="2:13" x14ac:dyDescent="0.25">
      <c r="B1782" t="s">
        <v>13</v>
      </c>
      <c r="C1782" t="s">
        <v>46</v>
      </c>
      <c r="D1782" t="s">
        <v>69</v>
      </c>
      <c r="E1782">
        <v>2029</v>
      </c>
      <c r="F1782" t="s">
        <v>55</v>
      </c>
      <c r="G1782" t="s">
        <v>17</v>
      </c>
      <c r="H1782" t="s">
        <v>18</v>
      </c>
      <c r="I1782" s="8">
        <v>1164787.4049</v>
      </c>
      <c r="J1782" s="8">
        <v>508883.37156270799</v>
      </c>
      <c r="K1782" s="8">
        <f>I1782/1000000</f>
        <v>1.1647874049</v>
      </c>
      <c r="L1782" s="8">
        <f>J1782/1000000</f>
        <v>0.50888337156270802</v>
      </c>
      <c r="M1782" t="s">
        <v>19</v>
      </c>
    </row>
    <row r="1783" spans="2:13" x14ac:dyDescent="0.25">
      <c r="B1783" t="s">
        <v>13</v>
      </c>
      <c r="C1783" t="s">
        <v>46</v>
      </c>
      <c r="D1783" t="s">
        <v>69</v>
      </c>
      <c r="E1783">
        <v>2030</v>
      </c>
      <c r="F1783" t="s">
        <v>55</v>
      </c>
      <c r="G1783" t="s">
        <v>17</v>
      </c>
      <c r="H1783" t="s">
        <v>18</v>
      </c>
      <c r="I1783" s="8">
        <v>1183776.6825999999</v>
      </c>
      <c r="J1783" s="8">
        <v>515975.437047543</v>
      </c>
      <c r="K1783" s="8">
        <f>I1783/1000000</f>
        <v>1.1837766826</v>
      </c>
      <c r="L1783" s="8">
        <f>J1783/1000000</f>
        <v>0.51597543704754301</v>
      </c>
      <c r="M1783" t="s">
        <v>19</v>
      </c>
    </row>
    <row r="1784" spans="2:13" x14ac:dyDescent="0.25">
      <c r="B1784" t="s">
        <v>13</v>
      </c>
      <c r="C1784" t="s">
        <v>46</v>
      </c>
      <c r="D1784" t="s">
        <v>69</v>
      </c>
      <c r="E1784">
        <v>2028</v>
      </c>
      <c r="F1784" t="s">
        <v>55</v>
      </c>
      <c r="G1784" t="s">
        <v>17</v>
      </c>
      <c r="H1784" t="s">
        <v>18</v>
      </c>
      <c r="I1784" s="8">
        <v>1948402.9036999999</v>
      </c>
      <c r="J1784" s="8">
        <v>742732.99166398495</v>
      </c>
      <c r="K1784" s="8">
        <f>I1784/1000000</f>
        <v>1.9484029036999999</v>
      </c>
      <c r="L1784" s="8">
        <f>J1784/1000000</f>
        <v>0.74273299166398499</v>
      </c>
      <c r="M1784" t="s">
        <v>19</v>
      </c>
    </row>
    <row r="1785" spans="2:13" x14ac:dyDescent="0.25">
      <c r="B1785" t="s">
        <v>13</v>
      </c>
      <c r="C1785" t="s">
        <v>46</v>
      </c>
      <c r="D1785" t="s">
        <v>74</v>
      </c>
      <c r="E1785">
        <v>2028</v>
      </c>
      <c r="F1785" t="s">
        <v>55</v>
      </c>
      <c r="G1785" t="s">
        <v>17</v>
      </c>
      <c r="H1785" t="s">
        <v>18</v>
      </c>
      <c r="I1785" s="8">
        <v>414078.40149999998</v>
      </c>
      <c r="J1785" s="8">
        <v>268760.95808388299</v>
      </c>
      <c r="K1785" s="8">
        <f>I1785/1000000</f>
        <v>0.41407840149999997</v>
      </c>
      <c r="L1785" s="8">
        <f>J1785/1000000</f>
        <v>0.26876095808388301</v>
      </c>
      <c r="M1785" t="s">
        <v>19</v>
      </c>
    </row>
    <row r="1786" spans="2:13" x14ac:dyDescent="0.25">
      <c r="B1786" t="s">
        <v>13</v>
      </c>
      <c r="C1786" t="s">
        <v>46</v>
      </c>
      <c r="D1786" t="s">
        <v>74</v>
      </c>
      <c r="E1786">
        <v>2029</v>
      </c>
      <c r="F1786" t="s">
        <v>55</v>
      </c>
      <c r="G1786" t="s">
        <v>17</v>
      </c>
      <c r="H1786" t="s">
        <v>18</v>
      </c>
      <c r="I1786" s="8">
        <v>402166.58360000001</v>
      </c>
      <c r="J1786" s="8">
        <v>267729.38286646002</v>
      </c>
      <c r="K1786" s="8">
        <f>I1786/1000000</f>
        <v>0.40216658360000002</v>
      </c>
      <c r="L1786" s="8">
        <f>J1786/1000000</f>
        <v>0.26772938286646003</v>
      </c>
      <c r="M1786" t="s">
        <v>19</v>
      </c>
    </row>
    <row r="1787" spans="2:13" x14ac:dyDescent="0.25">
      <c r="B1787" t="s">
        <v>13</v>
      </c>
      <c r="C1787" t="s">
        <v>46</v>
      </c>
      <c r="D1787" t="s">
        <v>74</v>
      </c>
      <c r="E1787">
        <v>2030</v>
      </c>
      <c r="F1787" t="s">
        <v>55</v>
      </c>
      <c r="G1787" t="s">
        <v>17</v>
      </c>
      <c r="H1787" t="s">
        <v>18</v>
      </c>
      <c r="I1787" s="8">
        <v>402037.58100000001</v>
      </c>
      <c r="J1787" s="8">
        <v>268593.36753920099</v>
      </c>
      <c r="K1787" s="8">
        <f>I1787/1000000</f>
        <v>0.40203758100000003</v>
      </c>
      <c r="L1787" s="8">
        <f>J1787/1000000</f>
        <v>0.26859336753920099</v>
      </c>
      <c r="M1787" t="s">
        <v>19</v>
      </c>
    </row>
    <row r="1788" spans="2:13" x14ac:dyDescent="0.25">
      <c r="B1788" t="s">
        <v>13</v>
      </c>
      <c r="C1788" t="s">
        <v>46</v>
      </c>
      <c r="D1788" t="s">
        <v>74</v>
      </c>
      <c r="E1788">
        <v>2027</v>
      </c>
      <c r="F1788" t="s">
        <v>55</v>
      </c>
      <c r="G1788" t="s">
        <v>17</v>
      </c>
      <c r="H1788" t="s">
        <v>18</v>
      </c>
      <c r="I1788" s="8">
        <v>453309.01299999998</v>
      </c>
      <c r="J1788" s="8">
        <v>272913.24549188197</v>
      </c>
      <c r="K1788" s="8">
        <f>I1788/1000000</f>
        <v>0.45330901299999998</v>
      </c>
      <c r="L1788" s="8">
        <f>J1788/1000000</f>
        <v>0.27291324549188195</v>
      </c>
      <c r="M1788" t="s">
        <v>19</v>
      </c>
    </row>
    <row r="1789" spans="2:13" x14ac:dyDescent="0.25">
      <c r="B1789" t="s">
        <v>13</v>
      </c>
      <c r="C1789" t="s">
        <v>46</v>
      </c>
      <c r="D1789" t="s">
        <v>74</v>
      </c>
      <c r="E1789">
        <v>2026</v>
      </c>
      <c r="F1789" t="s">
        <v>55</v>
      </c>
      <c r="G1789" t="s">
        <v>17</v>
      </c>
      <c r="H1789" t="s">
        <v>18</v>
      </c>
      <c r="I1789" s="8">
        <v>456778.9388</v>
      </c>
      <c r="J1789" s="8">
        <v>269507.349111113</v>
      </c>
      <c r="K1789" s="8">
        <f>I1789/1000000</f>
        <v>0.45677893879999998</v>
      </c>
      <c r="L1789" s="8">
        <f>J1789/1000000</f>
        <v>0.26950734911111301</v>
      </c>
      <c r="M1789" t="s">
        <v>19</v>
      </c>
    </row>
    <row r="1790" spans="2:13" x14ac:dyDescent="0.25">
      <c r="B1790" t="s">
        <v>13</v>
      </c>
      <c r="C1790" t="s">
        <v>46</v>
      </c>
      <c r="D1790" t="s">
        <v>73</v>
      </c>
      <c r="E1790">
        <v>2026</v>
      </c>
      <c r="F1790" t="s">
        <v>55</v>
      </c>
      <c r="G1790" t="s">
        <v>17</v>
      </c>
      <c r="H1790" t="s">
        <v>18</v>
      </c>
      <c r="I1790" s="8">
        <v>643144.36939999997</v>
      </c>
      <c r="J1790" s="8">
        <v>673280.42858800804</v>
      </c>
      <c r="K1790" s="8">
        <f>I1790/1000000</f>
        <v>0.64314436939999997</v>
      </c>
      <c r="L1790" s="8">
        <f>J1790/1000000</f>
        <v>0.67328042858800807</v>
      </c>
      <c r="M1790" t="s">
        <v>19</v>
      </c>
    </row>
    <row r="1791" spans="2:13" x14ac:dyDescent="0.25">
      <c r="B1791" t="s">
        <v>13</v>
      </c>
      <c r="C1791" t="s">
        <v>46</v>
      </c>
      <c r="D1791" t="s">
        <v>70</v>
      </c>
      <c r="E1791">
        <v>2026</v>
      </c>
      <c r="F1791" t="s">
        <v>55</v>
      </c>
      <c r="G1791" t="s">
        <v>17</v>
      </c>
      <c r="H1791" t="s">
        <v>18</v>
      </c>
      <c r="I1791" s="8">
        <v>1176683.4671</v>
      </c>
      <c r="J1791" s="8">
        <v>681780.20759999997</v>
      </c>
      <c r="K1791" s="8">
        <f>I1791/1000000</f>
        <v>1.1766834670999999</v>
      </c>
      <c r="L1791" s="8">
        <f>J1791/1000000</f>
        <v>0.68178020759999991</v>
      </c>
      <c r="M1791" t="s">
        <v>19</v>
      </c>
    </row>
    <row r="1792" spans="2:13" x14ac:dyDescent="0.25">
      <c r="B1792" t="s">
        <v>13</v>
      </c>
      <c r="C1792" t="s">
        <v>46</v>
      </c>
      <c r="D1792" t="s">
        <v>15</v>
      </c>
      <c r="E1792">
        <v>2028</v>
      </c>
      <c r="F1792" t="s">
        <v>55</v>
      </c>
      <c r="G1792" t="s">
        <v>17</v>
      </c>
      <c r="H1792" t="s">
        <v>18</v>
      </c>
      <c r="I1792" s="8">
        <v>259715.2046</v>
      </c>
      <c r="J1792" s="8">
        <v>86352.316500000001</v>
      </c>
      <c r="K1792" s="8">
        <f>I1792/1000000</f>
        <v>0.25971520459999997</v>
      </c>
      <c r="L1792" s="8">
        <f>J1792/1000000</f>
        <v>8.6352316499999998E-2</v>
      </c>
      <c r="M1792" t="s">
        <v>19</v>
      </c>
    </row>
    <row r="1793" spans="2:13" x14ac:dyDescent="0.25">
      <c r="B1793" t="s">
        <v>13</v>
      </c>
      <c r="C1793" t="s">
        <v>46</v>
      </c>
      <c r="D1793" t="s">
        <v>15</v>
      </c>
      <c r="E1793">
        <v>2026</v>
      </c>
      <c r="F1793" t="s">
        <v>55</v>
      </c>
      <c r="G1793" t="s">
        <v>17</v>
      </c>
      <c r="H1793" t="s">
        <v>18</v>
      </c>
      <c r="I1793" s="8">
        <v>388217.07010000001</v>
      </c>
      <c r="J1793" s="8">
        <v>83929.740441600006</v>
      </c>
      <c r="K1793" s="8">
        <f>I1793/1000000</f>
        <v>0.38821707010000001</v>
      </c>
      <c r="L1793" s="8">
        <f>J1793/1000000</f>
        <v>8.3929740441600009E-2</v>
      </c>
      <c r="M1793" t="s">
        <v>19</v>
      </c>
    </row>
    <row r="1794" spans="2:13" x14ac:dyDescent="0.25">
      <c r="B1794" t="s">
        <v>13</v>
      </c>
      <c r="C1794" t="s">
        <v>46</v>
      </c>
      <c r="D1794" t="s">
        <v>15</v>
      </c>
      <c r="E1794">
        <v>2027</v>
      </c>
      <c r="F1794" t="s">
        <v>55</v>
      </c>
      <c r="G1794" t="s">
        <v>17</v>
      </c>
      <c r="H1794" t="s">
        <v>18</v>
      </c>
      <c r="I1794" s="8">
        <v>394545.48839999997</v>
      </c>
      <c r="J1794" s="8">
        <v>85297.899000000005</v>
      </c>
      <c r="K1794" s="8">
        <f>I1794/1000000</f>
        <v>0.39454548839999998</v>
      </c>
      <c r="L1794" s="8">
        <f>J1794/1000000</f>
        <v>8.529789900000001E-2</v>
      </c>
      <c r="M1794" t="s">
        <v>19</v>
      </c>
    </row>
    <row r="1795" spans="2:13" x14ac:dyDescent="0.25">
      <c r="B1795" t="s">
        <v>13</v>
      </c>
      <c r="C1795" t="s">
        <v>46</v>
      </c>
      <c r="D1795" t="s">
        <v>15</v>
      </c>
      <c r="E1795">
        <v>2030</v>
      </c>
      <c r="F1795" t="s">
        <v>55</v>
      </c>
      <c r="G1795" t="s">
        <v>17</v>
      </c>
      <c r="H1795" t="s">
        <v>18</v>
      </c>
      <c r="I1795" s="8">
        <v>211224.16829999999</v>
      </c>
      <c r="J1795" s="8">
        <v>70229.604999999996</v>
      </c>
      <c r="K1795" s="8">
        <f>I1795/1000000</f>
        <v>0.21122416829999999</v>
      </c>
      <c r="L1795" s="8">
        <f>J1795/1000000</f>
        <v>7.0229605000000001E-2</v>
      </c>
      <c r="M1795" t="s">
        <v>19</v>
      </c>
    </row>
    <row r="1796" spans="2:13" x14ac:dyDescent="0.25">
      <c r="B1796" t="s">
        <v>13</v>
      </c>
      <c r="C1796" t="s">
        <v>46</v>
      </c>
      <c r="D1796" t="s">
        <v>100</v>
      </c>
      <c r="E1796">
        <v>2029</v>
      </c>
      <c r="F1796" t="s">
        <v>55</v>
      </c>
      <c r="G1796" t="s">
        <v>17</v>
      </c>
      <c r="H1796" t="s">
        <v>18</v>
      </c>
      <c r="I1796" s="8">
        <v>884306.27659999998</v>
      </c>
      <c r="J1796" s="8">
        <v>389804.47145898</v>
      </c>
      <c r="K1796" s="8">
        <f>I1796/1000000</f>
        <v>0.88430627659999994</v>
      </c>
      <c r="L1796" s="8">
        <f>J1796/1000000</f>
        <v>0.38980447145898001</v>
      </c>
      <c r="M1796" t="s">
        <v>19</v>
      </c>
    </row>
    <row r="1797" spans="2:13" x14ac:dyDescent="0.25">
      <c r="B1797" t="s">
        <v>13</v>
      </c>
      <c r="C1797" t="s">
        <v>46</v>
      </c>
      <c r="D1797" t="s">
        <v>100</v>
      </c>
      <c r="E1797">
        <v>2030</v>
      </c>
      <c r="F1797" t="s">
        <v>55</v>
      </c>
      <c r="G1797" t="s">
        <v>17</v>
      </c>
      <c r="H1797" t="s">
        <v>18</v>
      </c>
      <c r="I1797" s="8">
        <v>886363.22530000005</v>
      </c>
      <c r="J1797" s="8">
        <v>394186.34673843603</v>
      </c>
      <c r="K1797" s="8">
        <f>I1797/1000000</f>
        <v>0.8863632253</v>
      </c>
      <c r="L1797" s="8">
        <f>J1797/1000000</f>
        <v>0.394186346738436</v>
      </c>
      <c r="M1797" t="s">
        <v>19</v>
      </c>
    </row>
    <row r="1798" spans="2:13" x14ac:dyDescent="0.25">
      <c r="B1798" t="s">
        <v>13</v>
      </c>
      <c r="C1798" t="s">
        <v>46</v>
      </c>
      <c r="D1798" t="s">
        <v>100</v>
      </c>
      <c r="E1798">
        <v>2026</v>
      </c>
      <c r="F1798" t="s">
        <v>55</v>
      </c>
      <c r="G1798" t="s">
        <v>17</v>
      </c>
      <c r="H1798" t="s">
        <v>18</v>
      </c>
      <c r="I1798" s="8">
        <v>1071952.8949</v>
      </c>
      <c r="J1798" s="8">
        <v>480912.39194489201</v>
      </c>
      <c r="K1798" s="8">
        <f>I1798/1000000</f>
        <v>1.0719528948999999</v>
      </c>
      <c r="L1798" s="8">
        <f>J1798/1000000</f>
        <v>0.48091239194489199</v>
      </c>
      <c r="M1798" t="s">
        <v>19</v>
      </c>
    </row>
    <row r="1799" spans="2:13" x14ac:dyDescent="0.25">
      <c r="B1799" t="s">
        <v>13</v>
      </c>
      <c r="C1799" t="s">
        <v>46</v>
      </c>
      <c r="D1799" t="s">
        <v>100</v>
      </c>
      <c r="E1799">
        <v>2027</v>
      </c>
      <c r="F1799" t="s">
        <v>55</v>
      </c>
      <c r="G1799" t="s">
        <v>17</v>
      </c>
      <c r="H1799" t="s">
        <v>18</v>
      </c>
      <c r="I1799" s="8">
        <v>990485.88190000004</v>
      </c>
      <c r="J1799" s="8">
        <v>460869.84638640401</v>
      </c>
      <c r="K1799" s="8">
        <f>I1799/1000000</f>
        <v>0.99048588190000009</v>
      </c>
      <c r="L1799" s="8">
        <f>J1799/1000000</f>
        <v>0.46086984638640399</v>
      </c>
      <c r="M1799" t="s">
        <v>19</v>
      </c>
    </row>
    <row r="1800" spans="2:13" x14ac:dyDescent="0.25">
      <c r="B1800" t="s">
        <v>13</v>
      </c>
      <c r="C1800" t="s">
        <v>46</v>
      </c>
      <c r="D1800" t="s">
        <v>100</v>
      </c>
      <c r="E1800">
        <v>2028</v>
      </c>
      <c r="F1800" t="s">
        <v>55</v>
      </c>
      <c r="G1800" t="s">
        <v>17</v>
      </c>
      <c r="H1800" t="s">
        <v>18</v>
      </c>
      <c r="I1800" s="8">
        <v>1056900.3108999999</v>
      </c>
      <c r="J1800" s="8">
        <v>496526.16451656702</v>
      </c>
      <c r="K1800" s="8">
        <f>I1800/1000000</f>
        <v>1.0569003108999999</v>
      </c>
      <c r="L1800" s="8">
        <f>J1800/1000000</f>
        <v>0.496526164516567</v>
      </c>
      <c r="M1800" t="s">
        <v>19</v>
      </c>
    </row>
    <row r="1801" spans="2:13" x14ac:dyDescent="0.25">
      <c r="B1801" t="s">
        <v>13</v>
      </c>
      <c r="C1801" t="s">
        <v>46</v>
      </c>
      <c r="D1801" t="s">
        <v>72</v>
      </c>
      <c r="E1801">
        <v>2030</v>
      </c>
      <c r="F1801" t="s">
        <v>55</v>
      </c>
      <c r="G1801" t="s">
        <v>17</v>
      </c>
      <c r="H1801" t="s">
        <v>18</v>
      </c>
      <c r="I1801" s="8">
        <v>1370205.1769000001</v>
      </c>
      <c r="J1801" s="8">
        <v>636924.34516195103</v>
      </c>
      <c r="K1801" s="8">
        <f>I1801/1000000</f>
        <v>1.3702051769000001</v>
      </c>
      <c r="L1801" s="8">
        <f>J1801/1000000</f>
        <v>0.63692434516195107</v>
      </c>
      <c r="M1801" t="s">
        <v>19</v>
      </c>
    </row>
    <row r="1802" spans="2:13" x14ac:dyDescent="0.25">
      <c r="B1802" t="s">
        <v>13</v>
      </c>
      <c r="C1802" t="s">
        <v>46</v>
      </c>
      <c r="D1802" t="s">
        <v>72</v>
      </c>
      <c r="E1802">
        <v>2026</v>
      </c>
      <c r="F1802" t="s">
        <v>55</v>
      </c>
      <c r="G1802" t="s">
        <v>17</v>
      </c>
      <c r="H1802" t="s">
        <v>18</v>
      </c>
      <c r="I1802" s="8">
        <v>2453622.7055000002</v>
      </c>
      <c r="J1802" s="8">
        <v>859417.14705599996</v>
      </c>
      <c r="K1802" s="8">
        <f>I1802/1000000</f>
        <v>2.4536227054999999</v>
      </c>
      <c r="L1802" s="8">
        <f>J1802/1000000</f>
        <v>0.85941714705599992</v>
      </c>
      <c r="M1802" t="s">
        <v>19</v>
      </c>
    </row>
    <row r="1803" spans="2:13" x14ac:dyDescent="0.25">
      <c r="B1803" t="s">
        <v>13</v>
      </c>
      <c r="C1803" t="s">
        <v>46</v>
      </c>
      <c r="D1803" t="s">
        <v>72</v>
      </c>
      <c r="E1803">
        <v>2027</v>
      </c>
      <c r="F1803" t="s">
        <v>55</v>
      </c>
      <c r="G1803" t="s">
        <v>17</v>
      </c>
      <c r="H1803" t="s">
        <v>18</v>
      </c>
      <c r="I1803" s="8">
        <v>1847006.9639999999</v>
      </c>
      <c r="J1803" s="8">
        <v>752349.72004799999</v>
      </c>
      <c r="K1803" s="8">
        <f>I1803/1000000</f>
        <v>1.847006964</v>
      </c>
      <c r="L1803" s="8">
        <f>J1803/1000000</f>
        <v>0.75234972004799994</v>
      </c>
      <c r="M1803" t="s">
        <v>19</v>
      </c>
    </row>
    <row r="1804" spans="2:13" x14ac:dyDescent="0.25">
      <c r="B1804" t="s">
        <v>13</v>
      </c>
      <c r="C1804" t="s">
        <v>46</v>
      </c>
      <c r="D1804" t="s">
        <v>72</v>
      </c>
      <c r="E1804">
        <v>2028</v>
      </c>
      <c r="F1804" t="s">
        <v>55</v>
      </c>
      <c r="G1804" t="s">
        <v>17</v>
      </c>
      <c r="H1804" t="s">
        <v>18</v>
      </c>
      <c r="I1804" s="8">
        <v>1978770.6609</v>
      </c>
      <c r="J1804" s="8">
        <v>810386.39980799996</v>
      </c>
      <c r="K1804" s="8">
        <f>I1804/1000000</f>
        <v>1.9787706609</v>
      </c>
      <c r="L1804" s="8">
        <f>J1804/1000000</f>
        <v>0.81038639980799998</v>
      </c>
      <c r="M1804" t="s">
        <v>19</v>
      </c>
    </row>
    <row r="1805" spans="2:13" x14ac:dyDescent="0.25">
      <c r="B1805" t="s">
        <v>13</v>
      </c>
      <c r="C1805" t="s">
        <v>46</v>
      </c>
      <c r="D1805" t="s">
        <v>76</v>
      </c>
      <c r="E1805">
        <v>2028</v>
      </c>
      <c r="F1805" t="s">
        <v>55</v>
      </c>
      <c r="G1805" t="s">
        <v>17</v>
      </c>
      <c r="H1805" t="s">
        <v>18</v>
      </c>
      <c r="I1805" s="8">
        <v>2768839.3283000002</v>
      </c>
      <c r="J1805" s="8">
        <v>861084.29531558999</v>
      </c>
      <c r="K1805" s="8">
        <f>I1805/1000000</f>
        <v>2.7688393283000003</v>
      </c>
      <c r="L1805" s="8">
        <f>J1805/1000000</f>
        <v>0.86108429531558994</v>
      </c>
      <c r="M1805" t="s">
        <v>39</v>
      </c>
    </row>
    <row r="1806" spans="2:13" x14ac:dyDescent="0.25">
      <c r="B1806" t="s">
        <v>13</v>
      </c>
      <c r="C1806" t="s">
        <v>46</v>
      </c>
      <c r="D1806" t="s">
        <v>76</v>
      </c>
      <c r="E1806">
        <v>2027</v>
      </c>
      <c r="F1806" t="s">
        <v>55</v>
      </c>
      <c r="G1806" t="s">
        <v>17</v>
      </c>
      <c r="H1806" t="s">
        <v>18</v>
      </c>
      <c r="I1806" s="8">
        <v>3131737.5219999999</v>
      </c>
      <c r="J1806" s="8">
        <v>960544.76188621903</v>
      </c>
      <c r="K1806" s="8">
        <f>I1806/1000000</f>
        <v>3.1317375219999999</v>
      </c>
      <c r="L1806" s="8">
        <f>J1806/1000000</f>
        <v>0.96054476188621907</v>
      </c>
      <c r="M1806" t="s">
        <v>39</v>
      </c>
    </row>
    <row r="1807" spans="2:13" x14ac:dyDescent="0.25">
      <c r="B1807" t="s">
        <v>13</v>
      </c>
      <c r="C1807" t="s">
        <v>46</v>
      </c>
      <c r="D1807" t="s">
        <v>76</v>
      </c>
      <c r="E1807">
        <v>2029</v>
      </c>
      <c r="F1807" t="s">
        <v>55</v>
      </c>
      <c r="G1807" t="s">
        <v>17</v>
      </c>
      <c r="H1807" t="s">
        <v>18</v>
      </c>
      <c r="I1807" s="8">
        <v>2430230.4097000002</v>
      </c>
      <c r="J1807" s="8">
        <v>755779.94664586603</v>
      </c>
      <c r="K1807" s="8">
        <f>I1807/1000000</f>
        <v>2.4302304097</v>
      </c>
      <c r="L1807" s="8">
        <f>J1807/1000000</f>
        <v>0.75577994664586601</v>
      </c>
      <c r="M1807" t="s">
        <v>39</v>
      </c>
    </row>
    <row r="1808" spans="2:13" x14ac:dyDescent="0.25">
      <c r="B1808" t="s">
        <v>13</v>
      </c>
      <c r="C1808" t="s">
        <v>46</v>
      </c>
      <c r="D1808" t="s">
        <v>76</v>
      </c>
      <c r="E1808">
        <v>2030</v>
      </c>
      <c r="F1808" t="s">
        <v>55</v>
      </c>
      <c r="G1808" t="s">
        <v>17</v>
      </c>
      <c r="H1808" t="s">
        <v>18</v>
      </c>
      <c r="I1808" s="8">
        <v>2530735.3939999999</v>
      </c>
      <c r="J1808" s="8">
        <v>787036.09887537197</v>
      </c>
      <c r="K1808" s="8">
        <f>I1808/1000000</f>
        <v>2.5307353939999997</v>
      </c>
      <c r="L1808" s="8">
        <f>J1808/1000000</f>
        <v>0.78703609887537196</v>
      </c>
      <c r="M1808" t="s">
        <v>39</v>
      </c>
    </row>
    <row r="1809" spans="2:13" x14ac:dyDescent="0.25">
      <c r="B1809" t="s">
        <v>13</v>
      </c>
      <c r="C1809" t="s">
        <v>46</v>
      </c>
      <c r="D1809" t="s">
        <v>76</v>
      </c>
      <c r="E1809">
        <v>2026</v>
      </c>
      <c r="F1809" t="s">
        <v>55</v>
      </c>
      <c r="G1809" t="s">
        <v>17</v>
      </c>
      <c r="H1809" t="s">
        <v>18</v>
      </c>
      <c r="I1809" s="8">
        <v>6632159.3850999996</v>
      </c>
      <c r="J1809" s="8">
        <v>1569400</v>
      </c>
      <c r="K1809" s="8">
        <f>I1809/1000000</f>
        <v>6.6321593850999996</v>
      </c>
      <c r="L1809" s="8">
        <f>J1809/1000000</f>
        <v>1.5693999999999999</v>
      </c>
      <c r="M1809" t="s">
        <v>39</v>
      </c>
    </row>
    <row r="1810" spans="2:13" x14ac:dyDescent="0.25">
      <c r="B1810" t="s">
        <v>13</v>
      </c>
      <c r="C1810" t="s">
        <v>46</v>
      </c>
      <c r="D1810" t="s">
        <v>102</v>
      </c>
      <c r="E1810">
        <v>2028</v>
      </c>
      <c r="F1810" t="s">
        <v>55</v>
      </c>
      <c r="G1810" t="s">
        <v>17</v>
      </c>
      <c r="H1810" t="s">
        <v>18</v>
      </c>
      <c r="I1810" s="8">
        <v>49177.857300000003</v>
      </c>
      <c r="J1810" s="8">
        <v>110230.287022</v>
      </c>
      <c r="K1810" s="8">
        <f>I1810/1000000</f>
        <v>4.9177857300000002E-2</v>
      </c>
      <c r="L1810" s="8">
        <f>J1810/1000000</f>
        <v>0.11023028702200001</v>
      </c>
      <c r="M1810" t="s">
        <v>19</v>
      </c>
    </row>
    <row r="1811" spans="2:13" x14ac:dyDescent="0.25">
      <c r="B1811" t="s">
        <v>13</v>
      </c>
      <c r="C1811" t="s">
        <v>46</v>
      </c>
      <c r="D1811" t="s">
        <v>102</v>
      </c>
      <c r="E1811">
        <v>2029</v>
      </c>
      <c r="F1811" t="s">
        <v>55</v>
      </c>
      <c r="G1811" t="s">
        <v>17</v>
      </c>
      <c r="H1811" t="s">
        <v>18</v>
      </c>
      <c r="I1811" s="8">
        <v>49584.708400000003</v>
      </c>
      <c r="J1811" s="8">
        <v>111142.22835993599</v>
      </c>
      <c r="K1811" s="8">
        <f>I1811/1000000</f>
        <v>4.9584708400000004E-2</v>
      </c>
      <c r="L1811" s="8">
        <f>J1811/1000000</f>
        <v>0.11114222835993599</v>
      </c>
      <c r="M1811" t="s">
        <v>19</v>
      </c>
    </row>
    <row r="1812" spans="2:13" x14ac:dyDescent="0.25">
      <c r="B1812" t="s">
        <v>13</v>
      </c>
      <c r="C1812" t="s">
        <v>46</v>
      </c>
      <c r="D1812" t="s">
        <v>102</v>
      </c>
      <c r="E1812">
        <v>2030</v>
      </c>
      <c r="F1812" t="s">
        <v>55</v>
      </c>
      <c r="G1812" t="s">
        <v>17</v>
      </c>
      <c r="H1812" t="s">
        <v>18</v>
      </c>
      <c r="I1812" s="8">
        <v>50142.595999999998</v>
      </c>
      <c r="J1812" s="8">
        <v>112392.71198736</v>
      </c>
      <c r="K1812" s="8">
        <f>I1812/1000000</f>
        <v>5.0142595999999998E-2</v>
      </c>
      <c r="L1812" s="8">
        <f>J1812/1000000</f>
        <v>0.11239271198736001</v>
      </c>
      <c r="M1812" t="s">
        <v>19</v>
      </c>
    </row>
    <row r="1813" spans="2:13" x14ac:dyDescent="0.25">
      <c r="B1813" t="s">
        <v>13</v>
      </c>
      <c r="C1813" t="s">
        <v>46</v>
      </c>
      <c r="D1813" t="s">
        <v>102</v>
      </c>
      <c r="E1813">
        <v>2027</v>
      </c>
      <c r="F1813" t="s">
        <v>55</v>
      </c>
      <c r="G1813" t="s">
        <v>17</v>
      </c>
      <c r="H1813" t="s">
        <v>18</v>
      </c>
      <c r="I1813" s="8">
        <v>47153.131099999999</v>
      </c>
      <c r="J1813" s="8">
        <v>101612.22312531499</v>
      </c>
      <c r="K1813" s="8">
        <f>I1813/1000000</f>
        <v>4.7153131099999995E-2</v>
      </c>
      <c r="L1813" s="8">
        <f>J1813/1000000</f>
        <v>0.101612223125315</v>
      </c>
      <c r="M1813" t="s">
        <v>19</v>
      </c>
    </row>
    <row r="1814" spans="2:13" x14ac:dyDescent="0.25">
      <c r="B1814" t="s">
        <v>13</v>
      </c>
      <c r="C1814" t="s">
        <v>46</v>
      </c>
      <c r="D1814" t="s">
        <v>69</v>
      </c>
      <c r="E1814">
        <v>2027</v>
      </c>
      <c r="F1814" t="s">
        <v>55</v>
      </c>
      <c r="G1814" t="s">
        <v>17</v>
      </c>
      <c r="H1814" t="s">
        <v>18</v>
      </c>
      <c r="I1814" s="8">
        <v>2388742.3901999998</v>
      </c>
      <c r="J1814" s="8">
        <v>803051.94010000001</v>
      </c>
      <c r="K1814" s="8">
        <f>I1814/1000000</f>
        <v>2.3887423902</v>
      </c>
      <c r="L1814" s="8">
        <f>J1814/1000000</f>
        <v>0.80305194010000003</v>
      </c>
      <c r="M1814" t="s">
        <v>19</v>
      </c>
    </row>
    <row r="1815" spans="2:13" x14ac:dyDescent="0.25">
      <c r="B1815" t="s">
        <v>13</v>
      </c>
      <c r="C1815" t="s">
        <v>46</v>
      </c>
      <c r="D1815" t="s">
        <v>52</v>
      </c>
      <c r="E1815">
        <v>2027</v>
      </c>
      <c r="F1815" t="s">
        <v>55</v>
      </c>
      <c r="G1815" t="s">
        <v>17</v>
      </c>
      <c r="H1815" t="s">
        <v>18</v>
      </c>
      <c r="I1815" s="8">
        <v>587481.15110000002</v>
      </c>
      <c r="J1815" s="8">
        <v>471583.29816849797</v>
      </c>
      <c r="K1815" s="8">
        <f>I1815/1000000</f>
        <v>0.58748115109999999</v>
      </c>
      <c r="L1815" s="8">
        <f>J1815/1000000</f>
        <v>0.47158329816849798</v>
      </c>
      <c r="M1815" t="s">
        <v>19</v>
      </c>
    </row>
    <row r="1816" spans="2:13" x14ac:dyDescent="0.25">
      <c r="B1816" t="s">
        <v>13</v>
      </c>
      <c r="C1816" t="s">
        <v>46</v>
      </c>
      <c r="D1816" t="s">
        <v>72</v>
      </c>
      <c r="E1816">
        <v>2029</v>
      </c>
      <c r="F1816" t="s">
        <v>55</v>
      </c>
      <c r="G1816" t="s">
        <v>17</v>
      </c>
      <c r="H1816" t="s">
        <v>18</v>
      </c>
      <c r="I1816" s="8">
        <v>1356956.8118</v>
      </c>
      <c r="J1816" s="8">
        <v>630765.99279696494</v>
      </c>
      <c r="K1816" s="8">
        <f>I1816/1000000</f>
        <v>1.3569568117999999</v>
      </c>
      <c r="L1816" s="8">
        <f>J1816/1000000</f>
        <v>0.63076599279696499</v>
      </c>
      <c r="M1816" t="s">
        <v>19</v>
      </c>
    </row>
    <row r="1817" spans="2:13" x14ac:dyDescent="0.25">
      <c r="B1817" t="s">
        <v>13</v>
      </c>
      <c r="C1817" t="s">
        <v>46</v>
      </c>
      <c r="D1817" t="s">
        <v>15</v>
      </c>
      <c r="E1817">
        <v>2029</v>
      </c>
      <c r="F1817" t="s">
        <v>55</v>
      </c>
      <c r="G1817" t="s">
        <v>17</v>
      </c>
      <c r="H1817" t="s">
        <v>18</v>
      </c>
      <c r="I1817" s="8">
        <v>209655.54250000001</v>
      </c>
      <c r="J1817" s="8">
        <v>69708.054999999993</v>
      </c>
      <c r="K1817" s="8">
        <f>I1817/1000000</f>
        <v>0.20965554250000001</v>
      </c>
      <c r="L1817" s="8">
        <f>J1817/1000000</f>
        <v>6.9708054999999991E-2</v>
      </c>
      <c r="M1817" t="s">
        <v>19</v>
      </c>
    </row>
    <row r="1818" spans="2:13" x14ac:dyDescent="0.25">
      <c r="B1818" t="s">
        <v>13</v>
      </c>
      <c r="C1818" t="s">
        <v>46</v>
      </c>
      <c r="D1818" t="s">
        <v>102</v>
      </c>
      <c r="E1818">
        <v>2026</v>
      </c>
      <c r="F1818" t="s">
        <v>55</v>
      </c>
      <c r="G1818" t="s">
        <v>17</v>
      </c>
      <c r="H1818" t="s">
        <v>18</v>
      </c>
      <c r="I1818" s="8">
        <v>28862.280599999998</v>
      </c>
      <c r="J1818" s="8">
        <v>86000</v>
      </c>
      <c r="K1818" s="8">
        <f>I1818/1000000</f>
        <v>2.8862280599999998E-2</v>
      </c>
      <c r="L1818" s="8">
        <f>J1818/1000000</f>
        <v>8.5999999999999993E-2</v>
      </c>
      <c r="M1818" t="s">
        <v>19</v>
      </c>
    </row>
    <row r="1819" spans="2:13" x14ac:dyDescent="0.25">
      <c r="B1819" t="s">
        <v>13</v>
      </c>
      <c r="C1819" t="s">
        <v>46</v>
      </c>
      <c r="D1819" t="s">
        <v>101</v>
      </c>
      <c r="E1819">
        <v>2027</v>
      </c>
      <c r="F1819" t="s">
        <v>55</v>
      </c>
      <c r="G1819" t="s">
        <v>17</v>
      </c>
      <c r="H1819" t="s">
        <v>18</v>
      </c>
      <c r="I1819" s="8">
        <v>144276.9982</v>
      </c>
      <c r="J1819" s="8">
        <v>129057.36557582799</v>
      </c>
      <c r="K1819" s="8">
        <f>I1819/1000000</f>
        <v>0.14427699820000001</v>
      </c>
      <c r="L1819" s="8">
        <f>J1819/1000000</f>
        <v>0.129057365575828</v>
      </c>
      <c r="M1819" t="s">
        <v>39</v>
      </c>
    </row>
    <row r="1820" spans="2:13" x14ac:dyDescent="0.25">
      <c r="B1820" t="s">
        <v>13</v>
      </c>
      <c r="C1820" t="s">
        <v>14</v>
      </c>
      <c r="D1820" t="s">
        <v>52</v>
      </c>
      <c r="E1820">
        <v>2028</v>
      </c>
      <c r="F1820" t="s">
        <v>55</v>
      </c>
      <c r="G1820" t="s">
        <v>17</v>
      </c>
      <c r="H1820" t="s">
        <v>18</v>
      </c>
      <c r="I1820" s="8">
        <v>1047867.6175000001</v>
      </c>
      <c r="J1820" s="8">
        <v>948881.50087500003</v>
      </c>
      <c r="K1820" s="8">
        <f>I1820/1000000</f>
        <v>1.0478676175000001</v>
      </c>
      <c r="L1820" s="8">
        <f>J1820/1000000</f>
        <v>0.94888150087500001</v>
      </c>
      <c r="M1820" t="s">
        <v>19</v>
      </c>
    </row>
    <row r="1821" spans="2:13" x14ac:dyDescent="0.25">
      <c r="B1821" t="s">
        <v>13</v>
      </c>
      <c r="C1821" t="s">
        <v>46</v>
      </c>
      <c r="D1821" t="s">
        <v>101</v>
      </c>
      <c r="E1821">
        <v>2028</v>
      </c>
      <c r="F1821" t="s">
        <v>55</v>
      </c>
      <c r="G1821" t="s">
        <v>17</v>
      </c>
      <c r="H1821" t="s">
        <v>18</v>
      </c>
      <c r="I1821" s="8">
        <v>261026.62169999999</v>
      </c>
      <c r="J1821" s="8">
        <v>235172.211989667</v>
      </c>
      <c r="K1821" s="8">
        <f>I1821/1000000</f>
        <v>0.26102662169999996</v>
      </c>
      <c r="L1821" s="8">
        <f>J1821/1000000</f>
        <v>0.23517221198966701</v>
      </c>
      <c r="M1821" t="s">
        <v>39</v>
      </c>
    </row>
    <row r="1822" spans="2:13" x14ac:dyDescent="0.25">
      <c r="B1822" t="s">
        <v>13</v>
      </c>
      <c r="C1822" t="s">
        <v>46</v>
      </c>
      <c r="D1822" t="s">
        <v>101</v>
      </c>
      <c r="E1822">
        <v>2029</v>
      </c>
      <c r="F1822" t="s">
        <v>55</v>
      </c>
      <c r="G1822" t="s">
        <v>17</v>
      </c>
      <c r="H1822" t="s">
        <v>18</v>
      </c>
      <c r="I1822" s="8">
        <v>234935.2824</v>
      </c>
      <c r="J1822" s="8">
        <v>211665.192082322</v>
      </c>
      <c r="K1822" s="8">
        <f>I1822/1000000</f>
        <v>0.2349352824</v>
      </c>
      <c r="L1822" s="8">
        <f>J1822/1000000</f>
        <v>0.21166519208232201</v>
      </c>
      <c r="M1822" t="s">
        <v>39</v>
      </c>
    </row>
    <row r="1823" spans="2:13" x14ac:dyDescent="0.25">
      <c r="B1823" t="s">
        <v>13</v>
      </c>
      <c r="C1823" t="s">
        <v>46</v>
      </c>
      <c r="D1823" t="s">
        <v>101</v>
      </c>
      <c r="E1823">
        <v>2030</v>
      </c>
      <c r="F1823" t="s">
        <v>55</v>
      </c>
      <c r="G1823" t="s">
        <v>17</v>
      </c>
      <c r="H1823" t="s">
        <v>18</v>
      </c>
      <c r="I1823" s="8">
        <v>237501.3585</v>
      </c>
      <c r="J1823" s="8">
        <v>213977.10112440001</v>
      </c>
      <c r="K1823" s="8">
        <f>I1823/1000000</f>
        <v>0.23750135850000001</v>
      </c>
      <c r="L1823" s="8">
        <f>J1823/1000000</f>
        <v>0.21397710112440002</v>
      </c>
      <c r="M1823" t="s">
        <v>39</v>
      </c>
    </row>
    <row r="1824" spans="2:13" x14ac:dyDescent="0.25">
      <c r="B1824" t="s">
        <v>13</v>
      </c>
      <c r="C1824" t="s">
        <v>46</v>
      </c>
      <c r="D1824" t="s">
        <v>52</v>
      </c>
      <c r="E1824">
        <v>2026</v>
      </c>
      <c r="F1824" t="s">
        <v>58</v>
      </c>
      <c r="G1824" t="s">
        <v>17</v>
      </c>
      <c r="H1824" t="s">
        <v>18</v>
      </c>
      <c r="I1824" s="8">
        <v>10889.272000000001</v>
      </c>
      <c r="J1824" s="8">
        <v>11000</v>
      </c>
      <c r="K1824" s="8">
        <f>I1824/1000000</f>
        <v>1.0889272E-2</v>
      </c>
      <c r="L1824" s="8">
        <f>J1824/1000000</f>
        <v>1.0999999999999999E-2</v>
      </c>
      <c r="M1824" t="s">
        <v>19</v>
      </c>
    </row>
    <row r="1825" spans="2:13" x14ac:dyDescent="0.25">
      <c r="B1825" t="s">
        <v>13</v>
      </c>
      <c r="C1825" t="s">
        <v>46</v>
      </c>
      <c r="D1825" t="s">
        <v>52</v>
      </c>
      <c r="E1825">
        <v>2028</v>
      </c>
      <c r="F1825" t="s">
        <v>58</v>
      </c>
      <c r="G1825" t="s">
        <v>17</v>
      </c>
      <c r="H1825" t="s">
        <v>18</v>
      </c>
      <c r="I1825" s="8">
        <v>13400.562599999999</v>
      </c>
      <c r="J1825" s="8">
        <v>10856.825450320401</v>
      </c>
      <c r="K1825" s="8">
        <f>I1825/1000000</f>
        <v>1.3400562599999999E-2</v>
      </c>
      <c r="L1825" s="8">
        <f>J1825/1000000</f>
        <v>1.0856825450320401E-2</v>
      </c>
      <c r="M1825" t="s">
        <v>19</v>
      </c>
    </row>
    <row r="1826" spans="2:13" x14ac:dyDescent="0.25">
      <c r="B1826" t="s">
        <v>13</v>
      </c>
      <c r="C1826" t="s">
        <v>46</v>
      </c>
      <c r="D1826" t="s">
        <v>52</v>
      </c>
      <c r="E1826">
        <v>2029</v>
      </c>
      <c r="F1826" t="s">
        <v>58</v>
      </c>
      <c r="G1826" t="s">
        <v>17</v>
      </c>
      <c r="H1826" t="s">
        <v>18</v>
      </c>
      <c r="I1826" s="8">
        <v>13192.299000000001</v>
      </c>
      <c r="J1826" s="8">
        <v>10543.031107999999</v>
      </c>
      <c r="K1826" s="8">
        <f>I1826/1000000</f>
        <v>1.3192299000000001E-2</v>
      </c>
      <c r="L1826" s="8">
        <f>J1826/1000000</f>
        <v>1.0543031107999999E-2</v>
      </c>
      <c r="M1826" t="s">
        <v>19</v>
      </c>
    </row>
    <row r="1827" spans="2:13" x14ac:dyDescent="0.25">
      <c r="B1827" t="s">
        <v>13</v>
      </c>
      <c r="C1827" t="s">
        <v>46</v>
      </c>
      <c r="D1827" t="s">
        <v>52</v>
      </c>
      <c r="E1827">
        <v>2030</v>
      </c>
      <c r="F1827" t="s">
        <v>58</v>
      </c>
      <c r="G1827" t="s">
        <v>17</v>
      </c>
      <c r="H1827" t="s">
        <v>18</v>
      </c>
      <c r="I1827" s="8">
        <v>13568.099200000001</v>
      </c>
      <c r="J1827" s="8">
        <v>10744.6836442857</v>
      </c>
      <c r="K1827" s="8">
        <f>I1827/1000000</f>
        <v>1.3568099200000001E-2</v>
      </c>
      <c r="L1827" s="8">
        <f>J1827/1000000</f>
        <v>1.0744683644285701E-2</v>
      </c>
      <c r="M1827" t="s">
        <v>19</v>
      </c>
    </row>
    <row r="1828" spans="2:13" x14ac:dyDescent="0.25">
      <c r="B1828" t="s">
        <v>13</v>
      </c>
      <c r="C1828" t="s">
        <v>46</v>
      </c>
      <c r="D1828" t="s">
        <v>75</v>
      </c>
      <c r="E1828">
        <v>2029</v>
      </c>
      <c r="F1828" t="s">
        <v>58</v>
      </c>
      <c r="G1828" t="s">
        <v>17</v>
      </c>
      <c r="H1828" t="s">
        <v>18</v>
      </c>
      <c r="I1828" s="8">
        <v>1612.4027000000001</v>
      </c>
      <c r="J1828" s="8">
        <v>3992.6902254516999</v>
      </c>
      <c r="K1828" s="8">
        <f>I1828/1000000</f>
        <v>1.6124027E-3</v>
      </c>
      <c r="L1828" s="8">
        <f>J1828/1000000</f>
        <v>3.9926902254517E-3</v>
      </c>
      <c r="M1828" t="s">
        <v>39</v>
      </c>
    </row>
    <row r="1829" spans="2:13" x14ac:dyDescent="0.25">
      <c r="B1829" t="s">
        <v>13</v>
      </c>
      <c r="C1829" t="s">
        <v>46</v>
      </c>
      <c r="D1829" t="s">
        <v>75</v>
      </c>
      <c r="E1829">
        <v>2030</v>
      </c>
      <c r="F1829" t="s">
        <v>58</v>
      </c>
      <c r="G1829" t="s">
        <v>17</v>
      </c>
      <c r="H1829" t="s">
        <v>18</v>
      </c>
      <c r="I1829" s="8">
        <v>1651.0565999999999</v>
      </c>
      <c r="J1829" s="8">
        <v>4088.4063841799998</v>
      </c>
      <c r="K1829" s="8">
        <f>I1829/1000000</f>
        <v>1.6510565999999999E-3</v>
      </c>
      <c r="L1829" s="8">
        <f>J1829/1000000</f>
        <v>4.0884063841799996E-3</v>
      </c>
      <c r="M1829" t="s">
        <v>39</v>
      </c>
    </row>
    <row r="1830" spans="2:13" x14ac:dyDescent="0.25">
      <c r="B1830" t="s">
        <v>13</v>
      </c>
      <c r="C1830" t="s">
        <v>46</v>
      </c>
      <c r="D1830" t="s">
        <v>73</v>
      </c>
      <c r="E1830">
        <v>2026</v>
      </c>
      <c r="F1830" t="s">
        <v>58</v>
      </c>
      <c r="G1830" t="s">
        <v>17</v>
      </c>
      <c r="H1830" t="s">
        <v>18</v>
      </c>
      <c r="I1830" s="8">
        <v>16024.273300000001</v>
      </c>
      <c r="J1830" s="8">
        <v>11400</v>
      </c>
      <c r="K1830" s="8">
        <f>I1830/1000000</f>
        <v>1.6024273299999999E-2</v>
      </c>
      <c r="L1830" s="8">
        <f>J1830/1000000</f>
        <v>1.14E-2</v>
      </c>
      <c r="M1830" t="s">
        <v>19</v>
      </c>
    </row>
    <row r="1831" spans="2:13" x14ac:dyDescent="0.25">
      <c r="B1831" t="s">
        <v>13</v>
      </c>
      <c r="C1831" t="s">
        <v>46</v>
      </c>
      <c r="D1831" t="s">
        <v>73</v>
      </c>
      <c r="E1831">
        <v>2027</v>
      </c>
      <c r="F1831" t="s">
        <v>58</v>
      </c>
      <c r="G1831" t="s">
        <v>17</v>
      </c>
      <c r="H1831" t="s">
        <v>18</v>
      </c>
      <c r="I1831" s="8">
        <v>16260.617899999999</v>
      </c>
      <c r="J1831" s="8">
        <v>11662.717656114501</v>
      </c>
      <c r="K1831" s="8">
        <f>I1831/1000000</f>
        <v>1.62606179E-2</v>
      </c>
      <c r="L1831" s="8">
        <f>J1831/1000000</f>
        <v>1.1662717656114501E-2</v>
      </c>
      <c r="M1831" t="s">
        <v>19</v>
      </c>
    </row>
    <row r="1832" spans="2:13" x14ac:dyDescent="0.25">
      <c r="B1832" t="s">
        <v>13</v>
      </c>
      <c r="C1832" t="s">
        <v>46</v>
      </c>
      <c r="D1832" t="s">
        <v>73</v>
      </c>
      <c r="E1832">
        <v>2028</v>
      </c>
      <c r="F1832" t="s">
        <v>58</v>
      </c>
      <c r="G1832" t="s">
        <v>17</v>
      </c>
      <c r="H1832" t="s">
        <v>18</v>
      </c>
      <c r="I1832" s="8">
        <v>16590.032599999999</v>
      </c>
      <c r="J1832" s="8">
        <v>11905.2374403954</v>
      </c>
      <c r="K1832" s="8">
        <f>I1832/1000000</f>
        <v>1.6590032599999999E-2</v>
      </c>
      <c r="L1832" s="8">
        <f>J1832/1000000</f>
        <v>1.19052374403954E-2</v>
      </c>
      <c r="M1832" t="s">
        <v>19</v>
      </c>
    </row>
    <row r="1833" spans="2:13" x14ac:dyDescent="0.25">
      <c r="B1833" t="s">
        <v>13</v>
      </c>
      <c r="C1833" t="s">
        <v>46</v>
      </c>
      <c r="D1833" t="s">
        <v>73</v>
      </c>
      <c r="E1833">
        <v>2029</v>
      </c>
      <c r="F1833" t="s">
        <v>58</v>
      </c>
      <c r="G1833" t="s">
        <v>17</v>
      </c>
      <c r="H1833" t="s">
        <v>18</v>
      </c>
      <c r="I1833" s="8">
        <v>16930.236000000001</v>
      </c>
      <c r="J1833" s="8">
        <v>12149.3732815533</v>
      </c>
      <c r="K1833" s="8">
        <f>I1833/1000000</f>
        <v>1.6930236000000001E-2</v>
      </c>
      <c r="L1833" s="8">
        <f>J1833/1000000</f>
        <v>1.21493732815533E-2</v>
      </c>
      <c r="M1833" t="s">
        <v>19</v>
      </c>
    </row>
    <row r="1834" spans="2:13" x14ac:dyDescent="0.25">
      <c r="B1834" t="s">
        <v>13</v>
      </c>
      <c r="C1834" t="s">
        <v>46</v>
      </c>
      <c r="D1834" t="s">
        <v>73</v>
      </c>
      <c r="E1834">
        <v>2030</v>
      </c>
      <c r="F1834" t="s">
        <v>58</v>
      </c>
      <c r="G1834" t="s">
        <v>17</v>
      </c>
      <c r="H1834" t="s">
        <v>18</v>
      </c>
      <c r="I1834" s="8">
        <v>17315.496800000001</v>
      </c>
      <c r="J1834" s="8">
        <v>12425.8426715326</v>
      </c>
      <c r="K1834" s="8">
        <f>I1834/1000000</f>
        <v>1.73154968E-2</v>
      </c>
      <c r="L1834" s="8">
        <f>J1834/1000000</f>
        <v>1.24258426715326E-2</v>
      </c>
      <c r="M1834" t="s">
        <v>19</v>
      </c>
    </row>
    <row r="1835" spans="2:13" x14ac:dyDescent="0.25">
      <c r="B1835" t="s">
        <v>13</v>
      </c>
      <c r="C1835" t="s">
        <v>46</v>
      </c>
      <c r="D1835" t="s">
        <v>70</v>
      </c>
      <c r="E1835">
        <v>2027</v>
      </c>
      <c r="F1835" t="s">
        <v>58</v>
      </c>
      <c r="G1835" t="s">
        <v>17</v>
      </c>
      <c r="H1835" t="s">
        <v>18</v>
      </c>
      <c r="I1835" s="8">
        <v>127240.4126</v>
      </c>
      <c r="J1835" s="8">
        <v>46647.862844490497</v>
      </c>
      <c r="K1835" s="8">
        <f>I1835/1000000</f>
        <v>0.12724041259999999</v>
      </c>
      <c r="L1835" s="8">
        <f>J1835/1000000</f>
        <v>4.6647862844490497E-2</v>
      </c>
      <c r="M1835" t="s">
        <v>19</v>
      </c>
    </row>
    <row r="1836" spans="2:13" x14ac:dyDescent="0.25">
      <c r="B1836" t="s">
        <v>13</v>
      </c>
      <c r="C1836" t="s">
        <v>46</v>
      </c>
      <c r="D1836" t="s">
        <v>70</v>
      </c>
      <c r="E1836">
        <v>2028</v>
      </c>
      <c r="F1836" t="s">
        <v>58</v>
      </c>
      <c r="G1836" t="s">
        <v>17</v>
      </c>
      <c r="H1836" t="s">
        <v>18</v>
      </c>
      <c r="I1836" s="8">
        <v>100893.05929999999</v>
      </c>
      <c r="J1836" s="8">
        <v>44835.235406116102</v>
      </c>
      <c r="K1836" s="8">
        <f>I1836/1000000</f>
        <v>0.10089305929999999</v>
      </c>
      <c r="L1836" s="8">
        <f>J1836/1000000</f>
        <v>4.48352354061161E-2</v>
      </c>
      <c r="M1836" t="s">
        <v>19</v>
      </c>
    </row>
    <row r="1837" spans="2:13" x14ac:dyDescent="0.25">
      <c r="B1837" t="s">
        <v>13</v>
      </c>
      <c r="C1837" t="s">
        <v>46</v>
      </c>
      <c r="D1837" t="s">
        <v>70</v>
      </c>
      <c r="E1837">
        <v>2029</v>
      </c>
      <c r="F1837" t="s">
        <v>58</v>
      </c>
      <c r="G1837" t="s">
        <v>17</v>
      </c>
      <c r="H1837" t="s">
        <v>18</v>
      </c>
      <c r="I1837" s="8">
        <v>102867.92290000001</v>
      </c>
      <c r="J1837" s="8">
        <v>45712.832702936801</v>
      </c>
      <c r="K1837" s="8">
        <f>I1837/1000000</f>
        <v>0.10286792290000001</v>
      </c>
      <c r="L1837" s="8">
        <f>J1837/1000000</f>
        <v>4.5712832702936801E-2</v>
      </c>
      <c r="M1837" t="s">
        <v>19</v>
      </c>
    </row>
    <row r="1838" spans="2:13" x14ac:dyDescent="0.25">
      <c r="B1838" t="s">
        <v>13</v>
      </c>
      <c r="C1838" t="s">
        <v>46</v>
      </c>
      <c r="D1838" t="s">
        <v>70</v>
      </c>
      <c r="E1838">
        <v>2030</v>
      </c>
      <c r="F1838" t="s">
        <v>58</v>
      </c>
      <c r="G1838" t="s">
        <v>17</v>
      </c>
      <c r="H1838" t="s">
        <v>18</v>
      </c>
      <c r="I1838" s="8">
        <v>90780.351500000004</v>
      </c>
      <c r="J1838" s="8">
        <v>40341.312443667201</v>
      </c>
      <c r="K1838" s="8">
        <f>I1838/1000000</f>
        <v>9.0780351500000009E-2</v>
      </c>
      <c r="L1838" s="8">
        <f>J1838/1000000</f>
        <v>4.0341312443667197E-2</v>
      </c>
      <c r="M1838" t="s">
        <v>19</v>
      </c>
    </row>
    <row r="1839" spans="2:13" x14ac:dyDescent="0.25">
      <c r="B1839" t="s">
        <v>13</v>
      </c>
      <c r="C1839" t="s">
        <v>46</v>
      </c>
      <c r="D1839" t="s">
        <v>15</v>
      </c>
      <c r="E1839">
        <v>2026</v>
      </c>
      <c r="F1839" t="s">
        <v>58</v>
      </c>
      <c r="G1839" t="s">
        <v>17</v>
      </c>
      <c r="H1839" t="s">
        <v>18</v>
      </c>
      <c r="I1839" s="8">
        <v>8958.8706999999995</v>
      </c>
      <c r="J1839" s="8">
        <v>1490</v>
      </c>
      <c r="K1839" s="8">
        <f>I1839/1000000</f>
        <v>8.9588706999999997E-3</v>
      </c>
      <c r="L1839" s="8">
        <f>J1839/1000000</f>
        <v>1.49E-3</v>
      </c>
      <c r="M1839" t="s">
        <v>19</v>
      </c>
    </row>
    <row r="1840" spans="2:13" x14ac:dyDescent="0.25">
      <c r="B1840" t="s">
        <v>13</v>
      </c>
      <c r="C1840" t="s">
        <v>46</v>
      </c>
      <c r="D1840" t="s">
        <v>15</v>
      </c>
      <c r="E1840">
        <v>2027</v>
      </c>
      <c r="F1840" t="s">
        <v>58</v>
      </c>
      <c r="G1840" t="s">
        <v>17</v>
      </c>
      <c r="H1840" t="s">
        <v>18</v>
      </c>
      <c r="I1840" s="8">
        <v>7524.4754000000003</v>
      </c>
      <c r="J1840" s="8">
        <v>1627.4781250000001</v>
      </c>
      <c r="K1840" s="8">
        <f>I1840/1000000</f>
        <v>7.5244754000000002E-3</v>
      </c>
      <c r="L1840" s="8">
        <f>J1840/1000000</f>
        <v>1.6274781250000001E-3</v>
      </c>
      <c r="M1840" t="s">
        <v>19</v>
      </c>
    </row>
    <row r="1841" spans="2:13" x14ac:dyDescent="0.25">
      <c r="B1841" t="s">
        <v>13</v>
      </c>
      <c r="C1841" t="s">
        <v>46</v>
      </c>
      <c r="D1841" t="s">
        <v>15</v>
      </c>
      <c r="E1841">
        <v>2029</v>
      </c>
      <c r="F1841" t="s">
        <v>58</v>
      </c>
      <c r="G1841" t="s">
        <v>17</v>
      </c>
      <c r="H1841" t="s">
        <v>18</v>
      </c>
      <c r="I1841" s="8">
        <v>4841.4762000000001</v>
      </c>
      <c r="J1841" s="8">
        <v>1610.8625</v>
      </c>
      <c r="K1841" s="8">
        <f>I1841/1000000</f>
        <v>4.8414762E-3</v>
      </c>
      <c r="L1841" s="8">
        <f>J1841/1000000</f>
        <v>1.6108625E-3</v>
      </c>
      <c r="M1841" t="s">
        <v>19</v>
      </c>
    </row>
    <row r="1842" spans="2:13" x14ac:dyDescent="0.25">
      <c r="B1842" t="s">
        <v>13</v>
      </c>
      <c r="C1842" t="s">
        <v>46</v>
      </c>
      <c r="D1842" t="s">
        <v>15</v>
      </c>
      <c r="E1842">
        <v>2030</v>
      </c>
      <c r="F1842" t="s">
        <v>58</v>
      </c>
      <c r="G1842" t="s">
        <v>17</v>
      </c>
      <c r="H1842" t="s">
        <v>18</v>
      </c>
      <c r="I1842" s="8">
        <v>4920.8406999999997</v>
      </c>
      <c r="J1842" s="8">
        <v>1637.26875</v>
      </c>
      <c r="K1842" s="8">
        <f>I1842/1000000</f>
        <v>4.9208406999999999E-3</v>
      </c>
      <c r="L1842" s="8">
        <f>J1842/1000000</f>
        <v>1.6372687499999999E-3</v>
      </c>
      <c r="M1842" t="s">
        <v>19</v>
      </c>
    </row>
    <row r="1843" spans="2:13" x14ac:dyDescent="0.25">
      <c r="B1843" t="s">
        <v>13</v>
      </c>
      <c r="C1843" t="s">
        <v>46</v>
      </c>
      <c r="D1843" t="s">
        <v>100</v>
      </c>
      <c r="E1843">
        <v>2026</v>
      </c>
      <c r="F1843" t="s">
        <v>58</v>
      </c>
      <c r="G1843" t="s">
        <v>17</v>
      </c>
      <c r="H1843" t="s">
        <v>18</v>
      </c>
      <c r="I1843" s="8">
        <v>19801.2454</v>
      </c>
      <c r="J1843" s="8">
        <v>9300</v>
      </c>
      <c r="K1843" s="8">
        <f>I1843/1000000</f>
        <v>1.98012454E-2</v>
      </c>
      <c r="L1843" s="8">
        <f>J1843/1000000</f>
        <v>9.2999999999999992E-3</v>
      </c>
      <c r="M1843" t="s">
        <v>19</v>
      </c>
    </row>
    <row r="1844" spans="2:13" x14ac:dyDescent="0.25">
      <c r="B1844" t="s">
        <v>13</v>
      </c>
      <c r="C1844" t="s">
        <v>46</v>
      </c>
      <c r="D1844" t="s">
        <v>100</v>
      </c>
      <c r="E1844">
        <v>2029</v>
      </c>
      <c r="F1844" t="s">
        <v>58</v>
      </c>
      <c r="G1844" t="s">
        <v>17</v>
      </c>
      <c r="H1844" t="s">
        <v>18</v>
      </c>
      <c r="I1844" s="8">
        <v>21927.356800000001</v>
      </c>
      <c r="J1844" s="8">
        <v>9665.6350522126995</v>
      </c>
      <c r="K1844" s="8">
        <f>I1844/1000000</f>
        <v>2.1927356800000002E-2</v>
      </c>
      <c r="L1844" s="8">
        <f>J1844/1000000</f>
        <v>9.6656350522127E-3</v>
      </c>
      <c r="M1844" t="s">
        <v>19</v>
      </c>
    </row>
    <row r="1845" spans="2:13" x14ac:dyDescent="0.25">
      <c r="B1845" t="s">
        <v>13</v>
      </c>
      <c r="C1845" t="s">
        <v>46</v>
      </c>
      <c r="D1845" t="s">
        <v>100</v>
      </c>
      <c r="E1845">
        <v>2030</v>
      </c>
      <c r="F1845" t="s">
        <v>58</v>
      </c>
      <c r="G1845" t="s">
        <v>17</v>
      </c>
      <c r="H1845" t="s">
        <v>18</v>
      </c>
      <c r="I1845" s="8">
        <v>22053.2706</v>
      </c>
      <c r="J1845" s="8">
        <v>9807.6025074461995</v>
      </c>
      <c r="K1845" s="8">
        <f>I1845/1000000</f>
        <v>2.2053270600000001E-2</v>
      </c>
      <c r="L1845" s="8">
        <f>J1845/1000000</f>
        <v>9.8076025074462E-3</v>
      </c>
      <c r="M1845" t="s">
        <v>19</v>
      </c>
    </row>
    <row r="1846" spans="2:13" x14ac:dyDescent="0.25">
      <c r="B1846" t="s">
        <v>13</v>
      </c>
      <c r="C1846" t="s">
        <v>46</v>
      </c>
      <c r="D1846" t="s">
        <v>100</v>
      </c>
      <c r="E1846">
        <v>2027</v>
      </c>
      <c r="F1846" t="s">
        <v>58</v>
      </c>
      <c r="G1846" t="s">
        <v>17</v>
      </c>
      <c r="H1846" t="s">
        <v>18</v>
      </c>
      <c r="I1846" s="8">
        <v>20263.334599999998</v>
      </c>
      <c r="J1846" s="8">
        <v>9428.4634246366004</v>
      </c>
      <c r="K1846" s="8">
        <f>I1846/1000000</f>
        <v>2.0263334599999999E-2</v>
      </c>
      <c r="L1846" s="8">
        <f>J1846/1000000</f>
        <v>9.4284634246366E-3</v>
      </c>
      <c r="M1846" t="s">
        <v>19</v>
      </c>
    </row>
    <row r="1847" spans="2:13" x14ac:dyDescent="0.25">
      <c r="B1847" t="s">
        <v>13</v>
      </c>
      <c r="C1847" t="s">
        <v>46</v>
      </c>
      <c r="D1847" t="s">
        <v>100</v>
      </c>
      <c r="E1847">
        <v>2028</v>
      </c>
      <c r="F1847" t="s">
        <v>58</v>
      </c>
      <c r="G1847" t="s">
        <v>17</v>
      </c>
      <c r="H1847" t="s">
        <v>18</v>
      </c>
      <c r="I1847" s="8">
        <v>20322.417000000001</v>
      </c>
      <c r="J1847" s="8">
        <v>9547.3637896549008</v>
      </c>
      <c r="K1847" s="8">
        <f>I1847/1000000</f>
        <v>2.0322417000000002E-2</v>
      </c>
      <c r="L1847" s="8">
        <f>J1847/1000000</f>
        <v>9.5473637896549002E-3</v>
      </c>
      <c r="M1847" t="s">
        <v>19</v>
      </c>
    </row>
    <row r="1848" spans="2:13" x14ac:dyDescent="0.25">
      <c r="B1848" t="s">
        <v>13</v>
      </c>
      <c r="C1848" t="s">
        <v>46</v>
      </c>
      <c r="D1848" t="s">
        <v>72</v>
      </c>
      <c r="E1848">
        <v>2026</v>
      </c>
      <c r="F1848" t="s">
        <v>58</v>
      </c>
      <c r="G1848" t="s">
        <v>17</v>
      </c>
      <c r="H1848" t="s">
        <v>18</v>
      </c>
      <c r="I1848" s="8">
        <v>49376.388400000003</v>
      </c>
      <c r="J1848" s="8">
        <v>13900</v>
      </c>
      <c r="K1848" s="8">
        <f>I1848/1000000</f>
        <v>4.9376388400000006E-2</v>
      </c>
      <c r="L1848" s="8">
        <f>J1848/1000000</f>
        <v>1.3899999999999999E-2</v>
      </c>
      <c r="M1848" t="s">
        <v>19</v>
      </c>
    </row>
    <row r="1849" spans="2:13" x14ac:dyDescent="0.25">
      <c r="B1849" t="s">
        <v>13</v>
      </c>
      <c r="C1849" t="s">
        <v>46</v>
      </c>
      <c r="D1849" t="s">
        <v>72</v>
      </c>
      <c r="E1849">
        <v>2027</v>
      </c>
      <c r="F1849" t="s">
        <v>58</v>
      </c>
      <c r="G1849" t="s">
        <v>17</v>
      </c>
      <c r="H1849" t="s">
        <v>18</v>
      </c>
      <c r="I1849" s="8">
        <v>49761.530200000001</v>
      </c>
      <c r="J1849" s="8">
        <v>14008.4109609071</v>
      </c>
      <c r="K1849" s="8">
        <f>I1849/1000000</f>
        <v>4.9761530200000001E-2</v>
      </c>
      <c r="L1849" s="8">
        <f>J1849/1000000</f>
        <v>1.4008410960907099E-2</v>
      </c>
      <c r="M1849" t="s">
        <v>19</v>
      </c>
    </row>
    <row r="1850" spans="2:13" x14ac:dyDescent="0.25">
      <c r="B1850" t="s">
        <v>13</v>
      </c>
      <c r="C1850" t="s">
        <v>46</v>
      </c>
      <c r="D1850" t="s">
        <v>72</v>
      </c>
      <c r="E1850">
        <v>2028</v>
      </c>
      <c r="F1850" t="s">
        <v>58</v>
      </c>
      <c r="G1850" t="s">
        <v>17</v>
      </c>
      <c r="H1850" t="s">
        <v>18</v>
      </c>
      <c r="I1850" s="8">
        <v>49713.001199999999</v>
      </c>
      <c r="J1850" s="8">
        <v>14185.068078993299</v>
      </c>
      <c r="K1850" s="8">
        <f>I1850/1000000</f>
        <v>4.9713001199999995E-2</v>
      </c>
      <c r="L1850" s="8">
        <f>J1850/1000000</f>
        <v>1.41850680789933E-2</v>
      </c>
      <c r="M1850" t="s">
        <v>19</v>
      </c>
    </row>
    <row r="1851" spans="2:13" x14ac:dyDescent="0.25">
      <c r="B1851" t="s">
        <v>13</v>
      </c>
      <c r="C1851" t="s">
        <v>46</v>
      </c>
      <c r="D1851" t="s">
        <v>72</v>
      </c>
      <c r="E1851">
        <v>2030</v>
      </c>
      <c r="F1851" t="s">
        <v>58</v>
      </c>
      <c r="G1851" t="s">
        <v>17</v>
      </c>
      <c r="H1851" t="s">
        <v>18</v>
      </c>
      <c r="I1851" s="8">
        <v>32124.8253</v>
      </c>
      <c r="J1851" s="8">
        <v>14571.7197254572</v>
      </c>
      <c r="K1851" s="8">
        <f>I1851/1000000</f>
        <v>3.21248253E-2</v>
      </c>
      <c r="L1851" s="8">
        <f>J1851/1000000</f>
        <v>1.45717197254572E-2</v>
      </c>
      <c r="M1851" t="s">
        <v>19</v>
      </c>
    </row>
    <row r="1852" spans="2:13" x14ac:dyDescent="0.25">
      <c r="B1852" t="s">
        <v>13</v>
      </c>
      <c r="C1852" t="s">
        <v>46</v>
      </c>
      <c r="D1852" t="s">
        <v>72</v>
      </c>
      <c r="E1852">
        <v>2029</v>
      </c>
      <c r="F1852" t="s">
        <v>58</v>
      </c>
      <c r="G1852" t="s">
        <v>17</v>
      </c>
      <c r="H1852" t="s">
        <v>18</v>
      </c>
      <c r="I1852" s="8">
        <v>31659.8105</v>
      </c>
      <c r="J1852" s="8">
        <v>14360.790503333101</v>
      </c>
      <c r="K1852" s="8">
        <f>I1852/1000000</f>
        <v>3.1659810499999996E-2</v>
      </c>
      <c r="L1852" s="8">
        <f>J1852/1000000</f>
        <v>1.4360790503333101E-2</v>
      </c>
      <c r="M1852" t="s">
        <v>19</v>
      </c>
    </row>
    <row r="1853" spans="2:13" x14ac:dyDescent="0.25">
      <c r="B1853" t="s">
        <v>13</v>
      </c>
      <c r="C1853" t="s">
        <v>46</v>
      </c>
      <c r="D1853" t="s">
        <v>70</v>
      </c>
      <c r="E1853">
        <v>2026</v>
      </c>
      <c r="F1853" t="s">
        <v>58</v>
      </c>
      <c r="G1853" t="s">
        <v>17</v>
      </c>
      <c r="H1853" t="s">
        <v>18</v>
      </c>
      <c r="I1853" s="8">
        <v>70033.003200000006</v>
      </c>
      <c r="J1853" s="8">
        <v>22320</v>
      </c>
      <c r="K1853" s="8">
        <f>I1853/1000000</f>
        <v>7.0033003200000013E-2</v>
      </c>
      <c r="L1853" s="8">
        <f>J1853/1000000</f>
        <v>2.232E-2</v>
      </c>
      <c r="M1853" t="s">
        <v>19</v>
      </c>
    </row>
    <row r="1854" spans="2:13" x14ac:dyDescent="0.25">
      <c r="B1854" t="s">
        <v>13</v>
      </c>
      <c r="C1854" t="s">
        <v>46</v>
      </c>
      <c r="D1854" t="s">
        <v>52</v>
      </c>
      <c r="E1854">
        <v>2027</v>
      </c>
      <c r="F1854" t="s">
        <v>58</v>
      </c>
      <c r="G1854" t="s">
        <v>17</v>
      </c>
      <c r="H1854" t="s">
        <v>18</v>
      </c>
      <c r="I1854" s="8">
        <v>18723.771199999999</v>
      </c>
      <c r="J1854" s="8">
        <v>15207.1662086417</v>
      </c>
      <c r="K1854" s="8">
        <f>I1854/1000000</f>
        <v>1.8723771199999999E-2</v>
      </c>
      <c r="L1854" s="8">
        <f>J1854/1000000</f>
        <v>1.5207166208641701E-2</v>
      </c>
      <c r="M1854" t="s">
        <v>19</v>
      </c>
    </row>
    <row r="1855" spans="2:13" x14ac:dyDescent="0.25">
      <c r="B1855" t="s">
        <v>13</v>
      </c>
      <c r="C1855" t="s">
        <v>46</v>
      </c>
      <c r="D1855" t="s">
        <v>15</v>
      </c>
      <c r="E1855">
        <v>2028</v>
      </c>
      <c r="F1855" t="s">
        <v>58</v>
      </c>
      <c r="G1855" t="s">
        <v>17</v>
      </c>
      <c r="H1855" t="s">
        <v>18</v>
      </c>
      <c r="I1855" s="8">
        <v>4848.8022000000001</v>
      </c>
      <c r="J1855" s="8">
        <v>1613.3</v>
      </c>
      <c r="K1855" s="8">
        <f>I1855/1000000</f>
        <v>4.8488022000000002E-3</v>
      </c>
      <c r="L1855" s="8">
        <f>J1855/1000000</f>
        <v>1.6133E-3</v>
      </c>
      <c r="M1855" t="s">
        <v>19</v>
      </c>
    </row>
    <row r="1856" spans="2:13" x14ac:dyDescent="0.25">
      <c r="B1856" t="s">
        <v>13</v>
      </c>
      <c r="C1856" t="s">
        <v>46</v>
      </c>
      <c r="D1856" t="s">
        <v>75</v>
      </c>
      <c r="E1856">
        <v>2028</v>
      </c>
      <c r="F1856" t="s">
        <v>58</v>
      </c>
      <c r="G1856" t="s">
        <v>17</v>
      </c>
      <c r="H1856" t="s">
        <v>18</v>
      </c>
      <c r="I1856" s="8">
        <v>1962.1389999999999</v>
      </c>
      <c r="J1856" s="8">
        <v>4858.7199567435</v>
      </c>
      <c r="K1856" s="8">
        <f>I1856/1000000</f>
        <v>1.9621389999999999E-3</v>
      </c>
      <c r="L1856" s="8">
        <f>J1856/1000000</f>
        <v>4.8587199567434996E-3</v>
      </c>
      <c r="M1856" t="s">
        <v>39</v>
      </c>
    </row>
    <row r="1857" spans="2:13" x14ac:dyDescent="0.25">
      <c r="B1857" t="s">
        <v>13</v>
      </c>
      <c r="C1857" t="s">
        <v>14</v>
      </c>
      <c r="D1857" t="s">
        <v>52</v>
      </c>
      <c r="E1857">
        <v>2029</v>
      </c>
      <c r="F1857" t="s">
        <v>58</v>
      </c>
      <c r="G1857" t="s">
        <v>17</v>
      </c>
      <c r="H1857" t="s">
        <v>18</v>
      </c>
      <c r="I1857" s="8">
        <v>97002.930200000003</v>
      </c>
      <c r="J1857" s="8">
        <v>84130.698093750005</v>
      </c>
      <c r="K1857" s="8">
        <f>I1857/1000000</f>
        <v>9.7002930200000004E-2</v>
      </c>
      <c r="L1857" s="8">
        <f>J1857/1000000</f>
        <v>8.4130698093750012E-2</v>
      </c>
      <c r="M1857" t="s">
        <v>19</v>
      </c>
    </row>
    <row r="1858" spans="2:13" x14ac:dyDescent="0.25">
      <c r="B1858" t="s">
        <v>13</v>
      </c>
      <c r="C1858" t="s">
        <v>46</v>
      </c>
      <c r="D1858" t="s">
        <v>121</v>
      </c>
      <c r="E1858">
        <v>2026</v>
      </c>
      <c r="F1858" t="s">
        <v>47</v>
      </c>
      <c r="G1858" t="s">
        <v>17</v>
      </c>
      <c r="H1858" t="s">
        <v>18</v>
      </c>
      <c r="I1858" s="8">
        <v>298888.59080000001</v>
      </c>
      <c r="J1858" s="8">
        <v>592500</v>
      </c>
      <c r="K1858" s="8">
        <f>I1858/1000000</f>
        <v>0.29888859080000002</v>
      </c>
      <c r="L1858" s="8">
        <f>J1858/1000000</f>
        <v>0.59250000000000003</v>
      </c>
      <c r="M1858" t="s">
        <v>19</v>
      </c>
    </row>
    <row r="1859" spans="2:13" x14ac:dyDescent="0.25">
      <c r="B1859" t="s">
        <v>13</v>
      </c>
      <c r="C1859" t="s">
        <v>46</v>
      </c>
      <c r="D1859" t="s">
        <v>52</v>
      </c>
      <c r="E1859">
        <v>2028</v>
      </c>
      <c r="F1859" t="s">
        <v>47</v>
      </c>
      <c r="G1859" t="s">
        <v>17</v>
      </c>
      <c r="H1859" t="s">
        <v>18</v>
      </c>
      <c r="I1859" s="8">
        <v>1803632.1540999999</v>
      </c>
      <c r="J1859" s="8">
        <v>1444692.6105196299</v>
      </c>
      <c r="K1859" s="8">
        <f>I1859/1000000</f>
        <v>1.8036321541</v>
      </c>
      <c r="L1859" s="8">
        <f>J1859/1000000</f>
        <v>1.4446926105196298</v>
      </c>
      <c r="M1859" t="s">
        <v>19</v>
      </c>
    </row>
    <row r="1860" spans="2:13" x14ac:dyDescent="0.25">
      <c r="B1860" t="s">
        <v>13</v>
      </c>
      <c r="C1860" t="s">
        <v>46</v>
      </c>
      <c r="D1860" t="s">
        <v>52</v>
      </c>
      <c r="E1860">
        <v>2029</v>
      </c>
      <c r="F1860" t="s">
        <v>47</v>
      </c>
      <c r="G1860" t="s">
        <v>17</v>
      </c>
      <c r="H1860" t="s">
        <v>18</v>
      </c>
      <c r="I1860" s="8">
        <v>1856519.1366000001</v>
      </c>
      <c r="J1860" s="8">
        <v>1467403.9545136399</v>
      </c>
      <c r="K1860" s="8">
        <f>I1860/1000000</f>
        <v>1.8565191366</v>
      </c>
      <c r="L1860" s="8">
        <f>J1860/1000000</f>
        <v>1.4674039545136399</v>
      </c>
      <c r="M1860" t="s">
        <v>19</v>
      </c>
    </row>
    <row r="1861" spans="2:13" x14ac:dyDescent="0.25">
      <c r="B1861" t="s">
        <v>13</v>
      </c>
      <c r="C1861" t="s">
        <v>46</v>
      </c>
      <c r="D1861" t="s">
        <v>52</v>
      </c>
      <c r="E1861">
        <v>2030</v>
      </c>
      <c r="F1861" t="s">
        <v>47</v>
      </c>
      <c r="G1861" t="s">
        <v>17</v>
      </c>
      <c r="H1861" t="s">
        <v>18</v>
      </c>
      <c r="I1861" s="8">
        <v>1898088.1544000001</v>
      </c>
      <c r="J1861" s="8">
        <v>1486957.7877654701</v>
      </c>
      <c r="K1861" s="8">
        <f>I1861/1000000</f>
        <v>1.8980881544000001</v>
      </c>
      <c r="L1861" s="8">
        <f>J1861/1000000</f>
        <v>1.4869577877654701</v>
      </c>
      <c r="M1861" t="s">
        <v>19</v>
      </c>
    </row>
    <row r="1862" spans="2:13" x14ac:dyDescent="0.25">
      <c r="B1862" t="s">
        <v>13</v>
      </c>
      <c r="C1862" t="s">
        <v>46</v>
      </c>
      <c r="D1862" t="s">
        <v>75</v>
      </c>
      <c r="E1862">
        <v>2029</v>
      </c>
      <c r="F1862" t="s">
        <v>47</v>
      </c>
      <c r="G1862" t="s">
        <v>17</v>
      </c>
      <c r="H1862" t="s">
        <v>18</v>
      </c>
      <c r="I1862" s="8">
        <v>99027.932000000001</v>
      </c>
      <c r="J1862" s="8">
        <v>215542.50282347901</v>
      </c>
      <c r="K1862" s="8">
        <f>I1862/1000000</f>
        <v>9.9027931999999999E-2</v>
      </c>
      <c r="L1862" s="8">
        <f>J1862/1000000</f>
        <v>0.215542502823479</v>
      </c>
      <c r="M1862" t="s">
        <v>39</v>
      </c>
    </row>
    <row r="1863" spans="2:13" x14ac:dyDescent="0.25">
      <c r="B1863" t="s">
        <v>13</v>
      </c>
      <c r="C1863" t="s">
        <v>46</v>
      </c>
      <c r="D1863" t="s">
        <v>75</v>
      </c>
      <c r="E1863">
        <v>2030</v>
      </c>
      <c r="F1863" t="s">
        <v>47</v>
      </c>
      <c r="G1863" t="s">
        <v>17</v>
      </c>
      <c r="H1863" t="s">
        <v>18</v>
      </c>
      <c r="I1863" s="8">
        <v>90540.267699999997</v>
      </c>
      <c r="J1863" s="8">
        <v>197068.397865437</v>
      </c>
      <c r="K1863" s="8">
        <f>I1863/1000000</f>
        <v>9.0540267699999996E-2</v>
      </c>
      <c r="L1863" s="8">
        <f>J1863/1000000</f>
        <v>0.19706839786543701</v>
      </c>
      <c r="M1863" t="s">
        <v>39</v>
      </c>
    </row>
    <row r="1864" spans="2:13" x14ac:dyDescent="0.25">
      <c r="B1864" t="s">
        <v>13</v>
      </c>
      <c r="C1864" t="s">
        <v>46</v>
      </c>
      <c r="D1864" t="s">
        <v>69</v>
      </c>
      <c r="E1864">
        <v>2028</v>
      </c>
      <c r="F1864" t="s">
        <v>47</v>
      </c>
      <c r="G1864" t="s">
        <v>17</v>
      </c>
      <c r="H1864" t="s">
        <v>18</v>
      </c>
      <c r="I1864" s="8">
        <v>4246122.3656000001</v>
      </c>
      <c r="J1864" s="8">
        <v>1618625.7788553301</v>
      </c>
      <c r="K1864" s="8">
        <f>I1864/1000000</f>
        <v>4.2461223655999998</v>
      </c>
      <c r="L1864" s="8">
        <f>J1864/1000000</f>
        <v>1.61862577885533</v>
      </c>
      <c r="M1864" t="s">
        <v>19</v>
      </c>
    </row>
    <row r="1865" spans="2:13" x14ac:dyDescent="0.25">
      <c r="B1865" t="s">
        <v>13</v>
      </c>
      <c r="C1865" t="s">
        <v>46</v>
      </c>
      <c r="D1865" t="s">
        <v>69</v>
      </c>
      <c r="E1865">
        <v>2029</v>
      </c>
      <c r="F1865" t="s">
        <v>47</v>
      </c>
      <c r="G1865" t="s">
        <v>17</v>
      </c>
      <c r="H1865" t="s">
        <v>18</v>
      </c>
      <c r="I1865" s="8">
        <v>3334918.1104000001</v>
      </c>
      <c r="J1865" s="8">
        <v>1456990.6617739301</v>
      </c>
      <c r="K1865" s="8">
        <f>I1865/1000000</f>
        <v>3.3349181104000003</v>
      </c>
      <c r="L1865" s="8">
        <f>J1865/1000000</f>
        <v>1.4569906617739301</v>
      </c>
      <c r="M1865" t="s">
        <v>19</v>
      </c>
    </row>
    <row r="1866" spans="2:13" x14ac:dyDescent="0.25">
      <c r="B1866" t="s">
        <v>13</v>
      </c>
      <c r="C1866" t="s">
        <v>46</v>
      </c>
      <c r="D1866" t="s">
        <v>69</v>
      </c>
      <c r="E1866">
        <v>2030</v>
      </c>
      <c r="F1866" t="s">
        <v>47</v>
      </c>
      <c r="G1866" t="s">
        <v>17</v>
      </c>
      <c r="H1866" t="s">
        <v>18</v>
      </c>
      <c r="I1866" s="8">
        <v>3414086.6866000001</v>
      </c>
      <c r="J1866" s="8">
        <v>1488105.73490334</v>
      </c>
      <c r="K1866" s="8">
        <f>I1866/1000000</f>
        <v>3.4140866866000001</v>
      </c>
      <c r="L1866" s="8">
        <f>J1866/1000000</f>
        <v>1.48810573490334</v>
      </c>
      <c r="M1866" t="s">
        <v>19</v>
      </c>
    </row>
    <row r="1867" spans="2:13" x14ac:dyDescent="0.25">
      <c r="B1867" t="s">
        <v>13</v>
      </c>
      <c r="C1867" t="s">
        <v>46</v>
      </c>
      <c r="D1867" t="s">
        <v>73</v>
      </c>
      <c r="E1867">
        <v>2026</v>
      </c>
      <c r="F1867" t="s">
        <v>47</v>
      </c>
      <c r="G1867" t="s">
        <v>17</v>
      </c>
      <c r="H1867" t="s">
        <v>18</v>
      </c>
      <c r="I1867" s="8">
        <v>1337178.4765999999</v>
      </c>
      <c r="J1867" s="8">
        <v>1417800</v>
      </c>
      <c r="K1867" s="8">
        <f>I1867/1000000</f>
        <v>1.3371784765999999</v>
      </c>
      <c r="L1867" s="8">
        <f>J1867/1000000</f>
        <v>1.4177999999999999</v>
      </c>
      <c r="M1867" t="s">
        <v>19</v>
      </c>
    </row>
    <row r="1868" spans="2:13" x14ac:dyDescent="0.25">
      <c r="B1868" t="s">
        <v>13</v>
      </c>
      <c r="C1868" t="s">
        <v>46</v>
      </c>
      <c r="D1868" t="s">
        <v>73</v>
      </c>
      <c r="E1868">
        <v>2027</v>
      </c>
      <c r="F1868" t="s">
        <v>47</v>
      </c>
      <c r="G1868" t="s">
        <v>17</v>
      </c>
      <c r="H1868" t="s">
        <v>18</v>
      </c>
      <c r="I1868" s="8">
        <v>677726.1727</v>
      </c>
      <c r="J1868" s="8">
        <v>720749.24494835897</v>
      </c>
      <c r="K1868" s="8">
        <f>I1868/1000000</f>
        <v>0.67772617270000002</v>
      </c>
      <c r="L1868" s="8">
        <f>J1868/1000000</f>
        <v>0.72074924494835901</v>
      </c>
      <c r="M1868" t="s">
        <v>19</v>
      </c>
    </row>
    <row r="1869" spans="2:13" x14ac:dyDescent="0.25">
      <c r="B1869" t="s">
        <v>13</v>
      </c>
      <c r="C1869" t="s">
        <v>46</v>
      </c>
      <c r="D1869" t="s">
        <v>70</v>
      </c>
      <c r="E1869">
        <v>2026</v>
      </c>
      <c r="F1869" t="s">
        <v>47</v>
      </c>
      <c r="G1869" t="s">
        <v>17</v>
      </c>
      <c r="H1869" t="s">
        <v>18</v>
      </c>
      <c r="I1869" s="8">
        <v>1783425.9408</v>
      </c>
      <c r="J1869" s="8">
        <v>1037400</v>
      </c>
      <c r="K1869" s="8">
        <f>I1869/1000000</f>
        <v>1.7834259407999999</v>
      </c>
      <c r="L1869" s="8">
        <f>J1869/1000000</f>
        <v>1.0374000000000001</v>
      </c>
      <c r="M1869" t="s">
        <v>19</v>
      </c>
    </row>
    <row r="1870" spans="2:13" x14ac:dyDescent="0.25">
      <c r="B1870" t="s">
        <v>13</v>
      </c>
      <c r="C1870" t="s">
        <v>46</v>
      </c>
      <c r="D1870" t="s">
        <v>70</v>
      </c>
      <c r="E1870">
        <v>2027</v>
      </c>
      <c r="F1870" t="s">
        <v>47</v>
      </c>
      <c r="G1870" t="s">
        <v>17</v>
      </c>
      <c r="H1870" t="s">
        <v>18</v>
      </c>
      <c r="I1870" s="8">
        <v>934215.00320000004</v>
      </c>
      <c r="J1870" s="8">
        <v>672006.60896176705</v>
      </c>
      <c r="K1870" s="8">
        <f>I1870/1000000</f>
        <v>0.93421500320000006</v>
      </c>
      <c r="L1870" s="8">
        <f>J1870/1000000</f>
        <v>0.672006608961767</v>
      </c>
      <c r="M1870" t="s">
        <v>19</v>
      </c>
    </row>
    <row r="1871" spans="2:13" x14ac:dyDescent="0.25">
      <c r="B1871" t="s">
        <v>13</v>
      </c>
      <c r="C1871" t="s">
        <v>46</v>
      </c>
      <c r="D1871" t="s">
        <v>100</v>
      </c>
      <c r="E1871">
        <v>2030</v>
      </c>
      <c r="F1871" t="s">
        <v>47</v>
      </c>
      <c r="G1871" t="s">
        <v>17</v>
      </c>
      <c r="H1871" t="s">
        <v>18</v>
      </c>
      <c r="I1871" s="8">
        <v>2446263.6938999998</v>
      </c>
      <c r="J1871" s="8">
        <v>1087910.37484001</v>
      </c>
      <c r="K1871" s="8">
        <f>I1871/1000000</f>
        <v>2.4462636938999998</v>
      </c>
      <c r="L1871" s="8">
        <f>J1871/1000000</f>
        <v>1.0879103748400099</v>
      </c>
      <c r="M1871" t="s">
        <v>19</v>
      </c>
    </row>
    <row r="1872" spans="2:13" x14ac:dyDescent="0.25">
      <c r="B1872" t="s">
        <v>13</v>
      </c>
      <c r="C1872" t="s">
        <v>46</v>
      </c>
      <c r="D1872" t="s">
        <v>100</v>
      </c>
      <c r="E1872">
        <v>2026</v>
      </c>
      <c r="F1872" t="s">
        <v>47</v>
      </c>
      <c r="G1872" t="s">
        <v>17</v>
      </c>
      <c r="H1872" t="s">
        <v>18</v>
      </c>
      <c r="I1872" s="8">
        <v>2104467.8409000002</v>
      </c>
      <c r="J1872" s="8">
        <v>988400</v>
      </c>
      <c r="K1872" s="8">
        <f>I1872/1000000</f>
        <v>2.1044678409000004</v>
      </c>
      <c r="L1872" s="8">
        <f>J1872/1000000</f>
        <v>0.98839999999999995</v>
      </c>
      <c r="M1872" t="s">
        <v>19</v>
      </c>
    </row>
    <row r="1873" spans="2:13" x14ac:dyDescent="0.25">
      <c r="B1873" t="s">
        <v>13</v>
      </c>
      <c r="C1873" t="s">
        <v>46</v>
      </c>
      <c r="D1873" t="s">
        <v>100</v>
      </c>
      <c r="E1873">
        <v>2029</v>
      </c>
      <c r="F1873" t="s">
        <v>47</v>
      </c>
      <c r="G1873" t="s">
        <v>17</v>
      </c>
      <c r="H1873" t="s">
        <v>18</v>
      </c>
      <c r="I1873" s="8">
        <v>2422269.0759999999</v>
      </c>
      <c r="J1873" s="8">
        <v>1067742.41221793</v>
      </c>
      <c r="K1873" s="8">
        <f>I1873/1000000</f>
        <v>2.4222690760000001</v>
      </c>
      <c r="L1873" s="8">
        <f>J1873/1000000</f>
        <v>1.06774241221793</v>
      </c>
      <c r="M1873" t="s">
        <v>19</v>
      </c>
    </row>
    <row r="1874" spans="2:13" x14ac:dyDescent="0.25">
      <c r="B1874" t="s">
        <v>13</v>
      </c>
      <c r="C1874" t="s">
        <v>46</v>
      </c>
      <c r="D1874" t="s">
        <v>100</v>
      </c>
      <c r="E1874">
        <v>2027</v>
      </c>
      <c r="F1874" t="s">
        <v>47</v>
      </c>
      <c r="G1874" t="s">
        <v>17</v>
      </c>
      <c r="H1874" t="s">
        <v>18</v>
      </c>
      <c r="I1874" s="8">
        <v>2179371.5452999999</v>
      </c>
      <c r="J1874" s="8">
        <v>1014054.46320539</v>
      </c>
      <c r="K1874" s="8">
        <f>I1874/1000000</f>
        <v>2.1793715453</v>
      </c>
      <c r="L1874" s="8">
        <f>J1874/1000000</f>
        <v>1.0140544632053901</v>
      </c>
      <c r="M1874" t="s">
        <v>19</v>
      </c>
    </row>
    <row r="1875" spans="2:13" x14ac:dyDescent="0.25">
      <c r="B1875" t="s">
        <v>13</v>
      </c>
      <c r="C1875" t="s">
        <v>46</v>
      </c>
      <c r="D1875" t="s">
        <v>100</v>
      </c>
      <c r="E1875">
        <v>2028</v>
      </c>
      <c r="F1875" t="s">
        <v>47</v>
      </c>
      <c r="G1875" t="s">
        <v>17</v>
      </c>
      <c r="H1875" t="s">
        <v>18</v>
      </c>
      <c r="I1875" s="8">
        <v>2212689.7118000002</v>
      </c>
      <c r="J1875" s="8">
        <v>1039509.89937305</v>
      </c>
      <c r="K1875" s="8">
        <f>I1875/1000000</f>
        <v>2.2126897118</v>
      </c>
      <c r="L1875" s="8">
        <f>J1875/1000000</f>
        <v>1.0395098993730501</v>
      </c>
      <c r="M1875" t="s">
        <v>19</v>
      </c>
    </row>
    <row r="1876" spans="2:13" x14ac:dyDescent="0.25">
      <c r="B1876" t="s">
        <v>13</v>
      </c>
      <c r="C1876" t="s">
        <v>46</v>
      </c>
      <c r="D1876" t="s">
        <v>72</v>
      </c>
      <c r="E1876">
        <v>2026</v>
      </c>
      <c r="F1876" t="s">
        <v>47</v>
      </c>
      <c r="G1876" t="s">
        <v>17</v>
      </c>
      <c r="H1876" t="s">
        <v>18</v>
      </c>
      <c r="I1876" s="8">
        <v>4367179.9801000003</v>
      </c>
      <c r="J1876" s="8">
        <v>1528600</v>
      </c>
      <c r="K1876" s="8">
        <f>I1876/1000000</f>
        <v>4.3671799801000004</v>
      </c>
      <c r="L1876" s="8">
        <f>J1876/1000000</f>
        <v>1.5286</v>
      </c>
      <c r="M1876" t="s">
        <v>19</v>
      </c>
    </row>
    <row r="1877" spans="2:13" x14ac:dyDescent="0.25">
      <c r="B1877" t="s">
        <v>13</v>
      </c>
      <c r="C1877" t="s">
        <v>46</v>
      </c>
      <c r="D1877" t="s">
        <v>72</v>
      </c>
      <c r="E1877">
        <v>2029</v>
      </c>
      <c r="F1877" t="s">
        <v>47</v>
      </c>
      <c r="G1877" t="s">
        <v>17</v>
      </c>
      <c r="H1877" t="s">
        <v>18</v>
      </c>
      <c r="I1877" s="8">
        <v>3555980.557</v>
      </c>
      <c r="J1877" s="8">
        <v>1699992.95975268</v>
      </c>
      <c r="K1877" s="8">
        <f>I1877/1000000</f>
        <v>3.5559805569999998</v>
      </c>
      <c r="L1877" s="8">
        <f>J1877/1000000</f>
        <v>1.6999929597526799</v>
      </c>
      <c r="M1877" t="s">
        <v>19</v>
      </c>
    </row>
    <row r="1878" spans="2:13" x14ac:dyDescent="0.25">
      <c r="B1878" t="s">
        <v>13</v>
      </c>
      <c r="C1878" t="s">
        <v>46</v>
      </c>
      <c r="D1878" t="s">
        <v>72</v>
      </c>
      <c r="E1878">
        <v>2030</v>
      </c>
      <c r="F1878" t="s">
        <v>47</v>
      </c>
      <c r="G1878" t="s">
        <v>17</v>
      </c>
      <c r="H1878" t="s">
        <v>18</v>
      </c>
      <c r="I1878" s="8">
        <v>3626192.6263000001</v>
      </c>
      <c r="J1878" s="8">
        <v>1733558.95413299</v>
      </c>
      <c r="K1878" s="8">
        <f>I1878/1000000</f>
        <v>3.6261926262999999</v>
      </c>
      <c r="L1878" s="8">
        <f>J1878/1000000</f>
        <v>1.7335589541329899</v>
      </c>
      <c r="M1878" t="s">
        <v>19</v>
      </c>
    </row>
    <row r="1879" spans="2:13" x14ac:dyDescent="0.25">
      <c r="B1879" t="s">
        <v>13</v>
      </c>
      <c r="C1879" t="s">
        <v>46</v>
      </c>
      <c r="D1879" t="s">
        <v>72</v>
      </c>
      <c r="E1879">
        <v>2027</v>
      </c>
      <c r="F1879" t="s">
        <v>47</v>
      </c>
      <c r="G1879" t="s">
        <v>17</v>
      </c>
      <c r="H1879" t="s">
        <v>18</v>
      </c>
      <c r="I1879" s="8">
        <v>4025020.2864999999</v>
      </c>
      <c r="J1879" s="8">
        <v>1639529.7607346899</v>
      </c>
      <c r="K1879" s="8">
        <f>I1879/1000000</f>
        <v>4.0250202865000002</v>
      </c>
      <c r="L1879" s="8">
        <f>J1879/1000000</f>
        <v>1.6395297607346899</v>
      </c>
      <c r="M1879" t="s">
        <v>19</v>
      </c>
    </row>
    <row r="1880" spans="2:13" x14ac:dyDescent="0.25">
      <c r="B1880" t="s">
        <v>13</v>
      </c>
      <c r="C1880" t="s">
        <v>46</v>
      </c>
      <c r="D1880" t="s">
        <v>72</v>
      </c>
      <c r="E1880">
        <v>2028</v>
      </c>
      <c r="F1880" t="s">
        <v>47</v>
      </c>
      <c r="G1880" t="s">
        <v>17</v>
      </c>
      <c r="H1880" t="s">
        <v>18</v>
      </c>
      <c r="I1880" s="8">
        <v>4067167.2548000002</v>
      </c>
      <c r="J1880" s="8">
        <v>1665669.04099305</v>
      </c>
      <c r="K1880" s="8">
        <f>I1880/1000000</f>
        <v>4.0671672548000002</v>
      </c>
      <c r="L1880" s="8">
        <f>J1880/1000000</f>
        <v>1.6656690409930499</v>
      </c>
      <c r="M1880" t="s">
        <v>19</v>
      </c>
    </row>
    <row r="1881" spans="2:13" x14ac:dyDescent="0.25">
      <c r="B1881" t="s">
        <v>13</v>
      </c>
      <c r="C1881" t="s">
        <v>46</v>
      </c>
      <c r="D1881" t="s">
        <v>102</v>
      </c>
      <c r="E1881">
        <v>2029</v>
      </c>
      <c r="F1881" t="s">
        <v>47</v>
      </c>
      <c r="G1881" t="s">
        <v>17</v>
      </c>
      <c r="H1881" t="s">
        <v>18</v>
      </c>
      <c r="I1881" s="8">
        <v>77559.055800000002</v>
      </c>
      <c r="J1881" s="8">
        <v>173845.65849248701</v>
      </c>
      <c r="K1881" s="8">
        <f>I1881/1000000</f>
        <v>7.7559055799999999E-2</v>
      </c>
      <c r="L1881" s="8">
        <f>J1881/1000000</f>
        <v>0.17384565849248701</v>
      </c>
      <c r="M1881" t="s">
        <v>19</v>
      </c>
    </row>
    <row r="1882" spans="2:13" x14ac:dyDescent="0.25">
      <c r="B1882" t="s">
        <v>13</v>
      </c>
      <c r="C1882" t="s">
        <v>46</v>
      </c>
      <c r="D1882" t="s">
        <v>102</v>
      </c>
      <c r="E1882">
        <v>2030</v>
      </c>
      <c r="F1882" t="s">
        <v>47</v>
      </c>
      <c r="G1882" t="s">
        <v>17</v>
      </c>
      <c r="H1882" t="s">
        <v>18</v>
      </c>
      <c r="I1882" s="8">
        <v>68242.942500000005</v>
      </c>
      <c r="J1882" s="8">
        <v>152963.946674484</v>
      </c>
      <c r="K1882" s="8">
        <f>I1882/1000000</f>
        <v>6.8242942500000001E-2</v>
      </c>
      <c r="L1882" s="8">
        <f>J1882/1000000</f>
        <v>0.15296394667448401</v>
      </c>
      <c r="M1882" t="s">
        <v>19</v>
      </c>
    </row>
    <row r="1883" spans="2:13" x14ac:dyDescent="0.25">
      <c r="B1883" t="s">
        <v>13</v>
      </c>
      <c r="C1883" t="s">
        <v>46</v>
      </c>
      <c r="D1883" t="s">
        <v>69</v>
      </c>
      <c r="E1883">
        <v>2027</v>
      </c>
      <c r="F1883" t="s">
        <v>47</v>
      </c>
      <c r="G1883" t="s">
        <v>17</v>
      </c>
      <c r="H1883" t="s">
        <v>18</v>
      </c>
      <c r="I1883" s="8">
        <v>2099670.0819000001</v>
      </c>
      <c r="J1883" s="8">
        <v>705807.724790056</v>
      </c>
      <c r="K1883" s="8">
        <f>I1883/1000000</f>
        <v>2.0996700819000003</v>
      </c>
      <c r="L1883" s="8">
        <f>J1883/1000000</f>
        <v>0.70580772479005605</v>
      </c>
      <c r="M1883" t="s">
        <v>19</v>
      </c>
    </row>
    <row r="1884" spans="2:13" x14ac:dyDescent="0.25">
      <c r="B1884" t="s">
        <v>13</v>
      </c>
      <c r="C1884" t="s">
        <v>46</v>
      </c>
      <c r="D1884" t="s">
        <v>75</v>
      </c>
      <c r="E1884">
        <v>2028</v>
      </c>
      <c r="F1884" t="s">
        <v>47</v>
      </c>
      <c r="G1884" t="s">
        <v>17</v>
      </c>
      <c r="H1884" t="s">
        <v>18</v>
      </c>
      <c r="I1884" s="8">
        <v>53429.139199999998</v>
      </c>
      <c r="J1884" s="8">
        <v>116292.95042341</v>
      </c>
      <c r="K1884" s="8">
        <f>I1884/1000000</f>
        <v>5.3429139199999996E-2</v>
      </c>
      <c r="L1884" s="8">
        <f>J1884/1000000</f>
        <v>0.11629295042341001</v>
      </c>
      <c r="M1884" t="s">
        <v>39</v>
      </c>
    </row>
    <row r="1885" spans="2:13" x14ac:dyDescent="0.25">
      <c r="B1885" t="s">
        <v>13</v>
      </c>
      <c r="C1885" t="s">
        <v>46</v>
      </c>
      <c r="D1885" t="s">
        <v>52</v>
      </c>
      <c r="E1885">
        <v>2027</v>
      </c>
      <c r="F1885" t="s">
        <v>47</v>
      </c>
      <c r="G1885" t="s">
        <v>17</v>
      </c>
      <c r="H1885" t="s">
        <v>18</v>
      </c>
      <c r="I1885" s="8">
        <v>1881675.4831999999</v>
      </c>
      <c r="J1885" s="8">
        <v>1510459.91642628</v>
      </c>
      <c r="K1885" s="8">
        <f>I1885/1000000</f>
        <v>1.8816754832</v>
      </c>
      <c r="L1885" s="8">
        <f>J1885/1000000</f>
        <v>1.51045991642628</v>
      </c>
      <c r="M1885" t="s">
        <v>19</v>
      </c>
    </row>
    <row r="1886" spans="2:13" x14ac:dyDescent="0.25">
      <c r="B1886" t="s">
        <v>13</v>
      </c>
      <c r="C1886" t="s">
        <v>46</v>
      </c>
      <c r="D1886" t="s">
        <v>102</v>
      </c>
      <c r="E1886">
        <v>2028</v>
      </c>
      <c r="F1886" t="s">
        <v>47</v>
      </c>
      <c r="G1886" t="s">
        <v>17</v>
      </c>
      <c r="H1886" t="s">
        <v>18</v>
      </c>
      <c r="I1886" s="8">
        <v>27005.0645</v>
      </c>
      <c r="J1886" s="8">
        <v>60530.8196855516</v>
      </c>
      <c r="K1886" s="8">
        <f>I1886/1000000</f>
        <v>2.7005064500000002E-2</v>
      </c>
      <c r="L1886" s="8">
        <f>J1886/1000000</f>
        <v>6.0530819685551601E-2</v>
      </c>
      <c r="M1886" t="s">
        <v>19</v>
      </c>
    </row>
    <row r="1887" spans="2:13" x14ac:dyDescent="0.25">
      <c r="B1887" t="s">
        <v>13</v>
      </c>
      <c r="C1887" t="s">
        <v>14</v>
      </c>
      <c r="D1887" t="s">
        <v>52</v>
      </c>
      <c r="E1887">
        <v>2027</v>
      </c>
      <c r="F1887" t="s">
        <v>47</v>
      </c>
      <c r="G1887" t="s">
        <v>17</v>
      </c>
      <c r="H1887" t="s">
        <v>18</v>
      </c>
      <c r="I1887" s="8">
        <v>5033325.0694000004</v>
      </c>
      <c r="J1887" s="8">
        <v>4744606.3243333297</v>
      </c>
      <c r="K1887" s="8">
        <f>I1887/1000000</f>
        <v>5.0333250694</v>
      </c>
      <c r="L1887" s="8">
        <f>J1887/1000000</f>
        <v>4.7446063243333301</v>
      </c>
      <c r="M1887" t="s">
        <v>19</v>
      </c>
    </row>
    <row r="1888" spans="2:13" x14ac:dyDescent="0.25">
      <c r="B1888" t="s">
        <v>13</v>
      </c>
      <c r="C1888" t="s">
        <v>14</v>
      </c>
      <c r="D1888" t="s">
        <v>52</v>
      </c>
      <c r="E1888">
        <v>2029</v>
      </c>
      <c r="F1888" t="s">
        <v>47</v>
      </c>
      <c r="G1888" t="s">
        <v>17</v>
      </c>
      <c r="H1888" t="s">
        <v>18</v>
      </c>
      <c r="I1888" s="8">
        <v>3529902.3394999998</v>
      </c>
      <c r="J1888" s="8">
        <v>3054159.74376562</v>
      </c>
      <c r="K1888" s="8">
        <f>I1888/1000000</f>
        <v>3.5299023395</v>
      </c>
      <c r="L1888" s="8">
        <f>J1888/1000000</f>
        <v>3.05415974376562</v>
      </c>
      <c r="M1888" t="s">
        <v>19</v>
      </c>
    </row>
    <row r="1889" spans="2:13" x14ac:dyDescent="0.25">
      <c r="B1889" t="s">
        <v>13</v>
      </c>
      <c r="C1889" t="s">
        <v>46</v>
      </c>
      <c r="D1889" t="s">
        <v>121</v>
      </c>
      <c r="E1889">
        <v>2027</v>
      </c>
      <c r="F1889" t="s">
        <v>49</v>
      </c>
      <c r="G1889" t="s">
        <v>17</v>
      </c>
      <c r="H1889" t="s">
        <v>18</v>
      </c>
      <c r="I1889" s="8">
        <v>59314.795100000003</v>
      </c>
      <c r="J1889" s="8">
        <v>82929.157142857104</v>
      </c>
      <c r="K1889" s="8">
        <f>I1889/1000000</f>
        <v>5.9314795100000005E-2</v>
      </c>
      <c r="L1889" s="8">
        <f>J1889/1000000</f>
        <v>8.2929157142857104E-2</v>
      </c>
      <c r="M1889" t="s">
        <v>19</v>
      </c>
    </row>
    <row r="1890" spans="2:13" x14ac:dyDescent="0.25">
      <c r="B1890" t="s">
        <v>13</v>
      </c>
      <c r="C1890" t="s">
        <v>46</v>
      </c>
      <c r="D1890" t="s">
        <v>121</v>
      </c>
      <c r="E1890">
        <v>2028</v>
      </c>
      <c r="F1890" t="s">
        <v>49</v>
      </c>
      <c r="G1890" t="s">
        <v>17</v>
      </c>
      <c r="H1890" t="s">
        <v>18</v>
      </c>
      <c r="I1890" s="8">
        <v>61289.580499999996</v>
      </c>
      <c r="J1890" s="8">
        <v>85041.923214285707</v>
      </c>
      <c r="K1890" s="8">
        <f>I1890/1000000</f>
        <v>6.1289580499999996E-2</v>
      </c>
      <c r="L1890" s="8">
        <f>J1890/1000000</f>
        <v>8.5041923214285706E-2</v>
      </c>
      <c r="M1890" t="s">
        <v>19</v>
      </c>
    </row>
    <row r="1891" spans="2:13" x14ac:dyDescent="0.25">
      <c r="B1891" t="s">
        <v>13</v>
      </c>
      <c r="C1891" t="s">
        <v>46</v>
      </c>
      <c r="D1891" t="s">
        <v>121</v>
      </c>
      <c r="E1891">
        <v>2026</v>
      </c>
      <c r="F1891" t="s">
        <v>49</v>
      </c>
      <c r="G1891" t="s">
        <v>17</v>
      </c>
      <c r="H1891" t="s">
        <v>18</v>
      </c>
      <c r="I1891" s="8">
        <v>457144.14970000001</v>
      </c>
      <c r="J1891" s="8">
        <v>903000</v>
      </c>
      <c r="K1891" s="8">
        <f>I1891/1000000</f>
        <v>0.4571441497</v>
      </c>
      <c r="L1891" s="8">
        <f>J1891/1000000</f>
        <v>0.90300000000000002</v>
      </c>
      <c r="M1891" t="s">
        <v>19</v>
      </c>
    </row>
    <row r="1892" spans="2:13" x14ac:dyDescent="0.25">
      <c r="B1892" t="s">
        <v>13</v>
      </c>
      <c r="C1892" t="s">
        <v>46</v>
      </c>
      <c r="D1892" t="s">
        <v>121</v>
      </c>
      <c r="E1892">
        <v>2028</v>
      </c>
      <c r="F1892" t="s">
        <v>49</v>
      </c>
      <c r="G1892" t="s">
        <v>17</v>
      </c>
      <c r="H1892" t="s">
        <v>18</v>
      </c>
      <c r="I1892" s="8">
        <v>768022.43579999998</v>
      </c>
      <c r="J1892" s="8">
        <v>1040270.96670303</v>
      </c>
      <c r="K1892" s="8">
        <f>I1892/1000000</f>
        <v>0.76802243579999996</v>
      </c>
      <c r="L1892" s="8">
        <f>J1892/1000000</f>
        <v>1.0402709667030301</v>
      </c>
      <c r="M1892" t="s">
        <v>19</v>
      </c>
    </row>
    <row r="1893" spans="2:13" x14ac:dyDescent="0.25">
      <c r="B1893" t="s">
        <v>13</v>
      </c>
      <c r="C1893" t="s">
        <v>46</v>
      </c>
      <c r="D1893" t="s">
        <v>52</v>
      </c>
      <c r="E1893">
        <v>2030</v>
      </c>
      <c r="F1893" t="s">
        <v>49</v>
      </c>
      <c r="G1893" t="s">
        <v>17</v>
      </c>
      <c r="H1893" t="s">
        <v>18</v>
      </c>
      <c r="I1893" s="8">
        <v>1470562.8689999999</v>
      </c>
      <c r="J1893" s="8">
        <v>1152035.48656325</v>
      </c>
      <c r="K1893" s="8">
        <f>I1893/1000000</f>
        <v>1.4705628689999999</v>
      </c>
      <c r="L1893" s="8">
        <f>J1893/1000000</f>
        <v>1.1520354865632501</v>
      </c>
      <c r="M1893" t="s">
        <v>19</v>
      </c>
    </row>
    <row r="1894" spans="2:13" x14ac:dyDescent="0.25">
      <c r="B1894" t="s">
        <v>13</v>
      </c>
      <c r="C1894" t="s">
        <v>46</v>
      </c>
      <c r="D1894" t="s">
        <v>70</v>
      </c>
      <c r="E1894">
        <v>2027</v>
      </c>
      <c r="F1894" t="s">
        <v>49</v>
      </c>
      <c r="G1894" t="s">
        <v>17</v>
      </c>
      <c r="H1894" t="s">
        <v>18</v>
      </c>
      <c r="I1894" s="8">
        <v>98485.832399999999</v>
      </c>
      <c r="J1894" s="8">
        <v>70843.574621874999</v>
      </c>
      <c r="K1894" s="8">
        <f>I1894/1000000</f>
        <v>9.8485832400000001E-2</v>
      </c>
      <c r="L1894" s="8">
        <f>J1894/1000000</f>
        <v>7.0843574621875002E-2</v>
      </c>
      <c r="M1894" t="s">
        <v>19</v>
      </c>
    </row>
    <row r="1895" spans="2:13" x14ac:dyDescent="0.25">
      <c r="B1895" t="s">
        <v>13</v>
      </c>
      <c r="C1895" t="s">
        <v>46</v>
      </c>
      <c r="D1895" t="s">
        <v>70</v>
      </c>
      <c r="E1895">
        <v>2028</v>
      </c>
      <c r="F1895" t="s">
        <v>49</v>
      </c>
      <c r="G1895" t="s">
        <v>17</v>
      </c>
      <c r="H1895" t="s">
        <v>18</v>
      </c>
      <c r="I1895" s="8">
        <v>100886.9728</v>
      </c>
      <c r="J1895" s="8">
        <v>71745.314827312497</v>
      </c>
      <c r="K1895" s="8">
        <f>I1895/1000000</f>
        <v>0.1008869728</v>
      </c>
      <c r="L1895" s="8">
        <f>J1895/1000000</f>
        <v>7.1745314827312501E-2</v>
      </c>
      <c r="M1895" t="s">
        <v>19</v>
      </c>
    </row>
    <row r="1896" spans="2:13" x14ac:dyDescent="0.25">
      <c r="B1896" t="s">
        <v>13</v>
      </c>
      <c r="C1896" t="s">
        <v>46</v>
      </c>
      <c r="D1896" t="s">
        <v>73</v>
      </c>
      <c r="E1896">
        <v>2027</v>
      </c>
      <c r="F1896" t="s">
        <v>49</v>
      </c>
      <c r="G1896" t="s">
        <v>17</v>
      </c>
      <c r="H1896" t="s">
        <v>18</v>
      </c>
      <c r="I1896" s="8">
        <v>98963.318499999994</v>
      </c>
      <c r="J1896" s="8">
        <v>106265.361932813</v>
      </c>
      <c r="K1896" s="8">
        <f>I1896/1000000</f>
        <v>9.8963318499999994E-2</v>
      </c>
      <c r="L1896" s="8">
        <f>J1896/1000000</f>
        <v>0.106265361932813</v>
      </c>
      <c r="M1896" t="s">
        <v>19</v>
      </c>
    </row>
    <row r="1897" spans="2:13" x14ac:dyDescent="0.25">
      <c r="B1897" t="s">
        <v>13</v>
      </c>
      <c r="C1897" t="s">
        <v>46</v>
      </c>
      <c r="D1897" t="s">
        <v>73</v>
      </c>
      <c r="E1897">
        <v>2028</v>
      </c>
      <c r="F1897" t="s">
        <v>49</v>
      </c>
      <c r="G1897" t="s">
        <v>17</v>
      </c>
      <c r="H1897" t="s">
        <v>18</v>
      </c>
      <c r="I1897" s="8">
        <v>107475.9914</v>
      </c>
      <c r="J1897" s="8">
        <v>107617.972240969</v>
      </c>
      <c r="K1897" s="8">
        <f>I1897/1000000</f>
        <v>0.1074759914</v>
      </c>
      <c r="L1897" s="8">
        <f>J1897/1000000</f>
        <v>0.107617972240969</v>
      </c>
      <c r="M1897" t="s">
        <v>19</v>
      </c>
    </row>
    <row r="1898" spans="2:13" x14ac:dyDescent="0.25">
      <c r="B1898" t="s">
        <v>13</v>
      </c>
      <c r="C1898" t="s">
        <v>46</v>
      </c>
      <c r="D1898" t="s">
        <v>74</v>
      </c>
      <c r="E1898">
        <v>2029</v>
      </c>
      <c r="F1898" t="s">
        <v>49</v>
      </c>
      <c r="G1898" t="s">
        <v>17</v>
      </c>
      <c r="H1898" t="s">
        <v>18</v>
      </c>
      <c r="I1898" s="8">
        <v>542107.88699999999</v>
      </c>
      <c r="J1898" s="8">
        <v>360890.77502756502</v>
      </c>
      <c r="K1898" s="8">
        <f>I1898/1000000</f>
        <v>0.54210788700000001</v>
      </c>
      <c r="L1898" s="8">
        <f>J1898/1000000</f>
        <v>0.360890775027565</v>
      </c>
      <c r="M1898" t="s">
        <v>19</v>
      </c>
    </row>
    <row r="1899" spans="2:13" x14ac:dyDescent="0.25">
      <c r="B1899" t="s">
        <v>13</v>
      </c>
      <c r="C1899" t="s">
        <v>46</v>
      </c>
      <c r="D1899" t="s">
        <v>74</v>
      </c>
      <c r="E1899">
        <v>2030</v>
      </c>
      <c r="F1899" t="s">
        <v>49</v>
      </c>
      <c r="G1899" t="s">
        <v>17</v>
      </c>
      <c r="H1899" t="s">
        <v>18</v>
      </c>
      <c r="I1899" s="8">
        <v>552555.44429999997</v>
      </c>
      <c r="J1899" s="8">
        <v>369151.37927678798</v>
      </c>
      <c r="K1899" s="8">
        <f>I1899/1000000</f>
        <v>0.55255544429999992</v>
      </c>
      <c r="L1899" s="8">
        <f>J1899/1000000</f>
        <v>0.36915137927678798</v>
      </c>
      <c r="M1899" t="s">
        <v>19</v>
      </c>
    </row>
    <row r="1900" spans="2:13" x14ac:dyDescent="0.25">
      <c r="B1900" t="s">
        <v>13</v>
      </c>
      <c r="C1900" t="s">
        <v>46</v>
      </c>
      <c r="D1900" t="s">
        <v>73</v>
      </c>
      <c r="E1900">
        <v>2030</v>
      </c>
      <c r="F1900" t="s">
        <v>49</v>
      </c>
      <c r="G1900" t="s">
        <v>17</v>
      </c>
      <c r="H1900" t="s">
        <v>18</v>
      </c>
      <c r="I1900" s="8">
        <v>1633023.3577000001</v>
      </c>
      <c r="J1900" s="8">
        <v>1617268.6405571499</v>
      </c>
      <c r="K1900" s="8">
        <f>I1900/1000000</f>
        <v>1.6330233577</v>
      </c>
      <c r="L1900" s="8">
        <f>J1900/1000000</f>
        <v>1.6172686405571499</v>
      </c>
      <c r="M1900" t="s">
        <v>19</v>
      </c>
    </row>
    <row r="1901" spans="2:13" x14ac:dyDescent="0.25">
      <c r="B1901" t="s">
        <v>13</v>
      </c>
      <c r="C1901" t="s">
        <v>46</v>
      </c>
      <c r="D1901" t="s">
        <v>73</v>
      </c>
      <c r="E1901">
        <v>2026</v>
      </c>
      <c r="F1901" t="s">
        <v>49</v>
      </c>
      <c r="G1901" t="s">
        <v>17</v>
      </c>
      <c r="H1901" t="s">
        <v>18</v>
      </c>
      <c r="I1901" s="8">
        <v>1331099.1109</v>
      </c>
      <c r="J1901" s="8">
        <v>1406400</v>
      </c>
      <c r="K1901" s="8">
        <f>I1901/1000000</f>
        <v>1.3310991108999999</v>
      </c>
      <c r="L1901" s="8">
        <f>J1901/1000000</f>
        <v>1.4064000000000001</v>
      </c>
      <c r="M1901" t="s">
        <v>19</v>
      </c>
    </row>
    <row r="1902" spans="2:13" x14ac:dyDescent="0.25">
      <c r="B1902" t="s">
        <v>13</v>
      </c>
      <c r="C1902" t="s">
        <v>46</v>
      </c>
      <c r="D1902" t="s">
        <v>73</v>
      </c>
      <c r="E1902">
        <v>2027</v>
      </c>
      <c r="F1902" t="s">
        <v>49</v>
      </c>
      <c r="G1902" t="s">
        <v>17</v>
      </c>
      <c r="H1902" t="s">
        <v>18</v>
      </c>
      <c r="I1902" s="8">
        <v>1377985.8711000001</v>
      </c>
      <c r="J1902" s="8">
        <v>1460292.1015773299</v>
      </c>
      <c r="K1902" s="8">
        <f>I1902/1000000</f>
        <v>1.3779858711000001</v>
      </c>
      <c r="L1902" s="8">
        <f>J1902/1000000</f>
        <v>1.4602921015773298</v>
      </c>
      <c r="M1902" t="s">
        <v>19</v>
      </c>
    </row>
    <row r="1903" spans="2:13" x14ac:dyDescent="0.25">
      <c r="B1903" t="s">
        <v>13</v>
      </c>
      <c r="C1903" t="s">
        <v>46</v>
      </c>
      <c r="D1903" t="s">
        <v>73</v>
      </c>
      <c r="E1903">
        <v>2028</v>
      </c>
      <c r="F1903" t="s">
        <v>49</v>
      </c>
      <c r="G1903" t="s">
        <v>17</v>
      </c>
      <c r="H1903" t="s">
        <v>18</v>
      </c>
      <c r="I1903" s="8">
        <v>1552568.6814999999</v>
      </c>
      <c r="J1903" s="8">
        <v>1537590.1489496001</v>
      </c>
      <c r="K1903" s="8">
        <f>I1903/1000000</f>
        <v>1.5525686814999999</v>
      </c>
      <c r="L1903" s="8">
        <f>J1903/1000000</f>
        <v>1.5375901489496</v>
      </c>
      <c r="M1903" t="s">
        <v>19</v>
      </c>
    </row>
    <row r="1904" spans="2:13" x14ac:dyDescent="0.25">
      <c r="B1904" t="s">
        <v>13</v>
      </c>
      <c r="C1904" t="s">
        <v>46</v>
      </c>
      <c r="D1904" t="s">
        <v>73</v>
      </c>
      <c r="E1904">
        <v>2029</v>
      </c>
      <c r="F1904" t="s">
        <v>49</v>
      </c>
      <c r="G1904" t="s">
        <v>17</v>
      </c>
      <c r="H1904" t="s">
        <v>18</v>
      </c>
      <c r="I1904" s="8">
        <v>1594811.6843000001</v>
      </c>
      <c r="J1904" s="8">
        <v>1579425.6169380499</v>
      </c>
      <c r="K1904" s="8">
        <f>I1904/1000000</f>
        <v>1.5948116843</v>
      </c>
      <c r="L1904" s="8">
        <f>J1904/1000000</f>
        <v>1.5794256169380498</v>
      </c>
      <c r="M1904" t="s">
        <v>19</v>
      </c>
    </row>
    <row r="1905" spans="2:13" x14ac:dyDescent="0.25">
      <c r="B1905" t="s">
        <v>13</v>
      </c>
      <c r="C1905" t="s">
        <v>46</v>
      </c>
      <c r="D1905" t="s">
        <v>70</v>
      </c>
      <c r="E1905">
        <v>2028</v>
      </c>
      <c r="F1905" t="s">
        <v>49</v>
      </c>
      <c r="G1905" t="s">
        <v>17</v>
      </c>
      <c r="H1905" t="s">
        <v>18</v>
      </c>
      <c r="I1905" s="8">
        <v>1636135.6052000001</v>
      </c>
      <c r="J1905" s="8">
        <v>1163530.4425274101</v>
      </c>
      <c r="K1905" s="8">
        <f>I1905/1000000</f>
        <v>1.6361356052</v>
      </c>
      <c r="L1905" s="8">
        <f>J1905/1000000</f>
        <v>1.16353044252741</v>
      </c>
      <c r="M1905" t="s">
        <v>19</v>
      </c>
    </row>
    <row r="1906" spans="2:13" x14ac:dyDescent="0.25">
      <c r="B1906" t="s">
        <v>13</v>
      </c>
      <c r="C1906" t="s">
        <v>46</v>
      </c>
      <c r="D1906" t="s">
        <v>70</v>
      </c>
      <c r="E1906">
        <v>2029</v>
      </c>
      <c r="F1906" t="s">
        <v>49</v>
      </c>
      <c r="G1906" t="s">
        <v>17</v>
      </c>
      <c r="H1906" t="s">
        <v>18</v>
      </c>
      <c r="I1906" s="8">
        <v>1894256.6292000001</v>
      </c>
      <c r="J1906" s="8">
        <v>1196248.0965592901</v>
      </c>
      <c r="K1906" s="8">
        <f>I1906/1000000</f>
        <v>1.8942566292</v>
      </c>
      <c r="L1906" s="8">
        <f>J1906/1000000</f>
        <v>1.1962480965592901</v>
      </c>
      <c r="M1906" t="s">
        <v>19</v>
      </c>
    </row>
    <row r="1907" spans="2:13" x14ac:dyDescent="0.25">
      <c r="B1907" t="s">
        <v>13</v>
      </c>
      <c r="C1907" t="s">
        <v>46</v>
      </c>
      <c r="D1907" t="s">
        <v>70</v>
      </c>
      <c r="E1907">
        <v>2026</v>
      </c>
      <c r="F1907" t="s">
        <v>49</v>
      </c>
      <c r="G1907" t="s">
        <v>17</v>
      </c>
      <c r="H1907" t="s">
        <v>18</v>
      </c>
      <c r="I1907" s="8">
        <v>1795459.8540000001</v>
      </c>
      <c r="J1907" s="8">
        <v>1044400</v>
      </c>
      <c r="K1907" s="8">
        <f>I1907/1000000</f>
        <v>1.795459854</v>
      </c>
      <c r="L1907" s="8">
        <f>J1907/1000000</f>
        <v>1.0444</v>
      </c>
      <c r="M1907" t="s">
        <v>19</v>
      </c>
    </row>
    <row r="1908" spans="2:13" x14ac:dyDescent="0.25">
      <c r="B1908" t="s">
        <v>13</v>
      </c>
      <c r="C1908" t="s">
        <v>46</v>
      </c>
      <c r="D1908" t="s">
        <v>70</v>
      </c>
      <c r="E1908">
        <v>2027</v>
      </c>
      <c r="F1908" t="s">
        <v>49</v>
      </c>
      <c r="G1908" t="s">
        <v>17</v>
      </c>
      <c r="H1908" t="s">
        <v>18</v>
      </c>
      <c r="I1908" s="8">
        <v>1572282.4818</v>
      </c>
      <c r="J1908" s="8">
        <v>1130986.1383589699</v>
      </c>
      <c r="K1908" s="8">
        <f>I1908/1000000</f>
        <v>1.5722824817999999</v>
      </c>
      <c r="L1908" s="8">
        <f>J1908/1000000</f>
        <v>1.1309861383589699</v>
      </c>
      <c r="M1908" t="s">
        <v>19</v>
      </c>
    </row>
    <row r="1909" spans="2:13" x14ac:dyDescent="0.25">
      <c r="B1909" t="s">
        <v>13</v>
      </c>
      <c r="C1909" t="s">
        <v>46</v>
      </c>
      <c r="D1909" t="s">
        <v>70</v>
      </c>
      <c r="E1909">
        <v>2030</v>
      </c>
      <c r="F1909" t="s">
        <v>49</v>
      </c>
      <c r="G1909" t="s">
        <v>17</v>
      </c>
      <c r="H1909" t="s">
        <v>18</v>
      </c>
      <c r="I1909" s="8">
        <v>1943053.8787</v>
      </c>
      <c r="J1909" s="8">
        <v>1225979.1485178401</v>
      </c>
      <c r="K1909" s="8">
        <f>I1909/1000000</f>
        <v>1.9430538787</v>
      </c>
      <c r="L1909" s="8">
        <f>J1909/1000000</f>
        <v>1.2259791485178402</v>
      </c>
      <c r="M1909" t="s">
        <v>19</v>
      </c>
    </row>
    <row r="1910" spans="2:13" x14ac:dyDescent="0.25">
      <c r="B1910" t="s">
        <v>13</v>
      </c>
      <c r="C1910" t="s">
        <v>46</v>
      </c>
      <c r="D1910" t="s">
        <v>100</v>
      </c>
      <c r="E1910">
        <v>2029</v>
      </c>
      <c r="F1910" t="s">
        <v>49</v>
      </c>
      <c r="G1910" t="s">
        <v>17</v>
      </c>
      <c r="H1910" t="s">
        <v>18</v>
      </c>
      <c r="I1910" s="8">
        <v>1619381.1236</v>
      </c>
      <c r="J1910" s="8">
        <v>1396018.2099915801</v>
      </c>
      <c r="K1910" s="8">
        <f>I1910/1000000</f>
        <v>1.6193811236</v>
      </c>
      <c r="L1910" s="8">
        <f>J1910/1000000</f>
        <v>1.3960182099915801</v>
      </c>
      <c r="M1910" t="s">
        <v>19</v>
      </c>
    </row>
    <row r="1911" spans="2:13" x14ac:dyDescent="0.25">
      <c r="B1911" t="s">
        <v>13</v>
      </c>
      <c r="C1911" t="s">
        <v>46</v>
      </c>
      <c r="D1911" t="s">
        <v>100</v>
      </c>
      <c r="E1911">
        <v>2030</v>
      </c>
      <c r="F1911" t="s">
        <v>49</v>
      </c>
      <c r="G1911" t="s">
        <v>17</v>
      </c>
      <c r="H1911" t="s">
        <v>18</v>
      </c>
      <c r="I1911" s="8">
        <v>1659388.9347000001</v>
      </c>
      <c r="J1911" s="8">
        <v>1430507.7023539999</v>
      </c>
      <c r="K1911" s="8">
        <f>I1911/1000000</f>
        <v>1.6593889347000002</v>
      </c>
      <c r="L1911" s="8">
        <f>J1911/1000000</f>
        <v>1.430507702354</v>
      </c>
      <c r="M1911" t="s">
        <v>19</v>
      </c>
    </row>
    <row r="1912" spans="2:13" x14ac:dyDescent="0.25">
      <c r="B1912" t="s">
        <v>13</v>
      </c>
      <c r="C1912" t="s">
        <v>46</v>
      </c>
      <c r="D1912" t="s">
        <v>100</v>
      </c>
      <c r="E1912">
        <v>2027</v>
      </c>
      <c r="F1912" t="s">
        <v>49</v>
      </c>
      <c r="G1912" t="s">
        <v>17</v>
      </c>
      <c r="H1912" t="s">
        <v>18</v>
      </c>
      <c r="I1912" s="8">
        <v>1273855.6591</v>
      </c>
      <c r="J1912" s="8">
        <v>1263745.6935254999</v>
      </c>
      <c r="K1912" s="8">
        <f>I1912/1000000</f>
        <v>1.2738556591000001</v>
      </c>
      <c r="L1912" s="8">
        <f>J1912/1000000</f>
        <v>1.2637456935254998</v>
      </c>
      <c r="M1912" t="s">
        <v>19</v>
      </c>
    </row>
    <row r="1913" spans="2:13" x14ac:dyDescent="0.25">
      <c r="B1913" t="s">
        <v>13</v>
      </c>
      <c r="C1913" t="s">
        <v>46</v>
      </c>
      <c r="D1913" t="s">
        <v>100</v>
      </c>
      <c r="E1913">
        <v>2026</v>
      </c>
      <c r="F1913" t="s">
        <v>49</v>
      </c>
      <c r="G1913" t="s">
        <v>17</v>
      </c>
      <c r="H1913" t="s">
        <v>18</v>
      </c>
      <c r="I1913" s="8">
        <v>1245488.5308999999</v>
      </c>
      <c r="J1913" s="8">
        <v>1235603.7012217499</v>
      </c>
      <c r="K1913" s="8">
        <f>I1913/1000000</f>
        <v>1.2454885308999999</v>
      </c>
      <c r="L1913" s="8">
        <f>J1913/1000000</f>
        <v>1.2356037012217498</v>
      </c>
      <c r="M1913" t="s">
        <v>19</v>
      </c>
    </row>
    <row r="1914" spans="2:13" x14ac:dyDescent="0.25">
      <c r="B1914" t="s">
        <v>13</v>
      </c>
      <c r="C1914" t="s">
        <v>46</v>
      </c>
      <c r="D1914" t="s">
        <v>100</v>
      </c>
      <c r="E1914">
        <v>2028</v>
      </c>
      <c r="F1914" t="s">
        <v>49</v>
      </c>
      <c r="G1914" t="s">
        <v>17</v>
      </c>
      <c r="H1914" t="s">
        <v>18</v>
      </c>
      <c r="I1914" s="8">
        <v>1276565.8540000001</v>
      </c>
      <c r="J1914" s="8">
        <v>1329756.09796069</v>
      </c>
      <c r="K1914" s="8">
        <f>I1914/1000000</f>
        <v>1.276565854</v>
      </c>
      <c r="L1914" s="8">
        <f>J1914/1000000</f>
        <v>1.3297560979606899</v>
      </c>
      <c r="M1914" t="s">
        <v>19</v>
      </c>
    </row>
    <row r="1915" spans="2:13" x14ac:dyDescent="0.25">
      <c r="B1915" t="s">
        <v>13</v>
      </c>
      <c r="C1915" t="s">
        <v>46</v>
      </c>
      <c r="D1915" t="s">
        <v>72</v>
      </c>
      <c r="E1915">
        <v>2026</v>
      </c>
      <c r="F1915" t="s">
        <v>49</v>
      </c>
      <c r="G1915" t="s">
        <v>17</v>
      </c>
      <c r="H1915" t="s">
        <v>18</v>
      </c>
      <c r="I1915" s="8">
        <v>3842906.6595000001</v>
      </c>
      <c r="J1915" s="8">
        <v>1346265.1854666001</v>
      </c>
      <c r="K1915" s="8">
        <f>I1915/1000000</f>
        <v>3.8429066595000001</v>
      </c>
      <c r="L1915" s="8">
        <f>J1915/1000000</f>
        <v>1.3462651854666001</v>
      </c>
      <c r="M1915" t="s">
        <v>19</v>
      </c>
    </row>
    <row r="1916" spans="2:13" x14ac:dyDescent="0.25">
      <c r="B1916" t="s">
        <v>13</v>
      </c>
      <c r="C1916" t="s">
        <v>46</v>
      </c>
      <c r="D1916" t="s">
        <v>72</v>
      </c>
      <c r="E1916">
        <v>2029</v>
      </c>
      <c r="F1916" t="s">
        <v>49</v>
      </c>
      <c r="G1916" t="s">
        <v>17</v>
      </c>
      <c r="H1916" t="s">
        <v>18</v>
      </c>
      <c r="I1916" s="8">
        <v>3095118.9380000001</v>
      </c>
      <c r="J1916" s="8">
        <v>1480008.8760714601</v>
      </c>
      <c r="K1916" s="8">
        <f>I1916/1000000</f>
        <v>3.0951189380000002</v>
      </c>
      <c r="L1916" s="8">
        <f>J1916/1000000</f>
        <v>1.48000887607146</v>
      </c>
      <c r="M1916" t="s">
        <v>19</v>
      </c>
    </row>
    <row r="1917" spans="2:13" x14ac:dyDescent="0.25">
      <c r="B1917" t="s">
        <v>13</v>
      </c>
      <c r="C1917" t="s">
        <v>46</v>
      </c>
      <c r="D1917" t="s">
        <v>72</v>
      </c>
      <c r="E1917">
        <v>2030</v>
      </c>
      <c r="F1917" t="s">
        <v>49</v>
      </c>
      <c r="G1917" t="s">
        <v>17</v>
      </c>
      <c r="H1917" t="s">
        <v>18</v>
      </c>
      <c r="I1917" s="8">
        <v>3171585.7636000002</v>
      </c>
      <c r="J1917" s="8">
        <v>1516573.4097302901</v>
      </c>
      <c r="K1917" s="8">
        <f>I1917/1000000</f>
        <v>3.1715857636</v>
      </c>
      <c r="L1917" s="8">
        <f>J1917/1000000</f>
        <v>1.5165734097302901</v>
      </c>
      <c r="M1917" t="s">
        <v>19</v>
      </c>
    </row>
    <row r="1918" spans="2:13" x14ac:dyDescent="0.25">
      <c r="B1918" t="s">
        <v>13</v>
      </c>
      <c r="C1918" t="s">
        <v>46</v>
      </c>
      <c r="D1918" t="s">
        <v>72</v>
      </c>
      <c r="E1918">
        <v>2027</v>
      </c>
      <c r="F1918" t="s">
        <v>49</v>
      </c>
      <c r="G1918" t="s">
        <v>17</v>
      </c>
      <c r="H1918" t="s">
        <v>18</v>
      </c>
      <c r="I1918" s="8">
        <v>3379661.2985</v>
      </c>
      <c r="J1918" s="8">
        <v>1376927.5932036</v>
      </c>
      <c r="K1918" s="8">
        <f>I1918/1000000</f>
        <v>3.3796612984999999</v>
      </c>
      <c r="L1918" s="8">
        <f>J1918/1000000</f>
        <v>1.3769275932036</v>
      </c>
      <c r="M1918" t="s">
        <v>19</v>
      </c>
    </row>
    <row r="1919" spans="2:13" x14ac:dyDescent="0.25">
      <c r="B1919" t="s">
        <v>13</v>
      </c>
      <c r="C1919" t="s">
        <v>46</v>
      </c>
      <c r="D1919" t="s">
        <v>72</v>
      </c>
      <c r="E1919">
        <v>2028</v>
      </c>
      <c r="F1919" t="s">
        <v>49</v>
      </c>
      <c r="G1919" t="s">
        <v>17</v>
      </c>
      <c r="H1919" t="s">
        <v>18</v>
      </c>
      <c r="I1919" s="8">
        <v>3514818.3314999999</v>
      </c>
      <c r="J1919" s="8">
        <v>1439741.6594445801</v>
      </c>
      <c r="K1919" s="8">
        <f>I1919/1000000</f>
        <v>3.5148183314999999</v>
      </c>
      <c r="L1919" s="8">
        <f>J1919/1000000</f>
        <v>1.43974165944458</v>
      </c>
      <c r="M1919" t="s">
        <v>19</v>
      </c>
    </row>
    <row r="1920" spans="2:13" x14ac:dyDescent="0.25">
      <c r="B1920" t="s">
        <v>13</v>
      </c>
      <c r="C1920" t="s">
        <v>46</v>
      </c>
      <c r="D1920" t="s">
        <v>76</v>
      </c>
      <c r="E1920">
        <v>2027</v>
      </c>
      <c r="F1920" t="s">
        <v>49</v>
      </c>
      <c r="G1920" t="s">
        <v>17</v>
      </c>
      <c r="H1920" t="s">
        <v>18</v>
      </c>
      <c r="I1920" s="8">
        <v>3772079.8473</v>
      </c>
      <c r="J1920" s="8">
        <v>1165221.1506771599</v>
      </c>
      <c r="K1920" s="8">
        <f>I1920/1000000</f>
        <v>3.7720798473000001</v>
      </c>
      <c r="L1920" s="8">
        <f>J1920/1000000</f>
        <v>1.1652211506771599</v>
      </c>
      <c r="M1920" t="s">
        <v>39</v>
      </c>
    </row>
    <row r="1921" spans="2:13" x14ac:dyDescent="0.25">
      <c r="B1921" t="s">
        <v>13</v>
      </c>
      <c r="C1921" t="s">
        <v>46</v>
      </c>
      <c r="D1921" t="s">
        <v>76</v>
      </c>
      <c r="E1921">
        <v>2028</v>
      </c>
      <c r="F1921" t="s">
        <v>49</v>
      </c>
      <c r="G1921" t="s">
        <v>17</v>
      </c>
      <c r="H1921" t="s">
        <v>18</v>
      </c>
      <c r="I1921" s="8">
        <v>3589263.1161000002</v>
      </c>
      <c r="J1921" s="8">
        <v>1124324.74139882</v>
      </c>
      <c r="K1921" s="8">
        <f>I1921/1000000</f>
        <v>3.5892631161000002</v>
      </c>
      <c r="L1921" s="8">
        <f>J1921/1000000</f>
        <v>1.12432474139882</v>
      </c>
      <c r="M1921" t="s">
        <v>39</v>
      </c>
    </row>
    <row r="1922" spans="2:13" x14ac:dyDescent="0.25">
      <c r="B1922" t="s">
        <v>13</v>
      </c>
      <c r="C1922" t="s">
        <v>46</v>
      </c>
      <c r="D1922" t="s">
        <v>76</v>
      </c>
      <c r="E1922">
        <v>2029</v>
      </c>
      <c r="F1922" t="s">
        <v>49</v>
      </c>
      <c r="G1922" t="s">
        <v>17</v>
      </c>
      <c r="H1922" t="s">
        <v>18</v>
      </c>
      <c r="I1922" s="8">
        <v>3460490.5841999999</v>
      </c>
      <c r="J1922" s="8">
        <v>1083987.17375911</v>
      </c>
      <c r="K1922" s="8">
        <f>I1922/1000000</f>
        <v>3.4604905842</v>
      </c>
      <c r="L1922" s="8">
        <f>J1922/1000000</f>
        <v>1.08398717375911</v>
      </c>
      <c r="M1922" t="s">
        <v>39</v>
      </c>
    </row>
    <row r="1923" spans="2:13" x14ac:dyDescent="0.25">
      <c r="B1923" t="s">
        <v>13</v>
      </c>
      <c r="C1923" t="s">
        <v>46</v>
      </c>
      <c r="D1923" t="s">
        <v>76</v>
      </c>
      <c r="E1923">
        <v>2030</v>
      </c>
      <c r="F1923" t="s">
        <v>49</v>
      </c>
      <c r="G1923" t="s">
        <v>17</v>
      </c>
      <c r="H1923" t="s">
        <v>18</v>
      </c>
      <c r="I1923" s="8">
        <v>3650735.3017000002</v>
      </c>
      <c r="J1923" s="8">
        <v>1143580.6992218101</v>
      </c>
      <c r="K1923" s="8">
        <f>I1923/1000000</f>
        <v>3.6507353017000002</v>
      </c>
      <c r="L1923" s="8">
        <f>J1923/1000000</f>
        <v>1.14358069922181</v>
      </c>
      <c r="M1923" t="s">
        <v>39</v>
      </c>
    </row>
    <row r="1924" spans="2:13" x14ac:dyDescent="0.25">
      <c r="B1924" t="s">
        <v>13</v>
      </c>
      <c r="C1924" t="s">
        <v>46</v>
      </c>
      <c r="D1924" t="s">
        <v>76</v>
      </c>
      <c r="E1924">
        <v>2026</v>
      </c>
      <c r="F1924" t="s">
        <v>49</v>
      </c>
      <c r="G1924" t="s">
        <v>17</v>
      </c>
      <c r="H1924" t="s">
        <v>18</v>
      </c>
      <c r="I1924" s="8">
        <v>8252837.1512000002</v>
      </c>
      <c r="J1924" s="8">
        <v>1561200</v>
      </c>
      <c r="K1924" s="8">
        <f>I1924/1000000</f>
        <v>8.2528371511999996</v>
      </c>
      <c r="L1924" s="8">
        <f>J1924/1000000</f>
        <v>1.5611999999999999</v>
      </c>
      <c r="M1924" t="s">
        <v>39</v>
      </c>
    </row>
    <row r="1925" spans="2:13" x14ac:dyDescent="0.25">
      <c r="B1925" t="s">
        <v>13</v>
      </c>
      <c r="C1925" t="s">
        <v>46</v>
      </c>
      <c r="D1925" t="s">
        <v>121</v>
      </c>
      <c r="E1925">
        <v>2027</v>
      </c>
      <c r="F1925" t="s">
        <v>49</v>
      </c>
      <c r="G1925" t="s">
        <v>17</v>
      </c>
      <c r="H1925" t="s">
        <v>18</v>
      </c>
      <c r="I1925" s="8">
        <v>735387.58519999997</v>
      </c>
      <c r="J1925" s="8">
        <v>1002504.73774892</v>
      </c>
      <c r="K1925" s="8">
        <f>I1925/1000000</f>
        <v>0.73538758520000003</v>
      </c>
      <c r="L1925" s="8">
        <f>J1925/1000000</f>
        <v>1.00250473774892</v>
      </c>
      <c r="M1925" t="s">
        <v>19</v>
      </c>
    </row>
    <row r="1926" spans="2:13" x14ac:dyDescent="0.25">
      <c r="B1926" t="s">
        <v>13</v>
      </c>
      <c r="C1926" t="s">
        <v>46</v>
      </c>
      <c r="D1926" t="s">
        <v>52</v>
      </c>
      <c r="E1926">
        <v>2029</v>
      </c>
      <c r="F1926" t="s">
        <v>49</v>
      </c>
      <c r="G1926" t="s">
        <v>17</v>
      </c>
      <c r="H1926" t="s">
        <v>18</v>
      </c>
      <c r="I1926" s="8">
        <v>1430073.0523999999</v>
      </c>
      <c r="J1926" s="8">
        <v>1130338.3902559499</v>
      </c>
      <c r="K1926" s="8">
        <f>I1926/1000000</f>
        <v>1.4300730523999998</v>
      </c>
      <c r="L1926" s="8">
        <f>J1926/1000000</f>
        <v>1.1303383902559498</v>
      </c>
      <c r="M1926" t="s">
        <v>19</v>
      </c>
    </row>
    <row r="1927" spans="2:13" x14ac:dyDescent="0.25">
      <c r="B1927" t="s">
        <v>13</v>
      </c>
      <c r="C1927" t="s">
        <v>46</v>
      </c>
      <c r="D1927" t="s">
        <v>74</v>
      </c>
      <c r="E1927">
        <v>2028</v>
      </c>
      <c r="F1927" t="s">
        <v>49</v>
      </c>
      <c r="G1927" t="s">
        <v>17</v>
      </c>
      <c r="H1927" t="s">
        <v>18</v>
      </c>
      <c r="I1927" s="8">
        <v>675166.36140000005</v>
      </c>
      <c r="J1927" s="8">
        <v>438222.22433798702</v>
      </c>
      <c r="K1927" s="8">
        <f>I1927/1000000</f>
        <v>0.67516636140000008</v>
      </c>
      <c r="L1927" s="8">
        <f>J1927/1000000</f>
        <v>0.43822222433798702</v>
      </c>
      <c r="M1927" t="s">
        <v>19</v>
      </c>
    </row>
    <row r="1928" spans="2:13" x14ac:dyDescent="0.25">
      <c r="B1928" t="s">
        <v>13</v>
      </c>
      <c r="C1928" t="s">
        <v>46</v>
      </c>
      <c r="D1928" t="s">
        <v>102</v>
      </c>
      <c r="E1928">
        <v>2030</v>
      </c>
      <c r="F1928" t="s">
        <v>49</v>
      </c>
      <c r="G1928" t="s">
        <v>17</v>
      </c>
      <c r="H1928" t="s">
        <v>18</v>
      </c>
      <c r="I1928" s="8">
        <v>3746.4742000000001</v>
      </c>
      <c r="J1928" s="8">
        <v>8397.5786137917003</v>
      </c>
      <c r="K1928" s="8">
        <f>I1928/1000000</f>
        <v>3.7464742000000001E-3</v>
      </c>
      <c r="L1928" s="8">
        <f>J1928/1000000</f>
        <v>8.3975786137917008E-3</v>
      </c>
      <c r="M1928" t="s">
        <v>19</v>
      </c>
    </row>
    <row r="1929" spans="2:13" x14ac:dyDescent="0.25">
      <c r="B1929" t="s">
        <v>13</v>
      </c>
      <c r="C1929" t="s">
        <v>14</v>
      </c>
      <c r="D1929" t="s">
        <v>121</v>
      </c>
      <c r="E1929">
        <v>2027</v>
      </c>
      <c r="F1929" t="s">
        <v>49</v>
      </c>
      <c r="G1929" t="s">
        <v>17</v>
      </c>
      <c r="H1929" t="s">
        <v>18</v>
      </c>
      <c r="I1929" s="8">
        <v>1413799.4184999999</v>
      </c>
      <c r="J1929" s="8">
        <v>2770786.6726073502</v>
      </c>
      <c r="K1929" s="8">
        <f>I1929/1000000</f>
        <v>1.4137994185</v>
      </c>
      <c r="L1929" s="8">
        <f>J1929/1000000</f>
        <v>2.77078667260735</v>
      </c>
      <c r="M1929" t="s">
        <v>19</v>
      </c>
    </row>
    <row r="1930" spans="2:13" x14ac:dyDescent="0.25">
      <c r="B1930" t="s">
        <v>13</v>
      </c>
      <c r="C1930" t="s">
        <v>14</v>
      </c>
      <c r="D1930" t="s">
        <v>74</v>
      </c>
      <c r="E1930">
        <v>2028</v>
      </c>
      <c r="F1930" t="s">
        <v>49</v>
      </c>
      <c r="G1930" t="s">
        <v>17</v>
      </c>
      <c r="H1930" t="s">
        <v>18</v>
      </c>
      <c r="I1930" s="8">
        <v>3018780.4646000001</v>
      </c>
      <c r="J1930" s="8">
        <v>1743714.0048983099</v>
      </c>
      <c r="K1930" s="8">
        <f>I1930/1000000</f>
        <v>3.0187804646000003</v>
      </c>
      <c r="L1930" s="8">
        <f>J1930/1000000</f>
        <v>1.74371400489831</v>
      </c>
      <c r="M1930" t="s">
        <v>39</v>
      </c>
    </row>
    <row r="1931" spans="2:13" x14ac:dyDescent="0.25">
      <c r="B1931" t="s">
        <v>13</v>
      </c>
      <c r="C1931" t="s">
        <v>14</v>
      </c>
      <c r="D1931" t="s">
        <v>74</v>
      </c>
      <c r="E1931">
        <v>2029</v>
      </c>
      <c r="F1931" t="s">
        <v>49</v>
      </c>
      <c r="G1931" t="s">
        <v>17</v>
      </c>
      <c r="H1931" t="s">
        <v>18</v>
      </c>
      <c r="I1931" s="8">
        <v>2955715.628</v>
      </c>
      <c r="J1931" s="8">
        <v>1746852.4310566999</v>
      </c>
      <c r="K1931" s="8">
        <f>I1931/1000000</f>
        <v>2.9557156280000001</v>
      </c>
      <c r="L1931" s="8">
        <f>J1931/1000000</f>
        <v>1.7468524310567</v>
      </c>
      <c r="M1931" t="s">
        <v>39</v>
      </c>
    </row>
    <row r="1932" spans="2:13" x14ac:dyDescent="0.25">
      <c r="B1932" t="s">
        <v>13</v>
      </c>
      <c r="C1932" t="s">
        <v>14</v>
      </c>
      <c r="D1932" t="s">
        <v>52</v>
      </c>
      <c r="E1932">
        <v>2029</v>
      </c>
      <c r="F1932" t="s">
        <v>49</v>
      </c>
      <c r="G1932" t="s">
        <v>17</v>
      </c>
      <c r="H1932" t="s">
        <v>18</v>
      </c>
      <c r="I1932" s="8">
        <v>3408938.6630000002</v>
      </c>
      <c r="J1932" s="8">
        <v>2949498.9470624998</v>
      </c>
      <c r="K1932" s="8">
        <f>I1932/1000000</f>
        <v>3.4089386630000003</v>
      </c>
      <c r="L1932" s="8">
        <f>J1932/1000000</f>
        <v>2.9494989470624997</v>
      </c>
      <c r="M1932" t="s">
        <v>19</v>
      </c>
    </row>
    <row r="1933" spans="2:13" x14ac:dyDescent="0.25">
      <c r="B1933" t="s">
        <v>13</v>
      </c>
      <c r="C1933" t="s">
        <v>46</v>
      </c>
      <c r="D1933" t="s">
        <v>72</v>
      </c>
      <c r="E1933">
        <v>2027</v>
      </c>
      <c r="F1933" t="s">
        <v>49</v>
      </c>
      <c r="G1933" t="s">
        <v>17</v>
      </c>
      <c r="H1933" t="s">
        <v>18</v>
      </c>
      <c r="I1933" s="8">
        <v>266473.80989999999</v>
      </c>
      <c r="J1933" s="8">
        <v>108734.39999999999</v>
      </c>
      <c r="K1933" s="8">
        <f>I1933/1000000</f>
        <v>0.26647380989999997</v>
      </c>
      <c r="L1933" s="8">
        <f>J1933/1000000</f>
        <v>0.10873439999999999</v>
      </c>
      <c r="M1933" t="s">
        <v>19</v>
      </c>
    </row>
    <row r="1934" spans="2:13" x14ac:dyDescent="0.25">
      <c r="B1934" t="s">
        <v>13</v>
      </c>
      <c r="C1934" t="s">
        <v>46</v>
      </c>
      <c r="D1934" t="s">
        <v>72</v>
      </c>
      <c r="E1934">
        <v>2028</v>
      </c>
      <c r="F1934" t="s">
        <v>49</v>
      </c>
      <c r="G1934" t="s">
        <v>17</v>
      </c>
      <c r="H1934" t="s">
        <v>18</v>
      </c>
      <c r="I1934" s="8">
        <v>270439.78320000001</v>
      </c>
      <c r="J1934" s="8">
        <v>110950.56</v>
      </c>
      <c r="K1934" s="8">
        <f>I1934/1000000</f>
        <v>0.27043978320000001</v>
      </c>
      <c r="L1934" s="8">
        <f>J1934/1000000</f>
        <v>0.11095056</v>
      </c>
      <c r="M1934" t="s">
        <v>19</v>
      </c>
    </row>
    <row r="1935" spans="2:13" x14ac:dyDescent="0.25">
      <c r="B1935" t="s">
        <v>13</v>
      </c>
      <c r="C1935" t="s">
        <v>46</v>
      </c>
      <c r="D1935" t="s">
        <v>100</v>
      </c>
      <c r="E1935">
        <v>2027</v>
      </c>
      <c r="F1935" t="s">
        <v>49</v>
      </c>
      <c r="G1935" t="s">
        <v>17</v>
      </c>
      <c r="H1935" t="s">
        <v>18</v>
      </c>
      <c r="I1935" s="8">
        <v>109604.2752</v>
      </c>
      <c r="J1935" s="8">
        <v>108734.39999999999</v>
      </c>
      <c r="K1935" s="8">
        <f>I1935/1000000</f>
        <v>0.1096042752</v>
      </c>
      <c r="L1935" s="8">
        <f>J1935/1000000</f>
        <v>0.10873439999999999</v>
      </c>
      <c r="M1935" t="s">
        <v>19</v>
      </c>
    </row>
    <row r="1936" spans="2:13" x14ac:dyDescent="0.25">
      <c r="B1936" t="s">
        <v>13</v>
      </c>
      <c r="C1936" t="s">
        <v>46</v>
      </c>
      <c r="D1936" t="s">
        <v>100</v>
      </c>
      <c r="E1936">
        <v>2028</v>
      </c>
      <c r="F1936" t="s">
        <v>49</v>
      </c>
      <c r="G1936" t="s">
        <v>17</v>
      </c>
      <c r="H1936" t="s">
        <v>18</v>
      </c>
      <c r="I1936" s="8">
        <v>106512.5376</v>
      </c>
      <c r="J1936" s="8">
        <v>110950.56</v>
      </c>
      <c r="K1936" s="8">
        <f>I1936/1000000</f>
        <v>0.1065125376</v>
      </c>
      <c r="L1936" s="8">
        <f>J1936/1000000</f>
        <v>0.11095056</v>
      </c>
      <c r="M1936" t="s">
        <v>19</v>
      </c>
    </row>
    <row r="1937" spans="2:13" x14ac:dyDescent="0.25">
      <c r="B1937" t="s">
        <v>13</v>
      </c>
      <c r="C1937" t="s">
        <v>46</v>
      </c>
      <c r="D1937" t="s">
        <v>70</v>
      </c>
      <c r="E1937">
        <v>2026</v>
      </c>
      <c r="F1937" t="s">
        <v>99</v>
      </c>
      <c r="G1937" t="s">
        <v>17</v>
      </c>
      <c r="H1937" t="s">
        <v>18</v>
      </c>
      <c r="I1937" s="8">
        <v>269207.61080000002</v>
      </c>
      <c r="J1937" s="8">
        <v>141400</v>
      </c>
      <c r="K1937" s="8">
        <f>I1937/1000000</f>
        <v>0.2692076108</v>
      </c>
      <c r="L1937" s="8">
        <f>J1937/1000000</f>
        <v>0.1414</v>
      </c>
      <c r="M1937" t="s">
        <v>19</v>
      </c>
    </row>
    <row r="1938" spans="2:13" x14ac:dyDescent="0.25">
      <c r="B1938" t="s">
        <v>13</v>
      </c>
      <c r="C1938" t="s">
        <v>46</v>
      </c>
      <c r="D1938" t="s">
        <v>70</v>
      </c>
      <c r="E1938">
        <v>2027</v>
      </c>
      <c r="F1938" t="s">
        <v>99</v>
      </c>
      <c r="G1938" t="s">
        <v>17</v>
      </c>
      <c r="H1938" t="s">
        <v>18</v>
      </c>
      <c r="I1938" s="8">
        <v>115403.5055</v>
      </c>
      <c r="J1938" s="8">
        <v>73275.345000000001</v>
      </c>
      <c r="K1938" s="8">
        <f>I1938/1000000</f>
        <v>0.1154035055</v>
      </c>
      <c r="L1938" s="8">
        <f>J1938/1000000</f>
        <v>7.3275345000000006E-2</v>
      </c>
      <c r="M1938" t="s">
        <v>19</v>
      </c>
    </row>
    <row r="1939" spans="2:13" x14ac:dyDescent="0.25">
      <c r="B1939" t="s">
        <v>13</v>
      </c>
      <c r="C1939" t="s">
        <v>14</v>
      </c>
      <c r="D1939" t="s">
        <v>40</v>
      </c>
      <c r="E1939">
        <v>2027</v>
      </c>
      <c r="F1939" t="s">
        <v>42</v>
      </c>
      <c r="G1939" t="s">
        <v>17</v>
      </c>
      <c r="H1939" t="s">
        <v>18</v>
      </c>
      <c r="I1939" s="8">
        <v>34091128.4146</v>
      </c>
      <c r="J1939" s="8">
        <v>10987381.2222222</v>
      </c>
      <c r="K1939" s="8">
        <f>I1939/1000000</f>
        <v>34.0911284146</v>
      </c>
      <c r="L1939" s="8">
        <f>J1939/1000000</f>
        <v>10.987381222222199</v>
      </c>
      <c r="M1939" t="s">
        <v>39</v>
      </c>
    </row>
    <row r="1940" spans="2:13" x14ac:dyDescent="0.25">
      <c r="B1940" t="s">
        <v>13</v>
      </c>
      <c r="C1940" t="s">
        <v>46</v>
      </c>
      <c r="D1940" t="s">
        <v>52</v>
      </c>
      <c r="E1940">
        <v>2028</v>
      </c>
      <c r="F1940" t="s">
        <v>42</v>
      </c>
      <c r="G1940" t="s">
        <v>17</v>
      </c>
      <c r="H1940" t="s">
        <v>18</v>
      </c>
      <c r="I1940" s="8">
        <v>904247.02980000002</v>
      </c>
      <c r="J1940" s="8">
        <v>732600</v>
      </c>
      <c r="K1940" s="8">
        <f>I1940/1000000</f>
        <v>0.90424702980000005</v>
      </c>
      <c r="L1940" s="8">
        <f>J1940/1000000</f>
        <v>0.73260000000000003</v>
      </c>
      <c r="M1940" t="s">
        <v>19</v>
      </c>
    </row>
    <row r="1941" spans="2:13" x14ac:dyDescent="0.25">
      <c r="B1941" t="s">
        <v>13</v>
      </c>
      <c r="C1941" t="s">
        <v>46</v>
      </c>
      <c r="D1941" t="s">
        <v>52</v>
      </c>
      <c r="E1941">
        <v>2026</v>
      </c>
      <c r="F1941" t="s">
        <v>42</v>
      </c>
      <c r="G1941" t="s">
        <v>17</v>
      </c>
      <c r="H1941" t="s">
        <v>18</v>
      </c>
      <c r="I1941" s="8">
        <v>1059675.3877000001</v>
      </c>
      <c r="J1941" s="8">
        <v>855410.77965659299</v>
      </c>
      <c r="K1941" s="8">
        <f>I1941/1000000</f>
        <v>1.0596753877</v>
      </c>
      <c r="L1941" s="8">
        <f>J1941/1000000</f>
        <v>0.85541077965659296</v>
      </c>
      <c r="M1941" t="s">
        <v>19</v>
      </c>
    </row>
    <row r="1942" spans="2:13" x14ac:dyDescent="0.25">
      <c r="B1942" t="s">
        <v>13</v>
      </c>
      <c r="C1942" t="s">
        <v>46</v>
      </c>
      <c r="D1942" t="s">
        <v>52</v>
      </c>
      <c r="E1942">
        <v>2027</v>
      </c>
      <c r="F1942" t="s">
        <v>42</v>
      </c>
      <c r="G1942" t="s">
        <v>17</v>
      </c>
      <c r="H1942" t="s">
        <v>18</v>
      </c>
      <c r="I1942" s="8">
        <v>902011.23640000005</v>
      </c>
      <c r="J1942" s="8">
        <v>732600</v>
      </c>
      <c r="K1942" s="8">
        <f>I1942/1000000</f>
        <v>0.90201123640000003</v>
      </c>
      <c r="L1942" s="8">
        <f>J1942/1000000</f>
        <v>0.73260000000000003</v>
      </c>
      <c r="M1942" t="s">
        <v>19</v>
      </c>
    </row>
    <row r="1943" spans="2:13" x14ac:dyDescent="0.25">
      <c r="B1943" t="s">
        <v>13</v>
      </c>
      <c r="C1943" t="s">
        <v>46</v>
      </c>
      <c r="D1943" t="s">
        <v>52</v>
      </c>
      <c r="E1943">
        <v>2029</v>
      </c>
      <c r="F1943" t="s">
        <v>42</v>
      </c>
      <c r="G1943" t="s">
        <v>17</v>
      </c>
      <c r="H1943" t="s">
        <v>18</v>
      </c>
      <c r="I1943" s="8">
        <v>4857548.0001999997</v>
      </c>
      <c r="J1943" s="8">
        <v>3839435.3196971398</v>
      </c>
      <c r="K1943" s="8">
        <f>I1943/1000000</f>
        <v>4.8575480001999995</v>
      </c>
      <c r="L1943" s="8">
        <f>J1943/1000000</f>
        <v>3.8394353196971398</v>
      </c>
      <c r="M1943" t="s">
        <v>19</v>
      </c>
    </row>
    <row r="1944" spans="2:13" x14ac:dyDescent="0.25">
      <c r="B1944" t="s">
        <v>13</v>
      </c>
      <c r="C1944" t="s">
        <v>46</v>
      </c>
      <c r="D1944" t="s">
        <v>52</v>
      </c>
      <c r="E1944">
        <v>2030</v>
      </c>
      <c r="F1944" t="s">
        <v>42</v>
      </c>
      <c r="G1944" t="s">
        <v>17</v>
      </c>
      <c r="H1944" t="s">
        <v>18</v>
      </c>
      <c r="I1944" s="8">
        <v>4933629.3312999997</v>
      </c>
      <c r="J1944" s="8">
        <v>3864993.5932101998</v>
      </c>
      <c r="K1944" s="8">
        <f>I1944/1000000</f>
        <v>4.9336293312999997</v>
      </c>
      <c r="L1944" s="8">
        <f>J1944/1000000</f>
        <v>3.8649935932101998</v>
      </c>
      <c r="M1944" t="s">
        <v>19</v>
      </c>
    </row>
    <row r="1945" spans="2:13" x14ac:dyDescent="0.25">
      <c r="B1945" t="s">
        <v>13</v>
      </c>
      <c r="C1945" t="s">
        <v>46</v>
      </c>
      <c r="D1945" t="s">
        <v>52</v>
      </c>
      <c r="E1945">
        <v>2027</v>
      </c>
      <c r="F1945" t="s">
        <v>42</v>
      </c>
      <c r="G1945" t="s">
        <v>17</v>
      </c>
      <c r="H1945" t="s">
        <v>18</v>
      </c>
      <c r="I1945" s="8">
        <v>3756077.1126000001</v>
      </c>
      <c r="J1945" s="8">
        <v>2991853.04255128</v>
      </c>
      <c r="K1945" s="8">
        <f>I1945/1000000</f>
        <v>3.7560771126000003</v>
      </c>
      <c r="L1945" s="8">
        <f>J1945/1000000</f>
        <v>2.9918530425512802</v>
      </c>
      <c r="M1945" t="s">
        <v>19</v>
      </c>
    </row>
    <row r="1946" spans="2:13" x14ac:dyDescent="0.25">
      <c r="B1946" t="s">
        <v>13</v>
      </c>
      <c r="C1946" t="s">
        <v>46</v>
      </c>
      <c r="D1946" t="s">
        <v>52</v>
      </c>
      <c r="E1946">
        <v>2026</v>
      </c>
      <c r="F1946" t="s">
        <v>42</v>
      </c>
      <c r="G1946" t="s">
        <v>17</v>
      </c>
      <c r="H1946" t="s">
        <v>18</v>
      </c>
      <c r="I1946" s="8">
        <v>3414769.2749999999</v>
      </c>
      <c r="J1946" s="8">
        <v>2698905.088</v>
      </c>
      <c r="K1946" s="8">
        <f>I1946/1000000</f>
        <v>3.4147692749999998</v>
      </c>
      <c r="L1946" s="8">
        <f>J1946/1000000</f>
        <v>2.6989050880000001</v>
      </c>
      <c r="M1946" t="s">
        <v>19</v>
      </c>
    </row>
    <row r="1947" spans="2:13" x14ac:dyDescent="0.25">
      <c r="B1947" t="s">
        <v>13</v>
      </c>
      <c r="C1947" t="s">
        <v>46</v>
      </c>
      <c r="D1947" t="s">
        <v>52</v>
      </c>
      <c r="E1947">
        <v>2028</v>
      </c>
      <c r="F1947" t="s">
        <v>42</v>
      </c>
      <c r="G1947" t="s">
        <v>17</v>
      </c>
      <c r="H1947" t="s">
        <v>18</v>
      </c>
      <c r="I1947" s="8">
        <v>3746463.3979000002</v>
      </c>
      <c r="J1947" s="8">
        <v>2978411.58774585</v>
      </c>
      <c r="K1947" s="8">
        <f>I1947/1000000</f>
        <v>3.7464633979000004</v>
      </c>
      <c r="L1947" s="8">
        <f>J1947/1000000</f>
        <v>2.9784115877458501</v>
      </c>
      <c r="M1947" t="s">
        <v>19</v>
      </c>
    </row>
    <row r="1948" spans="2:13" x14ac:dyDescent="0.25">
      <c r="B1948" t="s">
        <v>13</v>
      </c>
      <c r="C1948" t="s">
        <v>46</v>
      </c>
      <c r="D1948" t="s">
        <v>70</v>
      </c>
      <c r="E1948">
        <v>2026</v>
      </c>
      <c r="F1948" t="s">
        <v>42</v>
      </c>
      <c r="G1948" t="s">
        <v>17</v>
      </c>
      <c r="H1948" t="s">
        <v>18</v>
      </c>
      <c r="I1948" s="8">
        <v>1497256.3851999999</v>
      </c>
      <c r="J1948" s="8">
        <v>735329.64599999995</v>
      </c>
      <c r="K1948" s="8">
        <f>I1948/1000000</f>
        <v>1.4972563851999998</v>
      </c>
      <c r="L1948" s="8">
        <f>J1948/1000000</f>
        <v>0.73532964599999995</v>
      </c>
      <c r="M1948" t="s">
        <v>19</v>
      </c>
    </row>
    <row r="1949" spans="2:13" x14ac:dyDescent="0.25">
      <c r="B1949" t="s">
        <v>13</v>
      </c>
      <c r="C1949" t="s">
        <v>46</v>
      </c>
      <c r="D1949" t="s">
        <v>70</v>
      </c>
      <c r="E1949">
        <v>2027</v>
      </c>
      <c r="F1949" t="s">
        <v>42</v>
      </c>
      <c r="G1949" t="s">
        <v>17</v>
      </c>
      <c r="H1949" t="s">
        <v>18</v>
      </c>
      <c r="I1949" s="8">
        <v>887887.152</v>
      </c>
      <c r="J1949" s="8">
        <v>652850.85191671399</v>
      </c>
      <c r="K1949" s="8">
        <f>I1949/1000000</f>
        <v>0.88788715200000001</v>
      </c>
      <c r="L1949" s="8">
        <f>J1949/1000000</f>
        <v>0.65285085191671399</v>
      </c>
      <c r="M1949" t="s">
        <v>19</v>
      </c>
    </row>
    <row r="1950" spans="2:13" x14ac:dyDescent="0.25">
      <c r="B1950" t="s">
        <v>13</v>
      </c>
      <c r="C1950" t="s">
        <v>46</v>
      </c>
      <c r="D1950" t="s">
        <v>70</v>
      </c>
      <c r="E1950">
        <v>2028</v>
      </c>
      <c r="F1950" t="s">
        <v>42</v>
      </c>
      <c r="G1950" t="s">
        <v>17</v>
      </c>
      <c r="H1950" t="s">
        <v>18</v>
      </c>
      <c r="I1950" s="8">
        <v>949325.06290000002</v>
      </c>
      <c r="J1950" s="8">
        <v>658959.80794747802</v>
      </c>
      <c r="K1950" s="8">
        <f>I1950/1000000</f>
        <v>0.94932506290000007</v>
      </c>
      <c r="L1950" s="8">
        <f>J1950/1000000</f>
        <v>0.65895980794747799</v>
      </c>
      <c r="M1950" t="s">
        <v>19</v>
      </c>
    </row>
    <row r="1951" spans="2:13" x14ac:dyDescent="0.25">
      <c r="B1951" t="s">
        <v>13</v>
      </c>
      <c r="C1951" t="s">
        <v>46</v>
      </c>
      <c r="D1951" t="s">
        <v>72</v>
      </c>
      <c r="E1951">
        <v>2026</v>
      </c>
      <c r="F1951" t="s">
        <v>42</v>
      </c>
      <c r="G1951" t="s">
        <v>17</v>
      </c>
      <c r="H1951" t="s">
        <v>18</v>
      </c>
      <c r="I1951" s="8">
        <v>6149193.9861000003</v>
      </c>
      <c r="J1951" s="8">
        <v>2156600</v>
      </c>
      <c r="K1951" s="8">
        <f>I1951/1000000</f>
        <v>6.1491939861000002</v>
      </c>
      <c r="L1951" s="8">
        <f>J1951/1000000</f>
        <v>2.1566000000000001</v>
      </c>
      <c r="M1951" t="s">
        <v>19</v>
      </c>
    </row>
    <row r="1952" spans="2:13" x14ac:dyDescent="0.25">
      <c r="B1952" t="s">
        <v>13</v>
      </c>
      <c r="C1952" t="s">
        <v>46</v>
      </c>
      <c r="D1952" t="s">
        <v>72</v>
      </c>
      <c r="E1952">
        <v>2027</v>
      </c>
      <c r="F1952" t="s">
        <v>42</v>
      </c>
      <c r="G1952" t="s">
        <v>17</v>
      </c>
      <c r="H1952" t="s">
        <v>18</v>
      </c>
      <c r="I1952" s="8">
        <v>2033733.4036999999</v>
      </c>
      <c r="J1952" s="8">
        <v>829642.09499999997</v>
      </c>
      <c r="K1952" s="8">
        <f>I1952/1000000</f>
        <v>2.0337334036999999</v>
      </c>
      <c r="L1952" s="8">
        <f>J1952/1000000</f>
        <v>0.82964209499999997</v>
      </c>
      <c r="M1952" t="s">
        <v>19</v>
      </c>
    </row>
    <row r="1953" spans="2:13" x14ac:dyDescent="0.25">
      <c r="B1953" t="s">
        <v>13</v>
      </c>
      <c r="C1953" t="s">
        <v>46</v>
      </c>
      <c r="D1953" t="s">
        <v>72</v>
      </c>
      <c r="E1953">
        <v>2028</v>
      </c>
      <c r="F1953" t="s">
        <v>42</v>
      </c>
      <c r="G1953" t="s">
        <v>17</v>
      </c>
      <c r="H1953" t="s">
        <v>18</v>
      </c>
      <c r="I1953" s="8">
        <v>2048694.601</v>
      </c>
      <c r="J1953" s="8">
        <v>840277.87694999995</v>
      </c>
      <c r="K1953" s="8">
        <f>I1953/1000000</f>
        <v>2.0486946010000002</v>
      </c>
      <c r="L1953" s="8">
        <f>J1953/1000000</f>
        <v>0.84027787695</v>
      </c>
      <c r="M1953" t="s">
        <v>19</v>
      </c>
    </row>
    <row r="1954" spans="2:13" x14ac:dyDescent="0.25">
      <c r="B1954" t="s">
        <v>13</v>
      </c>
      <c r="C1954" t="s">
        <v>46</v>
      </c>
      <c r="D1954" t="s">
        <v>73</v>
      </c>
      <c r="E1954">
        <v>2026</v>
      </c>
      <c r="F1954" t="s">
        <v>42</v>
      </c>
      <c r="G1954" t="s">
        <v>17</v>
      </c>
      <c r="H1954" t="s">
        <v>18</v>
      </c>
      <c r="I1954" s="8">
        <v>975878.11789999995</v>
      </c>
      <c r="J1954" s="8">
        <v>1035494.469</v>
      </c>
      <c r="K1954" s="8">
        <f>I1954/1000000</f>
        <v>0.97587811790000001</v>
      </c>
      <c r="L1954" s="8">
        <f>J1954/1000000</f>
        <v>1.0354944690000001</v>
      </c>
      <c r="M1954" t="s">
        <v>19</v>
      </c>
    </row>
    <row r="1955" spans="2:13" x14ac:dyDescent="0.25">
      <c r="B1955" t="s">
        <v>13</v>
      </c>
      <c r="C1955" t="s">
        <v>46</v>
      </c>
      <c r="D1955" t="s">
        <v>73</v>
      </c>
      <c r="E1955">
        <v>2027</v>
      </c>
      <c r="F1955" t="s">
        <v>42</v>
      </c>
      <c r="G1955" t="s">
        <v>17</v>
      </c>
      <c r="H1955" t="s">
        <v>18</v>
      </c>
      <c r="I1955" s="8">
        <v>926651.19510000001</v>
      </c>
      <c r="J1955" s="8">
        <v>987845.34734383796</v>
      </c>
      <c r="K1955" s="8">
        <f>I1955/1000000</f>
        <v>0.92665119510000005</v>
      </c>
      <c r="L1955" s="8">
        <f>J1955/1000000</f>
        <v>0.987845347343838</v>
      </c>
      <c r="M1955" t="s">
        <v>19</v>
      </c>
    </row>
    <row r="1956" spans="2:13" x14ac:dyDescent="0.25">
      <c r="B1956" t="s">
        <v>13</v>
      </c>
      <c r="C1956" t="s">
        <v>46</v>
      </c>
      <c r="D1956" t="s">
        <v>73</v>
      </c>
      <c r="E1956">
        <v>2028</v>
      </c>
      <c r="F1956" t="s">
        <v>42</v>
      </c>
      <c r="G1956" t="s">
        <v>17</v>
      </c>
      <c r="H1956" t="s">
        <v>18</v>
      </c>
      <c r="I1956" s="8">
        <v>993647.89379999996</v>
      </c>
      <c r="J1956" s="8">
        <v>988439.71192121704</v>
      </c>
      <c r="K1956" s="8">
        <f>I1956/1000000</f>
        <v>0.99364789379999996</v>
      </c>
      <c r="L1956" s="8">
        <f>J1956/1000000</f>
        <v>0.98843971192121705</v>
      </c>
      <c r="M1956" t="s">
        <v>19</v>
      </c>
    </row>
    <row r="1957" spans="2:13" x14ac:dyDescent="0.25">
      <c r="B1957" t="s">
        <v>13</v>
      </c>
      <c r="C1957" t="s">
        <v>46</v>
      </c>
      <c r="D1957" t="s">
        <v>74</v>
      </c>
      <c r="E1957">
        <v>2026</v>
      </c>
      <c r="F1957" t="s">
        <v>42</v>
      </c>
      <c r="G1957" t="s">
        <v>17</v>
      </c>
      <c r="H1957" t="s">
        <v>18</v>
      </c>
      <c r="I1957" s="8">
        <v>580800.29879999999</v>
      </c>
      <c r="J1957" s="8">
        <v>291914.50905528601</v>
      </c>
      <c r="K1957" s="8">
        <f>I1957/1000000</f>
        <v>0.58080029879999995</v>
      </c>
      <c r="L1957" s="8">
        <f>J1957/1000000</f>
        <v>0.29191450905528599</v>
      </c>
      <c r="M1957" t="s">
        <v>19</v>
      </c>
    </row>
    <row r="1958" spans="2:13" x14ac:dyDescent="0.25">
      <c r="B1958" t="s">
        <v>13</v>
      </c>
      <c r="C1958" t="s">
        <v>46</v>
      </c>
      <c r="D1958" t="s">
        <v>74</v>
      </c>
      <c r="E1958">
        <v>2027</v>
      </c>
      <c r="F1958" t="s">
        <v>42</v>
      </c>
      <c r="G1958" t="s">
        <v>17</v>
      </c>
      <c r="H1958" t="s">
        <v>18</v>
      </c>
      <c r="I1958" s="8">
        <v>595477.06019999995</v>
      </c>
      <c r="J1958" s="8">
        <v>299291.15745482902</v>
      </c>
      <c r="K1958" s="8">
        <f>I1958/1000000</f>
        <v>0.59547706019999991</v>
      </c>
      <c r="L1958" s="8">
        <f>J1958/1000000</f>
        <v>0.29929115745482904</v>
      </c>
      <c r="M1958" t="s">
        <v>19</v>
      </c>
    </row>
    <row r="1959" spans="2:13" x14ac:dyDescent="0.25">
      <c r="B1959" t="s">
        <v>13</v>
      </c>
      <c r="C1959" t="s">
        <v>46</v>
      </c>
      <c r="D1959" t="s">
        <v>74</v>
      </c>
      <c r="E1959">
        <v>2028</v>
      </c>
      <c r="F1959" t="s">
        <v>42</v>
      </c>
      <c r="G1959" t="s">
        <v>17</v>
      </c>
      <c r="H1959" t="s">
        <v>18</v>
      </c>
      <c r="I1959" s="8">
        <v>439238.12819999998</v>
      </c>
      <c r="J1959" s="8">
        <v>303063.95635743701</v>
      </c>
      <c r="K1959" s="8">
        <f>I1959/1000000</f>
        <v>0.43923812819999997</v>
      </c>
      <c r="L1959" s="8">
        <f>J1959/1000000</f>
        <v>0.30306395635743699</v>
      </c>
      <c r="M1959" t="s">
        <v>19</v>
      </c>
    </row>
    <row r="1960" spans="2:13" x14ac:dyDescent="0.25">
      <c r="B1960" t="s">
        <v>13</v>
      </c>
      <c r="C1960" t="s">
        <v>46</v>
      </c>
      <c r="D1960" t="s">
        <v>74</v>
      </c>
      <c r="E1960">
        <v>2029</v>
      </c>
      <c r="F1960" t="s">
        <v>42</v>
      </c>
      <c r="G1960" t="s">
        <v>17</v>
      </c>
      <c r="H1960" t="s">
        <v>18</v>
      </c>
      <c r="I1960" s="8">
        <v>2011911.365</v>
      </c>
      <c r="J1960" s="8">
        <v>1376652.9384751599</v>
      </c>
      <c r="K1960" s="8">
        <f>I1960/1000000</f>
        <v>2.011911365</v>
      </c>
      <c r="L1960" s="8">
        <f>J1960/1000000</f>
        <v>1.37665293847516</v>
      </c>
      <c r="M1960" t="s">
        <v>19</v>
      </c>
    </row>
    <row r="1961" spans="2:13" x14ac:dyDescent="0.25">
      <c r="B1961" t="s">
        <v>13</v>
      </c>
      <c r="C1961" t="s">
        <v>46</v>
      </c>
      <c r="D1961" t="s">
        <v>74</v>
      </c>
      <c r="E1961">
        <v>2030</v>
      </c>
      <c r="F1961" t="s">
        <v>42</v>
      </c>
      <c r="G1961" t="s">
        <v>17</v>
      </c>
      <c r="H1961" t="s">
        <v>18</v>
      </c>
      <c r="I1961" s="8">
        <v>2136377.8565000002</v>
      </c>
      <c r="J1961" s="8">
        <v>1395637.3887453</v>
      </c>
      <c r="K1961" s="8">
        <f>I1961/1000000</f>
        <v>2.1363778565000002</v>
      </c>
      <c r="L1961" s="8">
        <f>J1961/1000000</f>
        <v>1.3956373887453</v>
      </c>
      <c r="M1961" t="s">
        <v>19</v>
      </c>
    </row>
    <row r="1962" spans="2:13" x14ac:dyDescent="0.25">
      <c r="B1962" t="s">
        <v>13</v>
      </c>
      <c r="C1962" t="s">
        <v>46</v>
      </c>
      <c r="D1962" t="s">
        <v>74</v>
      </c>
      <c r="E1962">
        <v>2026</v>
      </c>
      <c r="F1962" t="s">
        <v>42</v>
      </c>
      <c r="G1962" t="s">
        <v>17</v>
      </c>
      <c r="H1962" t="s">
        <v>18</v>
      </c>
      <c r="I1962" s="8">
        <v>2805956.1143</v>
      </c>
      <c r="J1962" s="8">
        <v>1404403.6611698801</v>
      </c>
      <c r="K1962" s="8">
        <f>I1962/1000000</f>
        <v>2.8059561142999998</v>
      </c>
      <c r="L1962" s="8">
        <f>J1962/1000000</f>
        <v>1.40440366116988</v>
      </c>
      <c r="M1962" t="s">
        <v>19</v>
      </c>
    </row>
    <row r="1963" spans="2:13" x14ac:dyDescent="0.25">
      <c r="B1963" t="s">
        <v>13</v>
      </c>
      <c r="C1963" t="s">
        <v>46</v>
      </c>
      <c r="D1963" t="s">
        <v>74</v>
      </c>
      <c r="E1963">
        <v>2027</v>
      </c>
      <c r="F1963" t="s">
        <v>42</v>
      </c>
      <c r="G1963" t="s">
        <v>17</v>
      </c>
      <c r="H1963" t="s">
        <v>18</v>
      </c>
      <c r="I1963" s="8">
        <v>2872893.7903999998</v>
      </c>
      <c r="J1963" s="8">
        <v>1437906.50778504</v>
      </c>
      <c r="K1963" s="8">
        <f>I1963/1000000</f>
        <v>2.8728937904</v>
      </c>
      <c r="L1963" s="8">
        <f>J1963/1000000</f>
        <v>1.4379065077850399</v>
      </c>
      <c r="M1963" t="s">
        <v>19</v>
      </c>
    </row>
    <row r="1964" spans="2:13" x14ac:dyDescent="0.25">
      <c r="B1964" t="s">
        <v>13</v>
      </c>
      <c r="C1964" t="s">
        <v>46</v>
      </c>
      <c r="D1964" t="s">
        <v>74</v>
      </c>
      <c r="E1964">
        <v>2028</v>
      </c>
      <c r="F1964" t="s">
        <v>42</v>
      </c>
      <c r="G1964" t="s">
        <v>17</v>
      </c>
      <c r="H1964" t="s">
        <v>18</v>
      </c>
      <c r="I1964" s="8">
        <v>1996013.6459999999</v>
      </c>
      <c r="J1964" s="8">
        <v>1365774.90377658</v>
      </c>
      <c r="K1964" s="8">
        <f>I1964/1000000</f>
        <v>1.996013646</v>
      </c>
      <c r="L1964" s="8">
        <f>J1964/1000000</f>
        <v>1.3657749037765801</v>
      </c>
      <c r="M1964" t="s">
        <v>19</v>
      </c>
    </row>
    <row r="1965" spans="2:13" x14ac:dyDescent="0.25">
      <c r="B1965" t="s">
        <v>13</v>
      </c>
      <c r="C1965" t="s">
        <v>46</v>
      </c>
      <c r="D1965" t="s">
        <v>73</v>
      </c>
      <c r="E1965">
        <v>2029</v>
      </c>
      <c r="F1965" t="s">
        <v>42</v>
      </c>
      <c r="G1965" t="s">
        <v>17</v>
      </c>
      <c r="H1965" t="s">
        <v>18</v>
      </c>
      <c r="I1965" s="8">
        <v>4723912.6553999996</v>
      </c>
      <c r="J1965" s="8">
        <v>3364085.5398086002</v>
      </c>
      <c r="K1965" s="8">
        <f>I1965/1000000</f>
        <v>4.7239126553999995</v>
      </c>
      <c r="L1965" s="8">
        <f>J1965/1000000</f>
        <v>3.3640855398086003</v>
      </c>
      <c r="M1965" t="s">
        <v>19</v>
      </c>
    </row>
    <row r="1966" spans="2:13" x14ac:dyDescent="0.25">
      <c r="B1966" t="s">
        <v>13</v>
      </c>
      <c r="C1966" t="s">
        <v>46</v>
      </c>
      <c r="D1966" t="s">
        <v>73</v>
      </c>
      <c r="E1966">
        <v>2030</v>
      </c>
      <c r="F1966" t="s">
        <v>42</v>
      </c>
      <c r="G1966" t="s">
        <v>17</v>
      </c>
      <c r="H1966" t="s">
        <v>18</v>
      </c>
      <c r="I1966" s="8">
        <v>4779359.0132999998</v>
      </c>
      <c r="J1966" s="8">
        <v>3403571.3348755999</v>
      </c>
      <c r="K1966" s="8">
        <f>I1966/1000000</f>
        <v>4.7793590132999997</v>
      </c>
      <c r="L1966" s="8">
        <f>J1966/1000000</f>
        <v>3.4035713348756</v>
      </c>
      <c r="M1966" t="s">
        <v>19</v>
      </c>
    </row>
    <row r="1967" spans="2:13" x14ac:dyDescent="0.25">
      <c r="B1967" t="s">
        <v>13</v>
      </c>
      <c r="C1967" t="s">
        <v>46</v>
      </c>
      <c r="D1967" t="s">
        <v>73</v>
      </c>
      <c r="E1967">
        <v>2026</v>
      </c>
      <c r="F1967" t="s">
        <v>42</v>
      </c>
      <c r="G1967" t="s">
        <v>17</v>
      </c>
      <c r="H1967" t="s">
        <v>18</v>
      </c>
      <c r="I1967" s="8">
        <v>6220474.2537000002</v>
      </c>
      <c r="J1967" s="8">
        <v>3906273.4136242201</v>
      </c>
      <c r="K1967" s="8">
        <f>I1967/1000000</f>
        <v>6.2204742537</v>
      </c>
      <c r="L1967" s="8">
        <f>J1967/1000000</f>
        <v>3.9062734136242199</v>
      </c>
      <c r="M1967" t="s">
        <v>19</v>
      </c>
    </row>
    <row r="1968" spans="2:13" x14ac:dyDescent="0.25">
      <c r="B1968" t="s">
        <v>13</v>
      </c>
      <c r="C1968" t="s">
        <v>46</v>
      </c>
      <c r="D1968" t="s">
        <v>73</v>
      </c>
      <c r="E1968">
        <v>2027</v>
      </c>
      <c r="F1968" t="s">
        <v>42</v>
      </c>
      <c r="G1968" t="s">
        <v>17</v>
      </c>
      <c r="H1968" t="s">
        <v>18</v>
      </c>
      <c r="I1968" s="8">
        <v>5546186.5776000004</v>
      </c>
      <c r="J1968" s="8">
        <v>3946707.6378682898</v>
      </c>
      <c r="K1968" s="8">
        <f>I1968/1000000</f>
        <v>5.5461865776000003</v>
      </c>
      <c r="L1968" s="8">
        <f>J1968/1000000</f>
        <v>3.9467076378682897</v>
      </c>
      <c r="M1968" t="s">
        <v>19</v>
      </c>
    </row>
    <row r="1969" spans="2:13" x14ac:dyDescent="0.25">
      <c r="B1969" t="s">
        <v>13</v>
      </c>
      <c r="C1969" t="s">
        <v>46</v>
      </c>
      <c r="D1969" t="s">
        <v>73</v>
      </c>
      <c r="E1969">
        <v>2028</v>
      </c>
      <c r="F1969" t="s">
        <v>42</v>
      </c>
      <c r="G1969" t="s">
        <v>17</v>
      </c>
      <c r="H1969" t="s">
        <v>18</v>
      </c>
      <c r="I1969" s="8">
        <v>5620476.5843000002</v>
      </c>
      <c r="J1969" s="8">
        <v>4002563.8976755999</v>
      </c>
      <c r="K1969" s="8">
        <f>I1969/1000000</f>
        <v>5.6204765843000004</v>
      </c>
      <c r="L1969" s="8">
        <f>J1969/1000000</f>
        <v>4.0025638976755999</v>
      </c>
      <c r="M1969" t="s">
        <v>19</v>
      </c>
    </row>
    <row r="1970" spans="2:13" x14ac:dyDescent="0.25">
      <c r="B1970" t="s">
        <v>13</v>
      </c>
      <c r="C1970" t="s">
        <v>46</v>
      </c>
      <c r="D1970" t="s">
        <v>70</v>
      </c>
      <c r="E1970">
        <v>2026</v>
      </c>
      <c r="F1970" t="s">
        <v>42</v>
      </c>
      <c r="G1970" t="s">
        <v>17</v>
      </c>
      <c r="H1970" t="s">
        <v>18</v>
      </c>
      <c r="I1970" s="8">
        <v>5671124.8975</v>
      </c>
      <c r="J1970" s="8">
        <v>3285897.03</v>
      </c>
      <c r="K1970" s="8">
        <f>I1970/1000000</f>
        <v>5.6711248975000004</v>
      </c>
      <c r="L1970" s="8">
        <f>J1970/1000000</f>
        <v>3.2858970299999997</v>
      </c>
      <c r="M1970" t="s">
        <v>19</v>
      </c>
    </row>
    <row r="1971" spans="2:13" x14ac:dyDescent="0.25">
      <c r="B1971" t="s">
        <v>13</v>
      </c>
      <c r="C1971" t="s">
        <v>46</v>
      </c>
      <c r="D1971" t="s">
        <v>70</v>
      </c>
      <c r="E1971">
        <v>2027</v>
      </c>
      <c r="F1971" t="s">
        <v>42</v>
      </c>
      <c r="G1971" t="s">
        <v>17</v>
      </c>
      <c r="H1971" t="s">
        <v>18</v>
      </c>
      <c r="I1971" s="8">
        <v>4648084.2441999996</v>
      </c>
      <c r="J1971" s="8">
        <v>3327296.3136</v>
      </c>
      <c r="K1971" s="8">
        <f>I1971/1000000</f>
        <v>4.6480842441999997</v>
      </c>
      <c r="L1971" s="8">
        <f>J1971/1000000</f>
        <v>3.3272963135999998</v>
      </c>
      <c r="M1971" t="s">
        <v>19</v>
      </c>
    </row>
    <row r="1972" spans="2:13" x14ac:dyDescent="0.25">
      <c r="B1972" t="s">
        <v>13</v>
      </c>
      <c r="C1972" t="s">
        <v>46</v>
      </c>
      <c r="D1972" t="s">
        <v>70</v>
      </c>
      <c r="E1972">
        <v>2028</v>
      </c>
      <c r="F1972" t="s">
        <v>42</v>
      </c>
      <c r="G1972" t="s">
        <v>17</v>
      </c>
      <c r="H1972" t="s">
        <v>18</v>
      </c>
      <c r="I1972" s="8">
        <v>4745149.2012999998</v>
      </c>
      <c r="J1972" s="8">
        <v>3358754.6076000002</v>
      </c>
      <c r="K1972" s="8">
        <f>I1972/1000000</f>
        <v>4.7451492012999994</v>
      </c>
      <c r="L1972" s="8">
        <f>J1972/1000000</f>
        <v>3.3587546076000003</v>
      </c>
      <c r="M1972" t="s">
        <v>19</v>
      </c>
    </row>
    <row r="1973" spans="2:13" x14ac:dyDescent="0.25">
      <c r="B1973" t="s">
        <v>13</v>
      </c>
      <c r="C1973" t="s">
        <v>46</v>
      </c>
      <c r="D1973" t="s">
        <v>70</v>
      </c>
      <c r="E1973">
        <v>2029</v>
      </c>
      <c r="F1973" t="s">
        <v>42</v>
      </c>
      <c r="G1973" t="s">
        <v>17</v>
      </c>
      <c r="H1973" t="s">
        <v>18</v>
      </c>
      <c r="I1973" s="8">
        <v>5474371.9133000001</v>
      </c>
      <c r="J1973" s="8">
        <v>3442813.8350125598</v>
      </c>
      <c r="K1973" s="8">
        <f>I1973/1000000</f>
        <v>5.4743719132999997</v>
      </c>
      <c r="L1973" s="8">
        <f>J1973/1000000</f>
        <v>3.4428138350125597</v>
      </c>
      <c r="M1973" t="s">
        <v>19</v>
      </c>
    </row>
    <row r="1974" spans="2:13" x14ac:dyDescent="0.25">
      <c r="B1974" t="s">
        <v>13</v>
      </c>
      <c r="C1974" t="s">
        <v>46</v>
      </c>
      <c r="D1974" t="s">
        <v>70</v>
      </c>
      <c r="E1974">
        <v>2030</v>
      </c>
      <c r="F1974" t="s">
        <v>42</v>
      </c>
      <c r="G1974" t="s">
        <v>17</v>
      </c>
      <c r="H1974" t="s">
        <v>18</v>
      </c>
      <c r="I1974" s="8">
        <v>5517018.9446999999</v>
      </c>
      <c r="J1974" s="8">
        <v>3466579.01529975</v>
      </c>
      <c r="K1974" s="8">
        <f>I1974/1000000</f>
        <v>5.5170189447000002</v>
      </c>
      <c r="L1974" s="8">
        <f>J1974/1000000</f>
        <v>3.4665790152997502</v>
      </c>
      <c r="M1974" t="s">
        <v>19</v>
      </c>
    </row>
    <row r="1975" spans="2:13" x14ac:dyDescent="0.25">
      <c r="B1975" t="s">
        <v>13</v>
      </c>
      <c r="C1975" t="s">
        <v>46</v>
      </c>
      <c r="D1975" t="s">
        <v>38</v>
      </c>
      <c r="E1975">
        <v>2026</v>
      </c>
      <c r="F1975" t="s">
        <v>42</v>
      </c>
      <c r="G1975" t="s">
        <v>17</v>
      </c>
      <c r="H1975" t="s">
        <v>18</v>
      </c>
      <c r="I1975" s="8">
        <v>314298.82610000001</v>
      </c>
      <c r="J1975" s="8">
        <v>375000</v>
      </c>
      <c r="K1975" s="8">
        <f>I1975/1000000</f>
        <v>0.31429882609999998</v>
      </c>
      <c r="L1975" s="8">
        <f>J1975/1000000</f>
        <v>0.375</v>
      </c>
      <c r="M1975" t="s">
        <v>39</v>
      </c>
    </row>
    <row r="1976" spans="2:13" x14ac:dyDescent="0.25">
      <c r="B1976" t="s">
        <v>13</v>
      </c>
      <c r="C1976" t="s">
        <v>46</v>
      </c>
      <c r="D1976" t="s">
        <v>38</v>
      </c>
      <c r="E1976">
        <v>2027</v>
      </c>
      <c r="F1976" t="s">
        <v>42</v>
      </c>
      <c r="G1976" t="s">
        <v>17</v>
      </c>
      <c r="H1976" t="s">
        <v>18</v>
      </c>
      <c r="I1976" s="8">
        <v>328548.82610000001</v>
      </c>
      <c r="J1976" s="8">
        <v>375000</v>
      </c>
      <c r="K1976" s="8">
        <f>I1976/1000000</f>
        <v>0.32854882610000002</v>
      </c>
      <c r="L1976" s="8">
        <f>J1976/1000000</f>
        <v>0.375</v>
      </c>
      <c r="M1976" t="s">
        <v>39</v>
      </c>
    </row>
    <row r="1977" spans="2:13" x14ac:dyDescent="0.25">
      <c r="B1977" t="s">
        <v>13</v>
      </c>
      <c r="C1977" t="s">
        <v>46</v>
      </c>
      <c r="D1977" t="s">
        <v>100</v>
      </c>
      <c r="E1977">
        <v>2026</v>
      </c>
      <c r="F1977" t="s">
        <v>42</v>
      </c>
      <c r="G1977" t="s">
        <v>17</v>
      </c>
      <c r="H1977" t="s">
        <v>18</v>
      </c>
      <c r="I1977" s="8">
        <v>754992</v>
      </c>
      <c r="J1977" s="8">
        <v>749000</v>
      </c>
      <c r="K1977" s="8">
        <f>I1977/1000000</f>
        <v>0.754992</v>
      </c>
      <c r="L1977" s="8">
        <f>J1977/1000000</f>
        <v>0.749</v>
      </c>
      <c r="M1977" t="s">
        <v>19</v>
      </c>
    </row>
    <row r="1978" spans="2:13" x14ac:dyDescent="0.25">
      <c r="B1978" t="s">
        <v>13</v>
      </c>
      <c r="C1978" t="s">
        <v>46</v>
      </c>
      <c r="D1978" t="s">
        <v>100</v>
      </c>
      <c r="E1978">
        <v>2027</v>
      </c>
      <c r="F1978" t="s">
        <v>42</v>
      </c>
      <c r="G1978" t="s">
        <v>17</v>
      </c>
      <c r="H1978" t="s">
        <v>18</v>
      </c>
      <c r="I1978" s="8">
        <v>992703.6</v>
      </c>
      <c r="J1978" s="8">
        <v>984825</v>
      </c>
      <c r="K1978" s="8">
        <f>I1978/1000000</f>
        <v>0.99270360000000002</v>
      </c>
      <c r="L1978" s="8">
        <f>J1978/1000000</f>
        <v>0.98482499999999995</v>
      </c>
      <c r="M1978" t="s">
        <v>19</v>
      </c>
    </row>
    <row r="1979" spans="2:13" x14ac:dyDescent="0.25">
      <c r="B1979" t="s">
        <v>13</v>
      </c>
      <c r="C1979" t="s">
        <v>46</v>
      </c>
      <c r="D1979" t="s">
        <v>100</v>
      </c>
      <c r="E1979">
        <v>2028</v>
      </c>
      <c r="F1979" t="s">
        <v>42</v>
      </c>
      <c r="G1979" t="s">
        <v>17</v>
      </c>
      <c r="H1979" t="s">
        <v>18</v>
      </c>
      <c r="I1979" s="8">
        <v>943646.76</v>
      </c>
      <c r="J1979" s="8">
        <v>982965.375</v>
      </c>
      <c r="K1979" s="8">
        <f>I1979/1000000</f>
        <v>0.94364676000000003</v>
      </c>
      <c r="L1979" s="8">
        <f>J1979/1000000</f>
        <v>0.98296537500000003</v>
      </c>
      <c r="M1979" t="s">
        <v>19</v>
      </c>
    </row>
    <row r="1980" spans="2:13" x14ac:dyDescent="0.25">
      <c r="B1980" t="s">
        <v>13</v>
      </c>
      <c r="C1980" t="s">
        <v>46</v>
      </c>
      <c r="D1980" t="s">
        <v>40</v>
      </c>
      <c r="E1980">
        <v>2029</v>
      </c>
      <c r="F1980" t="s">
        <v>42</v>
      </c>
      <c r="G1980" t="s">
        <v>17</v>
      </c>
      <c r="H1980" t="s">
        <v>18</v>
      </c>
      <c r="I1980" s="8">
        <v>5129162.5999999996</v>
      </c>
      <c r="J1980" s="8">
        <v>1446308.0452121201</v>
      </c>
      <c r="K1980" s="8">
        <f>I1980/1000000</f>
        <v>5.1291625999999999</v>
      </c>
      <c r="L1980" s="8">
        <f>J1980/1000000</f>
        <v>1.44630804521212</v>
      </c>
      <c r="M1980" t="s">
        <v>39</v>
      </c>
    </row>
    <row r="1981" spans="2:13" x14ac:dyDescent="0.25">
      <c r="B1981" t="s">
        <v>13</v>
      </c>
      <c r="C1981" t="s">
        <v>46</v>
      </c>
      <c r="D1981" t="s">
        <v>40</v>
      </c>
      <c r="E1981">
        <v>2030</v>
      </c>
      <c r="F1981" t="s">
        <v>42</v>
      </c>
      <c r="G1981" t="s">
        <v>17</v>
      </c>
      <c r="H1981" t="s">
        <v>18</v>
      </c>
      <c r="I1981" s="8">
        <v>5147317.6195</v>
      </c>
      <c r="J1981" s="8">
        <v>1451427.3507812</v>
      </c>
      <c r="K1981" s="8">
        <f>I1981/1000000</f>
        <v>5.1473176194999999</v>
      </c>
      <c r="L1981" s="8">
        <f>J1981/1000000</f>
        <v>1.4514273507811999</v>
      </c>
      <c r="M1981" t="s">
        <v>39</v>
      </c>
    </row>
    <row r="1982" spans="2:13" x14ac:dyDescent="0.25">
      <c r="B1982" t="s">
        <v>13</v>
      </c>
      <c r="C1982" t="s">
        <v>46</v>
      </c>
      <c r="D1982" t="s">
        <v>38</v>
      </c>
      <c r="E1982">
        <v>2026</v>
      </c>
      <c r="F1982" t="s">
        <v>42</v>
      </c>
      <c r="G1982" t="s">
        <v>17</v>
      </c>
      <c r="H1982" t="s">
        <v>18</v>
      </c>
      <c r="I1982" s="8">
        <v>721347.79859999998</v>
      </c>
      <c r="J1982" s="8">
        <v>850970.23364916805</v>
      </c>
      <c r="K1982" s="8">
        <f>I1982/1000000</f>
        <v>0.72134779859999998</v>
      </c>
      <c r="L1982" s="8">
        <f>J1982/1000000</f>
        <v>0.85097023364916802</v>
      </c>
      <c r="M1982" t="s">
        <v>39</v>
      </c>
    </row>
    <row r="1983" spans="2:13" x14ac:dyDescent="0.25">
      <c r="B1983" t="s">
        <v>13</v>
      </c>
      <c r="C1983" t="s">
        <v>46</v>
      </c>
      <c r="D1983" t="s">
        <v>38</v>
      </c>
      <c r="E1983">
        <v>2027</v>
      </c>
      <c r="F1983" t="s">
        <v>42</v>
      </c>
      <c r="G1983" t="s">
        <v>17</v>
      </c>
      <c r="H1983" t="s">
        <v>18</v>
      </c>
      <c r="I1983" s="8">
        <v>760356.33990000002</v>
      </c>
      <c r="J1983" s="8">
        <v>859015.39350427303</v>
      </c>
      <c r="K1983" s="8">
        <f>I1983/1000000</f>
        <v>0.76035633990000007</v>
      </c>
      <c r="L1983" s="8">
        <f>J1983/1000000</f>
        <v>0.85901539350427303</v>
      </c>
      <c r="M1983" t="s">
        <v>39</v>
      </c>
    </row>
    <row r="1984" spans="2:13" x14ac:dyDescent="0.25">
      <c r="B1984" t="s">
        <v>13</v>
      </c>
      <c r="C1984" t="s">
        <v>46</v>
      </c>
      <c r="D1984" t="s">
        <v>100</v>
      </c>
      <c r="E1984">
        <v>2029</v>
      </c>
      <c r="F1984" t="s">
        <v>42</v>
      </c>
      <c r="G1984" t="s">
        <v>17</v>
      </c>
      <c r="H1984" t="s">
        <v>18</v>
      </c>
      <c r="I1984" s="8">
        <v>5276122.9505000003</v>
      </c>
      <c r="J1984" s="8">
        <v>4548381.8538821796</v>
      </c>
      <c r="K1984" s="8">
        <f>I1984/1000000</f>
        <v>5.2761229505000005</v>
      </c>
      <c r="L1984" s="8">
        <f>J1984/1000000</f>
        <v>4.5483818538821792</v>
      </c>
      <c r="M1984" t="s">
        <v>19</v>
      </c>
    </row>
    <row r="1985" spans="2:13" x14ac:dyDescent="0.25">
      <c r="B1985" t="s">
        <v>13</v>
      </c>
      <c r="C1985" t="s">
        <v>46</v>
      </c>
      <c r="D1985" t="s">
        <v>100</v>
      </c>
      <c r="E1985">
        <v>2030</v>
      </c>
      <c r="F1985" t="s">
        <v>42</v>
      </c>
      <c r="G1985" t="s">
        <v>17</v>
      </c>
      <c r="H1985" t="s">
        <v>18</v>
      </c>
      <c r="I1985" s="8">
        <v>5294798.1460999995</v>
      </c>
      <c r="J1985" s="8">
        <v>4564481.1604109397</v>
      </c>
      <c r="K1985" s="8">
        <f>I1985/1000000</f>
        <v>5.2947981460999998</v>
      </c>
      <c r="L1985" s="8">
        <f>J1985/1000000</f>
        <v>4.5644811604109394</v>
      </c>
      <c r="M1985" t="s">
        <v>19</v>
      </c>
    </row>
    <row r="1986" spans="2:13" x14ac:dyDescent="0.25">
      <c r="B1986" t="s">
        <v>13</v>
      </c>
      <c r="C1986" t="s">
        <v>46</v>
      </c>
      <c r="D1986" t="s">
        <v>100</v>
      </c>
      <c r="E1986">
        <v>2026</v>
      </c>
      <c r="F1986" t="s">
        <v>42</v>
      </c>
      <c r="G1986" t="s">
        <v>17</v>
      </c>
      <c r="H1986" t="s">
        <v>18</v>
      </c>
      <c r="I1986" s="8">
        <v>4284352.7346999999</v>
      </c>
      <c r="J1986" s="8">
        <v>4250349.9351899996</v>
      </c>
      <c r="K1986" s="8">
        <f>I1986/1000000</f>
        <v>4.2843527346999997</v>
      </c>
      <c r="L1986" s="8">
        <f>J1986/1000000</f>
        <v>4.25034993519</v>
      </c>
      <c r="M1986" t="s">
        <v>19</v>
      </c>
    </row>
    <row r="1987" spans="2:13" x14ac:dyDescent="0.25">
      <c r="B1987" t="s">
        <v>13</v>
      </c>
      <c r="C1987" t="s">
        <v>46</v>
      </c>
      <c r="D1987" t="s">
        <v>100</v>
      </c>
      <c r="E1987">
        <v>2027</v>
      </c>
      <c r="F1987" t="s">
        <v>42</v>
      </c>
      <c r="G1987" t="s">
        <v>17</v>
      </c>
      <c r="H1987" t="s">
        <v>18</v>
      </c>
      <c r="I1987" s="8">
        <v>4336834.8530999999</v>
      </c>
      <c r="J1987" s="8">
        <v>4302415.5288389996</v>
      </c>
      <c r="K1987" s="8">
        <f>I1987/1000000</f>
        <v>4.3368348531000001</v>
      </c>
      <c r="L1987" s="8">
        <f>J1987/1000000</f>
        <v>4.3024155288389991</v>
      </c>
      <c r="M1987" t="s">
        <v>19</v>
      </c>
    </row>
    <row r="1988" spans="2:13" x14ac:dyDescent="0.25">
      <c r="B1988" t="s">
        <v>13</v>
      </c>
      <c r="C1988" t="s">
        <v>46</v>
      </c>
      <c r="D1988" t="s">
        <v>100</v>
      </c>
      <c r="E1988">
        <v>2028</v>
      </c>
      <c r="F1988" t="s">
        <v>42</v>
      </c>
      <c r="G1988" t="s">
        <v>17</v>
      </c>
      <c r="H1988" t="s">
        <v>18</v>
      </c>
      <c r="I1988" s="8">
        <v>4186375.7340000002</v>
      </c>
      <c r="J1988" s="8">
        <v>4360808.0562676899</v>
      </c>
      <c r="K1988" s="8">
        <f>I1988/1000000</f>
        <v>4.1863757340000003</v>
      </c>
      <c r="L1988" s="8">
        <f>J1988/1000000</f>
        <v>4.3608080562676896</v>
      </c>
      <c r="M1988" t="s">
        <v>19</v>
      </c>
    </row>
    <row r="1989" spans="2:13" x14ac:dyDescent="0.25">
      <c r="B1989" t="s">
        <v>13</v>
      </c>
      <c r="C1989" t="s">
        <v>46</v>
      </c>
      <c r="D1989" t="s">
        <v>72</v>
      </c>
      <c r="E1989">
        <v>2026</v>
      </c>
      <c r="F1989" t="s">
        <v>42</v>
      </c>
      <c r="G1989" t="s">
        <v>17</v>
      </c>
      <c r="H1989" t="s">
        <v>18</v>
      </c>
      <c r="I1989" s="8">
        <v>13975789.186799999</v>
      </c>
      <c r="J1989" s="8">
        <v>4895224.047216</v>
      </c>
      <c r="K1989" s="8">
        <f>I1989/1000000</f>
        <v>13.9757891868</v>
      </c>
      <c r="L1989" s="8">
        <f>J1989/1000000</f>
        <v>4.8952240472159998</v>
      </c>
      <c r="M1989" t="s">
        <v>19</v>
      </c>
    </row>
    <row r="1990" spans="2:13" x14ac:dyDescent="0.25">
      <c r="B1990" t="s">
        <v>13</v>
      </c>
      <c r="C1990" t="s">
        <v>46</v>
      </c>
      <c r="D1990" t="s">
        <v>72</v>
      </c>
      <c r="E1990">
        <v>2029</v>
      </c>
      <c r="F1990" t="s">
        <v>42</v>
      </c>
      <c r="G1990" t="s">
        <v>17</v>
      </c>
      <c r="H1990" t="s">
        <v>18</v>
      </c>
      <c r="I1990" s="8">
        <v>7861190.6484000003</v>
      </c>
      <c r="J1990" s="8">
        <v>3758166.9930859301</v>
      </c>
      <c r="K1990" s="8">
        <f>I1990/1000000</f>
        <v>7.8611906484</v>
      </c>
      <c r="L1990" s="8">
        <f>J1990/1000000</f>
        <v>3.7581669930859301</v>
      </c>
      <c r="M1990" t="s">
        <v>19</v>
      </c>
    </row>
    <row r="1991" spans="2:13" x14ac:dyDescent="0.25">
      <c r="B1991" t="s">
        <v>13</v>
      </c>
      <c r="C1991" t="s">
        <v>46</v>
      </c>
      <c r="D1991" t="s">
        <v>72</v>
      </c>
      <c r="E1991">
        <v>2030</v>
      </c>
      <c r="F1991" t="s">
        <v>42</v>
      </c>
      <c r="G1991" t="s">
        <v>17</v>
      </c>
      <c r="H1991" t="s">
        <v>18</v>
      </c>
      <c r="I1991" s="8">
        <v>7956591.7171</v>
      </c>
      <c r="J1991" s="8">
        <v>3803774.98857449</v>
      </c>
      <c r="K1991" s="8">
        <f>I1991/1000000</f>
        <v>7.9565917171000002</v>
      </c>
      <c r="L1991" s="8">
        <f>J1991/1000000</f>
        <v>3.80377498857449</v>
      </c>
      <c r="M1991" t="s">
        <v>19</v>
      </c>
    </row>
    <row r="1992" spans="2:13" x14ac:dyDescent="0.25">
      <c r="B1992" t="s">
        <v>13</v>
      </c>
      <c r="C1992" t="s">
        <v>46</v>
      </c>
      <c r="D1992" t="s">
        <v>72</v>
      </c>
      <c r="E1992">
        <v>2027</v>
      </c>
      <c r="F1992" t="s">
        <v>42</v>
      </c>
      <c r="G1992" t="s">
        <v>17</v>
      </c>
      <c r="H1992" t="s">
        <v>18</v>
      </c>
      <c r="I1992" s="8">
        <v>11437250.909700001</v>
      </c>
      <c r="J1992" s="8">
        <v>4658787.2637695996</v>
      </c>
      <c r="K1992" s="8">
        <f>I1992/1000000</f>
        <v>11.437250909700001</v>
      </c>
      <c r="L1992" s="8">
        <f>J1992/1000000</f>
        <v>4.6587872637695993</v>
      </c>
      <c r="M1992" t="s">
        <v>19</v>
      </c>
    </row>
    <row r="1993" spans="2:13" x14ac:dyDescent="0.25">
      <c r="B1993" t="s">
        <v>13</v>
      </c>
      <c r="C1993" t="s">
        <v>46</v>
      </c>
      <c r="D1993" t="s">
        <v>72</v>
      </c>
      <c r="E1993">
        <v>2028</v>
      </c>
      <c r="F1993" t="s">
        <v>42</v>
      </c>
      <c r="G1993" t="s">
        <v>17</v>
      </c>
      <c r="H1993" t="s">
        <v>18</v>
      </c>
      <c r="I1993" s="8">
        <v>11448567.244200001</v>
      </c>
      <c r="J1993" s="8">
        <v>4688650.0671785995</v>
      </c>
      <c r="K1993" s="8">
        <f>I1993/1000000</f>
        <v>11.448567244200001</v>
      </c>
      <c r="L1993" s="8">
        <f>J1993/1000000</f>
        <v>4.6886500671785996</v>
      </c>
      <c r="M1993" t="s">
        <v>19</v>
      </c>
    </row>
    <row r="1994" spans="2:13" x14ac:dyDescent="0.25">
      <c r="B1994" t="s">
        <v>13</v>
      </c>
      <c r="C1994" t="s">
        <v>46</v>
      </c>
      <c r="D1994" t="s">
        <v>76</v>
      </c>
      <c r="E1994">
        <v>2027</v>
      </c>
      <c r="F1994" t="s">
        <v>42</v>
      </c>
      <c r="G1994" t="s">
        <v>17</v>
      </c>
      <c r="H1994" t="s">
        <v>18</v>
      </c>
      <c r="I1994" s="8">
        <v>10895310.467</v>
      </c>
      <c r="J1994" s="8">
        <v>3365635.5944995098</v>
      </c>
      <c r="K1994" s="8">
        <f>I1994/1000000</f>
        <v>10.895310467</v>
      </c>
      <c r="L1994" s="8">
        <f>J1994/1000000</f>
        <v>3.3656355944995098</v>
      </c>
      <c r="M1994" t="s">
        <v>39</v>
      </c>
    </row>
    <row r="1995" spans="2:13" x14ac:dyDescent="0.25">
      <c r="B1995" t="s">
        <v>13</v>
      </c>
      <c r="C1995" t="s">
        <v>46</v>
      </c>
      <c r="D1995" t="s">
        <v>76</v>
      </c>
      <c r="E1995">
        <v>2028</v>
      </c>
      <c r="F1995" t="s">
        <v>42</v>
      </c>
      <c r="G1995" t="s">
        <v>17</v>
      </c>
      <c r="H1995" t="s">
        <v>18</v>
      </c>
      <c r="I1995" s="8">
        <v>10903364.385</v>
      </c>
      <c r="J1995" s="8">
        <v>3415442.6537863598</v>
      </c>
      <c r="K1995" s="8">
        <f>I1995/1000000</f>
        <v>10.903364385</v>
      </c>
      <c r="L1995" s="8">
        <f>J1995/1000000</f>
        <v>3.4154426537863598</v>
      </c>
      <c r="M1995" t="s">
        <v>39</v>
      </c>
    </row>
    <row r="1996" spans="2:13" x14ac:dyDescent="0.25">
      <c r="B1996" t="s">
        <v>13</v>
      </c>
      <c r="C1996" t="s">
        <v>46</v>
      </c>
      <c r="D1996" t="s">
        <v>76</v>
      </c>
      <c r="E1996">
        <v>2029</v>
      </c>
      <c r="F1996" t="s">
        <v>42</v>
      </c>
      <c r="G1996" t="s">
        <v>17</v>
      </c>
      <c r="H1996" t="s">
        <v>18</v>
      </c>
      <c r="I1996" s="8">
        <v>11091524.577099999</v>
      </c>
      <c r="J1996" s="8">
        <v>3474383.20858665</v>
      </c>
      <c r="K1996" s="8">
        <f>I1996/1000000</f>
        <v>11.0915245771</v>
      </c>
      <c r="L1996" s="8">
        <f>J1996/1000000</f>
        <v>3.4743832085866502</v>
      </c>
      <c r="M1996" t="s">
        <v>39</v>
      </c>
    </row>
    <row r="1997" spans="2:13" x14ac:dyDescent="0.25">
      <c r="B1997" t="s">
        <v>13</v>
      </c>
      <c r="C1997" t="s">
        <v>46</v>
      </c>
      <c r="D1997" t="s">
        <v>76</v>
      </c>
      <c r="E1997">
        <v>2030</v>
      </c>
      <c r="F1997" t="s">
        <v>42</v>
      </c>
      <c r="G1997" t="s">
        <v>17</v>
      </c>
      <c r="H1997" t="s">
        <v>18</v>
      </c>
      <c r="I1997" s="8">
        <v>11336537.1086</v>
      </c>
      <c r="J1997" s="8">
        <v>3551132.5697089001</v>
      </c>
      <c r="K1997" s="8">
        <f>I1997/1000000</f>
        <v>11.3365371086</v>
      </c>
      <c r="L1997" s="8">
        <f>J1997/1000000</f>
        <v>3.5511325697089</v>
      </c>
      <c r="M1997" t="s">
        <v>39</v>
      </c>
    </row>
    <row r="1998" spans="2:13" x14ac:dyDescent="0.25">
      <c r="B1998" t="s">
        <v>13</v>
      </c>
      <c r="C1998" t="s">
        <v>46</v>
      </c>
      <c r="D1998" t="s">
        <v>76</v>
      </c>
      <c r="E1998">
        <v>2026</v>
      </c>
      <c r="F1998" t="s">
        <v>42</v>
      </c>
      <c r="G1998" t="s">
        <v>17</v>
      </c>
      <c r="H1998" t="s">
        <v>18</v>
      </c>
      <c r="I1998" s="8">
        <v>8192131.4305999996</v>
      </c>
      <c r="J1998" s="8">
        <v>1931800</v>
      </c>
      <c r="K1998" s="8">
        <f>I1998/1000000</f>
        <v>8.1921314305999999</v>
      </c>
      <c r="L1998" s="8">
        <f>J1998/1000000</f>
        <v>1.9318</v>
      </c>
      <c r="M1998" t="s">
        <v>39</v>
      </c>
    </row>
    <row r="1999" spans="2:13" x14ac:dyDescent="0.25">
      <c r="B1999" t="s">
        <v>13</v>
      </c>
      <c r="C1999" t="s">
        <v>46</v>
      </c>
      <c r="D1999" t="s">
        <v>102</v>
      </c>
      <c r="E1999">
        <v>2028</v>
      </c>
      <c r="F1999" t="s">
        <v>42</v>
      </c>
      <c r="G1999" t="s">
        <v>17</v>
      </c>
      <c r="H1999" t="s">
        <v>18</v>
      </c>
      <c r="I1999" s="8">
        <v>321868.23700000002</v>
      </c>
      <c r="J1999" s="8">
        <v>721455.34844011196</v>
      </c>
      <c r="K1999" s="8">
        <f>I1999/1000000</f>
        <v>0.321868237</v>
      </c>
      <c r="L1999" s="8">
        <f>J1999/1000000</f>
        <v>0.72145534844011194</v>
      </c>
      <c r="M1999" t="s">
        <v>19</v>
      </c>
    </row>
    <row r="2000" spans="2:13" x14ac:dyDescent="0.25">
      <c r="B2000" t="s">
        <v>13</v>
      </c>
      <c r="C2000" t="s">
        <v>46</v>
      </c>
      <c r="D2000" t="s">
        <v>102</v>
      </c>
      <c r="E2000">
        <v>2029</v>
      </c>
      <c r="F2000" t="s">
        <v>42</v>
      </c>
      <c r="G2000" t="s">
        <v>17</v>
      </c>
      <c r="H2000" t="s">
        <v>18</v>
      </c>
      <c r="I2000" s="8">
        <v>324431.79979999998</v>
      </c>
      <c r="J2000" s="8">
        <v>727201.47643221403</v>
      </c>
      <c r="K2000" s="8">
        <f>I2000/1000000</f>
        <v>0.32443179979999998</v>
      </c>
      <c r="L2000" s="8">
        <f>J2000/1000000</f>
        <v>0.727201476432214</v>
      </c>
      <c r="M2000" t="s">
        <v>19</v>
      </c>
    </row>
    <row r="2001" spans="2:13" x14ac:dyDescent="0.25">
      <c r="B2001" t="s">
        <v>13</v>
      </c>
      <c r="C2001" t="s">
        <v>46</v>
      </c>
      <c r="D2001" t="s">
        <v>102</v>
      </c>
      <c r="E2001">
        <v>2030</v>
      </c>
      <c r="F2001" t="s">
        <v>42</v>
      </c>
      <c r="G2001" t="s">
        <v>17</v>
      </c>
      <c r="H2001" t="s">
        <v>18</v>
      </c>
      <c r="I2001" s="8">
        <v>325580.1482</v>
      </c>
      <c r="J2001" s="8">
        <v>729775.45545450202</v>
      </c>
      <c r="K2001" s="8">
        <f>I2001/1000000</f>
        <v>0.32558014819999997</v>
      </c>
      <c r="L2001" s="8">
        <f>J2001/1000000</f>
        <v>0.72977545545450206</v>
      </c>
      <c r="M2001" t="s">
        <v>19</v>
      </c>
    </row>
    <row r="2002" spans="2:13" x14ac:dyDescent="0.25">
      <c r="B2002" t="s">
        <v>13</v>
      </c>
      <c r="C2002" t="s">
        <v>46</v>
      </c>
      <c r="D2002" t="s">
        <v>102</v>
      </c>
      <c r="E2002">
        <v>2026</v>
      </c>
      <c r="F2002" t="s">
        <v>42</v>
      </c>
      <c r="G2002" t="s">
        <v>17</v>
      </c>
      <c r="H2002" t="s">
        <v>18</v>
      </c>
      <c r="I2002" s="8">
        <v>331647.80849999998</v>
      </c>
      <c r="J2002" s="8">
        <v>670200</v>
      </c>
      <c r="K2002" s="8">
        <f>I2002/1000000</f>
        <v>0.33164780849999997</v>
      </c>
      <c r="L2002" s="8">
        <f>J2002/1000000</f>
        <v>0.67020000000000002</v>
      </c>
      <c r="M2002" t="s">
        <v>19</v>
      </c>
    </row>
    <row r="2003" spans="2:13" x14ac:dyDescent="0.25">
      <c r="B2003" t="s">
        <v>13</v>
      </c>
      <c r="C2003" t="s">
        <v>46</v>
      </c>
      <c r="D2003" t="s">
        <v>102</v>
      </c>
      <c r="E2003">
        <v>2027</v>
      </c>
      <c r="F2003" t="s">
        <v>42</v>
      </c>
      <c r="G2003" t="s">
        <v>17</v>
      </c>
      <c r="H2003" t="s">
        <v>18</v>
      </c>
      <c r="I2003" s="8">
        <v>296064.25199999998</v>
      </c>
      <c r="J2003" s="8">
        <v>638001.04356189305</v>
      </c>
      <c r="K2003" s="8">
        <f>I2003/1000000</f>
        <v>0.29606425199999997</v>
      </c>
      <c r="L2003" s="8">
        <f>J2003/1000000</f>
        <v>0.63800104356189302</v>
      </c>
      <c r="M2003" t="s">
        <v>19</v>
      </c>
    </row>
    <row r="2004" spans="2:13" x14ac:dyDescent="0.25">
      <c r="B2004" t="s">
        <v>13</v>
      </c>
      <c r="C2004" t="s">
        <v>46</v>
      </c>
      <c r="D2004" t="s">
        <v>40</v>
      </c>
      <c r="E2004">
        <v>2028</v>
      </c>
      <c r="F2004" t="s">
        <v>42</v>
      </c>
      <c r="G2004" t="s">
        <v>17</v>
      </c>
      <c r="H2004" t="s">
        <v>18</v>
      </c>
      <c r="I2004" s="8">
        <v>3484075.5359</v>
      </c>
      <c r="J2004" s="8">
        <v>985470.63707277796</v>
      </c>
      <c r="K2004" s="8">
        <f>I2004/1000000</f>
        <v>3.4840755359000002</v>
      </c>
      <c r="L2004" s="8">
        <f>J2004/1000000</f>
        <v>0.98547063707277793</v>
      </c>
      <c r="M2004" t="s">
        <v>39</v>
      </c>
    </row>
    <row r="2005" spans="2:13" x14ac:dyDescent="0.25">
      <c r="B2005" t="s">
        <v>13</v>
      </c>
      <c r="C2005" t="s">
        <v>46</v>
      </c>
      <c r="D2005" t="s">
        <v>40</v>
      </c>
      <c r="E2005">
        <v>2028</v>
      </c>
      <c r="F2005" t="s">
        <v>42</v>
      </c>
      <c r="G2005" t="s">
        <v>17</v>
      </c>
      <c r="H2005" t="s">
        <v>18</v>
      </c>
      <c r="I2005" s="8">
        <v>1325027.4375</v>
      </c>
      <c r="J2005" s="8">
        <v>375000</v>
      </c>
      <c r="K2005" s="8">
        <f>I2005/1000000</f>
        <v>1.3250274375</v>
      </c>
      <c r="L2005" s="8">
        <f>J2005/1000000</f>
        <v>0.375</v>
      </c>
      <c r="M2005" t="s">
        <v>39</v>
      </c>
    </row>
    <row r="2006" spans="2:13" x14ac:dyDescent="0.25">
      <c r="B2006" t="s">
        <v>13</v>
      </c>
      <c r="C2006" t="s">
        <v>14</v>
      </c>
      <c r="D2006" t="s">
        <v>109</v>
      </c>
      <c r="E2006">
        <v>2029</v>
      </c>
      <c r="F2006" t="s">
        <v>42</v>
      </c>
      <c r="G2006" t="s">
        <v>17</v>
      </c>
      <c r="H2006" t="s">
        <v>18</v>
      </c>
      <c r="I2006" s="8">
        <v>7806443.6102</v>
      </c>
      <c r="J2006" s="8">
        <v>4275000</v>
      </c>
      <c r="K2006" s="8">
        <f>I2006/1000000</f>
        <v>7.8064436101999997</v>
      </c>
      <c r="L2006" s="8">
        <f>J2006/1000000</f>
        <v>4.2750000000000004</v>
      </c>
      <c r="M2006" t="s">
        <v>39</v>
      </c>
    </row>
    <row r="2007" spans="2:13" x14ac:dyDescent="0.25">
      <c r="B2007" t="s">
        <v>13</v>
      </c>
      <c r="C2007" t="s">
        <v>14</v>
      </c>
      <c r="D2007" t="s">
        <v>109</v>
      </c>
      <c r="E2007">
        <v>2030</v>
      </c>
      <c r="F2007" t="s">
        <v>42</v>
      </c>
      <c r="G2007" t="s">
        <v>17</v>
      </c>
      <c r="H2007" t="s">
        <v>18</v>
      </c>
      <c r="I2007" s="8">
        <v>8108506.1102</v>
      </c>
      <c r="J2007" s="8">
        <v>4275000</v>
      </c>
      <c r="K2007" s="8">
        <f>I2007/1000000</f>
        <v>8.1085061102000004</v>
      </c>
      <c r="L2007" s="8">
        <f>J2007/1000000</f>
        <v>4.2750000000000004</v>
      </c>
      <c r="M2007" t="s">
        <v>39</v>
      </c>
    </row>
    <row r="2008" spans="2:13" x14ac:dyDescent="0.25">
      <c r="B2008" t="s">
        <v>13</v>
      </c>
      <c r="C2008" t="s">
        <v>14</v>
      </c>
      <c r="D2008" t="s">
        <v>52</v>
      </c>
      <c r="E2008">
        <v>2027</v>
      </c>
      <c r="F2008" t="s">
        <v>42</v>
      </c>
      <c r="G2008" t="s">
        <v>17</v>
      </c>
      <c r="H2008" t="s">
        <v>18</v>
      </c>
      <c r="I2008" s="8">
        <v>6701613.4039000003</v>
      </c>
      <c r="J2008" s="8">
        <v>6317199.2472187504</v>
      </c>
      <c r="K2008" s="8">
        <f>I2008/1000000</f>
        <v>6.7016134039000006</v>
      </c>
      <c r="L2008" s="8">
        <f>J2008/1000000</f>
        <v>6.3171992472187508</v>
      </c>
      <c r="M2008" t="s">
        <v>19</v>
      </c>
    </row>
    <row r="2009" spans="2:13" x14ac:dyDescent="0.25">
      <c r="B2009" t="s">
        <v>13</v>
      </c>
      <c r="C2009" t="s">
        <v>14</v>
      </c>
      <c r="D2009" t="s">
        <v>52</v>
      </c>
      <c r="E2009">
        <v>2029</v>
      </c>
      <c r="F2009" t="s">
        <v>42</v>
      </c>
      <c r="G2009" t="s">
        <v>17</v>
      </c>
      <c r="H2009" t="s">
        <v>18</v>
      </c>
      <c r="I2009" s="8">
        <v>7476898.9973999998</v>
      </c>
      <c r="J2009" s="8">
        <v>6469199.9181562504</v>
      </c>
      <c r="K2009" s="8">
        <f>I2009/1000000</f>
        <v>7.4768989974000002</v>
      </c>
      <c r="L2009" s="8">
        <f>J2009/1000000</f>
        <v>6.4691999181562503</v>
      </c>
      <c r="M2009" t="s">
        <v>19</v>
      </c>
    </row>
    <row r="2010" spans="2:13" x14ac:dyDescent="0.25">
      <c r="B2010" t="s">
        <v>13</v>
      </c>
      <c r="C2010" t="s">
        <v>46</v>
      </c>
      <c r="D2010" t="s">
        <v>52</v>
      </c>
      <c r="E2010">
        <v>2026</v>
      </c>
      <c r="F2010" t="s">
        <v>64</v>
      </c>
      <c r="G2010" t="s">
        <v>17</v>
      </c>
      <c r="H2010" t="s">
        <v>18</v>
      </c>
      <c r="I2010" s="8">
        <v>16989.278900000001</v>
      </c>
      <c r="J2010" s="8">
        <v>13500</v>
      </c>
      <c r="K2010" s="8">
        <f>I2010/1000000</f>
        <v>1.6989278900000002E-2</v>
      </c>
      <c r="L2010" s="8">
        <f>J2010/1000000</f>
        <v>1.35E-2</v>
      </c>
      <c r="M2010" t="s">
        <v>19</v>
      </c>
    </row>
    <row r="2011" spans="2:13" x14ac:dyDescent="0.25">
      <c r="B2011" t="s">
        <v>13</v>
      </c>
      <c r="C2011" t="s">
        <v>46</v>
      </c>
      <c r="D2011" t="s">
        <v>52</v>
      </c>
      <c r="E2011">
        <v>2027</v>
      </c>
      <c r="F2011" t="s">
        <v>64</v>
      </c>
      <c r="G2011" t="s">
        <v>17</v>
      </c>
      <c r="H2011" t="s">
        <v>18</v>
      </c>
      <c r="I2011" s="8">
        <v>20682.852500000001</v>
      </c>
      <c r="J2011" s="8">
        <v>16698.404092647099</v>
      </c>
      <c r="K2011" s="8">
        <f>I2011/1000000</f>
        <v>2.0682852500000001E-2</v>
      </c>
      <c r="L2011" s="8">
        <f>J2011/1000000</f>
        <v>1.6698404092647098E-2</v>
      </c>
      <c r="M2011" t="s">
        <v>19</v>
      </c>
    </row>
    <row r="2012" spans="2:13" x14ac:dyDescent="0.25">
      <c r="B2012" t="s">
        <v>13</v>
      </c>
      <c r="C2012" t="s">
        <v>46</v>
      </c>
      <c r="D2012" t="s">
        <v>52</v>
      </c>
      <c r="E2012">
        <v>2028</v>
      </c>
      <c r="F2012" t="s">
        <v>64</v>
      </c>
      <c r="G2012" t="s">
        <v>17</v>
      </c>
      <c r="H2012" t="s">
        <v>18</v>
      </c>
      <c r="I2012" s="8">
        <v>21680.7533</v>
      </c>
      <c r="J2012" s="8">
        <v>17463.7918579412</v>
      </c>
      <c r="K2012" s="8">
        <f>I2012/1000000</f>
        <v>2.1680753300000001E-2</v>
      </c>
      <c r="L2012" s="8">
        <f>J2012/1000000</f>
        <v>1.74637918579412E-2</v>
      </c>
      <c r="M2012" t="s">
        <v>19</v>
      </c>
    </row>
    <row r="2013" spans="2:13" x14ac:dyDescent="0.25">
      <c r="B2013" t="s">
        <v>13</v>
      </c>
      <c r="C2013" t="s">
        <v>46</v>
      </c>
      <c r="D2013" t="s">
        <v>69</v>
      </c>
      <c r="E2013">
        <v>2028</v>
      </c>
      <c r="F2013" t="s">
        <v>64</v>
      </c>
      <c r="G2013" t="s">
        <v>17</v>
      </c>
      <c r="H2013" t="s">
        <v>18</v>
      </c>
      <c r="I2013" s="8">
        <v>62842.316899999998</v>
      </c>
      <c r="J2013" s="8">
        <v>23955.549401109001</v>
      </c>
      <c r="K2013" s="8">
        <f>I2013/1000000</f>
        <v>6.28423169E-2</v>
      </c>
      <c r="L2013" s="8">
        <f>J2013/1000000</f>
        <v>2.3955549401109E-2</v>
      </c>
      <c r="M2013" t="s">
        <v>19</v>
      </c>
    </row>
    <row r="2014" spans="2:13" x14ac:dyDescent="0.25">
      <c r="B2014" t="s">
        <v>13</v>
      </c>
      <c r="C2014" t="s">
        <v>46</v>
      </c>
      <c r="D2014" t="s">
        <v>73</v>
      </c>
      <c r="E2014">
        <v>2026</v>
      </c>
      <c r="F2014" t="s">
        <v>64</v>
      </c>
      <c r="G2014" t="s">
        <v>17</v>
      </c>
      <c r="H2014" t="s">
        <v>18</v>
      </c>
      <c r="I2014" s="8">
        <v>21789.389899999998</v>
      </c>
      <c r="J2014" s="8">
        <v>22800</v>
      </c>
      <c r="K2014" s="8">
        <f>I2014/1000000</f>
        <v>2.1789389899999997E-2</v>
      </c>
      <c r="L2014" s="8">
        <f>J2014/1000000</f>
        <v>2.2800000000000001E-2</v>
      </c>
      <c r="M2014" t="s">
        <v>19</v>
      </c>
    </row>
    <row r="2015" spans="2:13" x14ac:dyDescent="0.25">
      <c r="B2015" t="s">
        <v>13</v>
      </c>
      <c r="C2015" t="s">
        <v>46</v>
      </c>
      <c r="D2015" t="s">
        <v>73</v>
      </c>
      <c r="E2015">
        <v>2027</v>
      </c>
      <c r="F2015" t="s">
        <v>64</v>
      </c>
      <c r="G2015" t="s">
        <v>17</v>
      </c>
      <c r="H2015" t="s">
        <v>18</v>
      </c>
      <c r="I2015" s="8">
        <v>7107.6500999999998</v>
      </c>
      <c r="J2015" s="8">
        <v>7463.2785615749999</v>
      </c>
      <c r="K2015" s="8">
        <f>I2015/1000000</f>
        <v>7.1076500999999997E-3</v>
      </c>
      <c r="L2015" s="8">
        <f>J2015/1000000</f>
        <v>7.4632785615750003E-3</v>
      </c>
      <c r="M2015" t="s">
        <v>19</v>
      </c>
    </row>
    <row r="2016" spans="2:13" x14ac:dyDescent="0.25">
      <c r="B2016" t="s">
        <v>13</v>
      </c>
      <c r="C2016" t="s">
        <v>46</v>
      </c>
      <c r="D2016" t="s">
        <v>70</v>
      </c>
      <c r="E2016">
        <v>2026</v>
      </c>
      <c r="F2016" t="s">
        <v>64</v>
      </c>
      <c r="G2016" t="s">
        <v>17</v>
      </c>
      <c r="H2016" t="s">
        <v>18</v>
      </c>
      <c r="I2016" s="8">
        <v>32600.244900000002</v>
      </c>
      <c r="J2016" s="8">
        <v>16000</v>
      </c>
      <c r="K2016" s="8">
        <f>I2016/1000000</f>
        <v>3.2600244899999999E-2</v>
      </c>
      <c r="L2016" s="8">
        <f>J2016/1000000</f>
        <v>1.6E-2</v>
      </c>
      <c r="M2016" t="s">
        <v>19</v>
      </c>
    </row>
    <row r="2017" spans="2:13" x14ac:dyDescent="0.25">
      <c r="B2017" t="s">
        <v>13</v>
      </c>
      <c r="C2017" t="s">
        <v>46</v>
      </c>
      <c r="D2017" t="s">
        <v>70</v>
      </c>
      <c r="E2017">
        <v>2027</v>
      </c>
      <c r="F2017" t="s">
        <v>64</v>
      </c>
      <c r="G2017" t="s">
        <v>17</v>
      </c>
      <c r="H2017" t="s">
        <v>18</v>
      </c>
      <c r="I2017" s="8">
        <v>8966.5244000000002</v>
      </c>
      <c r="J2017" s="8">
        <v>6592.958388</v>
      </c>
      <c r="K2017" s="8">
        <f>I2017/1000000</f>
        <v>8.9665244000000002E-3</v>
      </c>
      <c r="L2017" s="8">
        <f>J2017/1000000</f>
        <v>6.5929583879999996E-3</v>
      </c>
      <c r="M2017" t="s">
        <v>19</v>
      </c>
    </row>
    <row r="2018" spans="2:13" x14ac:dyDescent="0.25">
      <c r="B2018" t="s">
        <v>13</v>
      </c>
      <c r="C2018" t="s">
        <v>46</v>
      </c>
      <c r="D2018" t="s">
        <v>69</v>
      </c>
      <c r="E2018">
        <v>2027</v>
      </c>
      <c r="F2018" t="s">
        <v>64</v>
      </c>
      <c r="G2018" t="s">
        <v>17</v>
      </c>
      <c r="H2018" t="s">
        <v>18</v>
      </c>
      <c r="I2018" s="8">
        <v>37484.561699999998</v>
      </c>
      <c r="J2018" s="8">
        <v>12600.500152836101</v>
      </c>
      <c r="K2018" s="8">
        <f>I2018/1000000</f>
        <v>3.7484561699999995E-2</v>
      </c>
      <c r="L2018" s="8">
        <f>J2018/1000000</f>
        <v>1.26005001528361E-2</v>
      </c>
      <c r="M2018" t="s">
        <v>19</v>
      </c>
    </row>
    <row r="2019" spans="2:13" x14ac:dyDescent="0.25">
      <c r="B2019" t="s">
        <v>13</v>
      </c>
      <c r="C2019" t="s">
        <v>46</v>
      </c>
      <c r="D2019" t="s">
        <v>72</v>
      </c>
      <c r="E2019">
        <v>2027</v>
      </c>
      <c r="F2019" t="s">
        <v>64</v>
      </c>
      <c r="G2019" t="s">
        <v>17</v>
      </c>
      <c r="H2019" t="s">
        <v>18</v>
      </c>
      <c r="I2019" s="8">
        <v>43171.9686</v>
      </c>
      <c r="J2019" s="8">
        <v>17616.283200000002</v>
      </c>
      <c r="K2019" s="8">
        <f>I2019/1000000</f>
        <v>4.3171968599999999E-2</v>
      </c>
      <c r="L2019" s="8">
        <f>J2019/1000000</f>
        <v>1.7616283200000003E-2</v>
      </c>
      <c r="M2019" t="s">
        <v>19</v>
      </c>
    </row>
    <row r="2020" spans="2:13" x14ac:dyDescent="0.25">
      <c r="B2020" t="s">
        <v>13</v>
      </c>
      <c r="C2020" t="s">
        <v>46</v>
      </c>
      <c r="D2020" t="s">
        <v>72</v>
      </c>
      <c r="E2020">
        <v>2028</v>
      </c>
      <c r="F2020" t="s">
        <v>64</v>
      </c>
      <c r="G2020" t="s">
        <v>17</v>
      </c>
      <c r="H2020" t="s">
        <v>18</v>
      </c>
      <c r="I2020" s="8">
        <v>54999.699800000002</v>
      </c>
      <c r="J2020" s="8">
        <v>22564.163519999998</v>
      </c>
      <c r="K2020" s="8">
        <f>I2020/1000000</f>
        <v>5.4999699800000003E-2</v>
      </c>
      <c r="L2020" s="8">
        <f>J2020/1000000</f>
        <v>2.256416352E-2</v>
      </c>
      <c r="M2020" t="s">
        <v>19</v>
      </c>
    </row>
    <row r="2021" spans="2:13" x14ac:dyDescent="0.25">
      <c r="B2021" t="s">
        <v>13</v>
      </c>
      <c r="C2021" t="s">
        <v>46</v>
      </c>
      <c r="D2021" t="s">
        <v>100</v>
      </c>
      <c r="E2021">
        <v>2027</v>
      </c>
      <c r="F2021" t="s">
        <v>64</v>
      </c>
      <c r="G2021" t="s">
        <v>17</v>
      </c>
      <c r="H2021" t="s">
        <v>18</v>
      </c>
      <c r="I2021" s="8">
        <v>18809.4784</v>
      </c>
      <c r="J2021" s="8">
        <v>18660.196800000002</v>
      </c>
      <c r="K2021" s="8">
        <f>I2021/1000000</f>
        <v>1.8809478399999999E-2</v>
      </c>
      <c r="L2021" s="8">
        <f>J2021/1000000</f>
        <v>1.8660196800000001E-2</v>
      </c>
      <c r="M2021" t="s">
        <v>19</v>
      </c>
    </row>
    <row r="2022" spans="2:13" x14ac:dyDescent="0.25">
      <c r="B2022" t="s">
        <v>13</v>
      </c>
      <c r="C2022" t="s">
        <v>46</v>
      </c>
      <c r="D2022" t="s">
        <v>100</v>
      </c>
      <c r="E2022">
        <v>2028</v>
      </c>
      <c r="F2022" t="s">
        <v>64</v>
      </c>
      <c r="G2022" t="s">
        <v>17</v>
      </c>
      <c r="H2022" t="s">
        <v>18</v>
      </c>
      <c r="I2022" s="8">
        <v>21661.597000000002</v>
      </c>
      <c r="J2022" s="8">
        <v>22564.163519999998</v>
      </c>
      <c r="K2022" s="8">
        <f>I2022/1000000</f>
        <v>2.1661597000000001E-2</v>
      </c>
      <c r="L2022" s="8">
        <f>J2022/1000000</f>
        <v>2.256416352E-2</v>
      </c>
      <c r="M2022" t="s">
        <v>19</v>
      </c>
    </row>
    <row r="2023" spans="2:13" x14ac:dyDescent="0.25">
      <c r="B2023" t="s">
        <v>13</v>
      </c>
      <c r="C2023" t="s">
        <v>46</v>
      </c>
      <c r="D2023" t="s">
        <v>73</v>
      </c>
      <c r="E2023">
        <v>2028</v>
      </c>
      <c r="F2023" t="s">
        <v>91</v>
      </c>
      <c r="G2023" t="s">
        <v>17</v>
      </c>
      <c r="H2023" t="s">
        <v>18</v>
      </c>
      <c r="I2023" s="8">
        <v>784652.87069999997</v>
      </c>
      <c r="J2023" s="8">
        <v>563077.781028367</v>
      </c>
      <c r="K2023" s="8">
        <f>I2023/1000000</f>
        <v>0.7846528707</v>
      </c>
      <c r="L2023" s="8">
        <f>J2023/1000000</f>
        <v>0.56307778102836703</v>
      </c>
      <c r="M2023" t="s">
        <v>19</v>
      </c>
    </row>
    <row r="2024" spans="2:13" x14ac:dyDescent="0.25">
      <c r="B2024" t="s">
        <v>13</v>
      </c>
      <c r="C2024" t="s">
        <v>46</v>
      </c>
      <c r="D2024" t="s">
        <v>73</v>
      </c>
      <c r="E2024">
        <v>2029</v>
      </c>
      <c r="F2024" t="s">
        <v>91</v>
      </c>
      <c r="G2024" t="s">
        <v>17</v>
      </c>
      <c r="H2024" t="s">
        <v>18</v>
      </c>
      <c r="I2024" s="8">
        <v>738864.83140000002</v>
      </c>
      <c r="J2024" s="8">
        <v>530219.69912535895</v>
      </c>
      <c r="K2024" s="8">
        <f>I2024/1000000</f>
        <v>0.73886483140000003</v>
      </c>
      <c r="L2024" s="8">
        <f>J2024/1000000</f>
        <v>0.53021969912535893</v>
      </c>
      <c r="M2024" t="s">
        <v>19</v>
      </c>
    </row>
    <row r="2025" spans="2:13" x14ac:dyDescent="0.25">
      <c r="B2025" t="s">
        <v>13</v>
      </c>
      <c r="C2025" t="s">
        <v>46</v>
      </c>
      <c r="D2025" t="s">
        <v>73</v>
      </c>
      <c r="E2025">
        <v>2030</v>
      </c>
      <c r="F2025" t="s">
        <v>91</v>
      </c>
      <c r="G2025" t="s">
        <v>17</v>
      </c>
      <c r="H2025" t="s">
        <v>18</v>
      </c>
      <c r="I2025" s="8">
        <v>689287.85309999995</v>
      </c>
      <c r="J2025" s="8">
        <v>494642.60483259801</v>
      </c>
      <c r="K2025" s="8">
        <f>I2025/1000000</f>
        <v>0.68928785309999996</v>
      </c>
      <c r="L2025" s="8">
        <f>J2025/1000000</f>
        <v>0.49464260483259803</v>
      </c>
      <c r="M2025" t="s">
        <v>19</v>
      </c>
    </row>
    <row r="2026" spans="2:13" x14ac:dyDescent="0.25">
      <c r="B2026" t="s">
        <v>13</v>
      </c>
      <c r="C2026" t="s">
        <v>46</v>
      </c>
      <c r="D2026" t="s">
        <v>73</v>
      </c>
      <c r="E2026">
        <v>2026</v>
      </c>
      <c r="F2026" t="s">
        <v>91</v>
      </c>
      <c r="G2026" t="s">
        <v>17</v>
      </c>
      <c r="H2026" t="s">
        <v>18</v>
      </c>
      <c r="I2026" s="8">
        <v>791097.48120000004</v>
      </c>
      <c r="J2026" s="8">
        <v>562802.65676704003</v>
      </c>
      <c r="K2026" s="8">
        <f>I2026/1000000</f>
        <v>0.79109748120000001</v>
      </c>
      <c r="L2026" s="8">
        <f>J2026/1000000</f>
        <v>0.56280265676704</v>
      </c>
      <c r="M2026" t="s">
        <v>19</v>
      </c>
    </row>
    <row r="2027" spans="2:13" x14ac:dyDescent="0.25">
      <c r="B2027" t="s">
        <v>13</v>
      </c>
      <c r="C2027" t="s">
        <v>46</v>
      </c>
      <c r="D2027" t="s">
        <v>73</v>
      </c>
      <c r="E2027">
        <v>2027</v>
      </c>
      <c r="F2027" t="s">
        <v>91</v>
      </c>
      <c r="G2027" t="s">
        <v>17</v>
      </c>
      <c r="H2027" t="s">
        <v>18</v>
      </c>
      <c r="I2027" s="8">
        <v>839392.03150000004</v>
      </c>
      <c r="J2027" s="8">
        <v>602042.84660519997</v>
      </c>
      <c r="K2027" s="8">
        <f>I2027/1000000</f>
        <v>0.83939203150000008</v>
      </c>
      <c r="L2027" s="8">
        <f>J2027/1000000</f>
        <v>0.60204284660520002</v>
      </c>
      <c r="M2027" t="s">
        <v>19</v>
      </c>
    </row>
    <row r="2028" spans="2:13" x14ac:dyDescent="0.25">
      <c r="B2028" t="s">
        <v>13</v>
      </c>
      <c r="C2028" t="s">
        <v>46</v>
      </c>
      <c r="D2028" t="s">
        <v>70</v>
      </c>
      <c r="E2028">
        <v>2026</v>
      </c>
      <c r="F2028" t="s">
        <v>91</v>
      </c>
      <c r="G2028" t="s">
        <v>17</v>
      </c>
      <c r="H2028" t="s">
        <v>18</v>
      </c>
      <c r="I2028" s="8">
        <v>932590.23329999996</v>
      </c>
      <c r="J2028" s="8">
        <v>540350.55359999998</v>
      </c>
      <c r="K2028" s="8">
        <f>I2028/1000000</f>
        <v>0.93259023330000002</v>
      </c>
      <c r="L2028" s="8">
        <f>J2028/1000000</f>
        <v>0.54035055359999995</v>
      </c>
      <c r="M2028" t="s">
        <v>19</v>
      </c>
    </row>
    <row r="2029" spans="2:13" x14ac:dyDescent="0.25">
      <c r="B2029" t="s">
        <v>13</v>
      </c>
      <c r="C2029" t="s">
        <v>46</v>
      </c>
      <c r="D2029" t="s">
        <v>70</v>
      </c>
      <c r="E2029">
        <v>2027</v>
      </c>
      <c r="F2029" t="s">
        <v>91</v>
      </c>
      <c r="G2029" t="s">
        <v>17</v>
      </c>
      <c r="H2029" t="s">
        <v>18</v>
      </c>
      <c r="I2029" s="8">
        <v>759220.89800000004</v>
      </c>
      <c r="J2029" s="8">
        <v>543482.59680000006</v>
      </c>
      <c r="K2029" s="8">
        <f>I2029/1000000</f>
        <v>0.75922089800000003</v>
      </c>
      <c r="L2029" s="8">
        <f>J2029/1000000</f>
        <v>0.54348259680000011</v>
      </c>
      <c r="M2029" t="s">
        <v>19</v>
      </c>
    </row>
    <row r="2030" spans="2:13" x14ac:dyDescent="0.25">
      <c r="B2030" t="s">
        <v>13</v>
      </c>
      <c r="C2030" t="s">
        <v>46</v>
      </c>
      <c r="D2030" t="s">
        <v>70</v>
      </c>
      <c r="E2030">
        <v>2028</v>
      </c>
      <c r="F2030" t="s">
        <v>91</v>
      </c>
      <c r="G2030" t="s">
        <v>17</v>
      </c>
      <c r="H2030" t="s">
        <v>18</v>
      </c>
      <c r="I2030" s="8">
        <v>787545.43169999996</v>
      </c>
      <c r="J2030" s="8">
        <v>557447.56066564401</v>
      </c>
      <c r="K2030" s="8">
        <f>I2030/1000000</f>
        <v>0.78754543169999991</v>
      </c>
      <c r="L2030" s="8">
        <f>J2030/1000000</f>
        <v>0.55744756066564405</v>
      </c>
      <c r="M2030" t="s">
        <v>19</v>
      </c>
    </row>
    <row r="2031" spans="2:13" x14ac:dyDescent="0.25">
      <c r="B2031" t="s">
        <v>13</v>
      </c>
      <c r="C2031" t="s">
        <v>46</v>
      </c>
      <c r="D2031" t="s">
        <v>70</v>
      </c>
      <c r="E2031">
        <v>2029</v>
      </c>
      <c r="F2031" t="s">
        <v>91</v>
      </c>
      <c r="G2031" t="s">
        <v>17</v>
      </c>
      <c r="H2031" t="s">
        <v>18</v>
      </c>
      <c r="I2031" s="8">
        <v>892206.19739999995</v>
      </c>
      <c r="J2031" s="8">
        <v>561105.43613200297</v>
      </c>
      <c r="K2031" s="8">
        <f>I2031/1000000</f>
        <v>0.89220619739999996</v>
      </c>
      <c r="L2031" s="8">
        <f>J2031/1000000</f>
        <v>0.56110543613200292</v>
      </c>
      <c r="M2031" t="s">
        <v>19</v>
      </c>
    </row>
    <row r="2032" spans="2:13" x14ac:dyDescent="0.25">
      <c r="B2032" t="s">
        <v>13</v>
      </c>
      <c r="C2032" t="s">
        <v>46</v>
      </c>
      <c r="D2032" t="s">
        <v>70</v>
      </c>
      <c r="E2032">
        <v>2030</v>
      </c>
      <c r="F2032" t="s">
        <v>91</v>
      </c>
      <c r="G2032" t="s">
        <v>17</v>
      </c>
      <c r="H2032" t="s">
        <v>18</v>
      </c>
      <c r="I2032" s="8">
        <v>728935.95290000003</v>
      </c>
      <c r="J2032" s="8">
        <v>458021.64230963099</v>
      </c>
      <c r="K2032" s="8">
        <f>I2032/1000000</f>
        <v>0.72893595290000002</v>
      </c>
      <c r="L2032" s="8">
        <f>J2032/1000000</f>
        <v>0.45802164230963099</v>
      </c>
      <c r="M2032" t="s">
        <v>19</v>
      </c>
    </row>
    <row r="2033" spans="2:13" x14ac:dyDescent="0.25">
      <c r="B2033" t="s">
        <v>13</v>
      </c>
      <c r="C2033" t="s">
        <v>46</v>
      </c>
      <c r="D2033" t="s">
        <v>15</v>
      </c>
      <c r="E2033">
        <v>2028</v>
      </c>
      <c r="F2033" t="s">
        <v>91</v>
      </c>
      <c r="G2033" t="s">
        <v>17</v>
      </c>
      <c r="H2033" t="s">
        <v>18</v>
      </c>
      <c r="I2033" s="8">
        <v>250081.40779999999</v>
      </c>
      <c r="J2033" s="8">
        <v>83221.994676566697</v>
      </c>
      <c r="K2033" s="8">
        <f>I2033/1000000</f>
        <v>0.25008140779999999</v>
      </c>
      <c r="L2033" s="8">
        <f>J2033/1000000</f>
        <v>8.3221994676566699E-2</v>
      </c>
      <c r="M2033" t="s">
        <v>19</v>
      </c>
    </row>
    <row r="2034" spans="2:13" x14ac:dyDescent="0.25">
      <c r="B2034" t="s">
        <v>13</v>
      </c>
      <c r="C2034" t="s">
        <v>46</v>
      </c>
      <c r="D2034" t="s">
        <v>15</v>
      </c>
      <c r="E2034">
        <v>2026</v>
      </c>
      <c r="F2034" t="s">
        <v>91</v>
      </c>
      <c r="G2034" t="s">
        <v>17</v>
      </c>
      <c r="H2034" t="s">
        <v>18</v>
      </c>
      <c r="I2034" s="8">
        <v>528555.58440000005</v>
      </c>
      <c r="J2034" s="8">
        <v>114335.311258851</v>
      </c>
      <c r="K2034" s="8">
        <f>I2034/1000000</f>
        <v>0.52855558440000006</v>
      </c>
      <c r="L2034" s="8">
        <f>J2034/1000000</f>
        <v>0.11433531125885099</v>
      </c>
      <c r="M2034" t="s">
        <v>19</v>
      </c>
    </row>
    <row r="2035" spans="2:13" x14ac:dyDescent="0.25">
      <c r="B2035" t="s">
        <v>13</v>
      </c>
      <c r="C2035" t="s">
        <v>46</v>
      </c>
      <c r="D2035" t="s">
        <v>15</v>
      </c>
      <c r="E2035">
        <v>2027</v>
      </c>
      <c r="F2035" t="s">
        <v>91</v>
      </c>
      <c r="G2035" t="s">
        <v>17</v>
      </c>
      <c r="H2035" t="s">
        <v>18</v>
      </c>
      <c r="I2035" s="8">
        <v>400771.55349999998</v>
      </c>
      <c r="J2035" s="8">
        <v>86693.512787076907</v>
      </c>
      <c r="K2035" s="8">
        <f>I2035/1000000</f>
        <v>0.40077155349999999</v>
      </c>
      <c r="L2035" s="8">
        <f>J2035/1000000</f>
        <v>8.6693512787076904E-2</v>
      </c>
      <c r="M2035" t="s">
        <v>19</v>
      </c>
    </row>
    <row r="2036" spans="2:13" x14ac:dyDescent="0.25">
      <c r="B2036" t="s">
        <v>13</v>
      </c>
      <c r="C2036" t="s">
        <v>46</v>
      </c>
      <c r="D2036" t="s">
        <v>15</v>
      </c>
      <c r="E2036">
        <v>2030</v>
      </c>
      <c r="F2036" t="s">
        <v>91</v>
      </c>
      <c r="G2036" t="s">
        <v>17</v>
      </c>
      <c r="H2036" t="s">
        <v>18</v>
      </c>
      <c r="I2036" s="8">
        <v>224762.4529</v>
      </c>
      <c r="J2036" s="8">
        <v>74796.3625999707</v>
      </c>
      <c r="K2036" s="8">
        <f>I2036/1000000</f>
        <v>0.22476245289999999</v>
      </c>
      <c r="L2036" s="8">
        <f>J2036/1000000</f>
        <v>7.4796362599970703E-2</v>
      </c>
      <c r="M2036" t="s">
        <v>19</v>
      </c>
    </row>
    <row r="2037" spans="2:13" x14ac:dyDescent="0.25">
      <c r="B2037" t="s">
        <v>13</v>
      </c>
      <c r="C2037" t="s">
        <v>46</v>
      </c>
      <c r="D2037" t="s">
        <v>100</v>
      </c>
      <c r="E2037">
        <v>2029</v>
      </c>
      <c r="F2037" t="s">
        <v>91</v>
      </c>
      <c r="G2037" t="s">
        <v>17</v>
      </c>
      <c r="H2037" t="s">
        <v>18</v>
      </c>
      <c r="I2037" s="8">
        <v>801900.51210000005</v>
      </c>
      <c r="J2037" s="8">
        <v>353479.79941690603</v>
      </c>
      <c r="K2037" s="8">
        <f>I2037/1000000</f>
        <v>0.80190051210000002</v>
      </c>
      <c r="L2037" s="8">
        <f>J2037/1000000</f>
        <v>0.35347979941690605</v>
      </c>
      <c r="M2037" t="s">
        <v>19</v>
      </c>
    </row>
    <row r="2038" spans="2:13" x14ac:dyDescent="0.25">
      <c r="B2038" t="s">
        <v>13</v>
      </c>
      <c r="C2038" t="s">
        <v>46</v>
      </c>
      <c r="D2038" t="s">
        <v>100</v>
      </c>
      <c r="E2038">
        <v>2030</v>
      </c>
      <c r="F2038" t="s">
        <v>91</v>
      </c>
      <c r="G2038" t="s">
        <v>17</v>
      </c>
      <c r="H2038" t="s">
        <v>18</v>
      </c>
      <c r="I2038" s="8">
        <v>741498.73230000003</v>
      </c>
      <c r="J2038" s="8">
        <v>329761.73655506602</v>
      </c>
      <c r="K2038" s="8">
        <f>I2038/1000000</f>
        <v>0.74149873230000007</v>
      </c>
      <c r="L2038" s="8">
        <f>J2038/1000000</f>
        <v>0.32976173655506602</v>
      </c>
      <c r="M2038" t="s">
        <v>19</v>
      </c>
    </row>
    <row r="2039" spans="2:13" x14ac:dyDescent="0.25">
      <c r="B2039" t="s">
        <v>13</v>
      </c>
      <c r="C2039" t="s">
        <v>46</v>
      </c>
      <c r="D2039" t="s">
        <v>100</v>
      </c>
      <c r="E2039">
        <v>2026</v>
      </c>
      <c r="F2039" t="s">
        <v>91</v>
      </c>
      <c r="G2039" t="s">
        <v>17</v>
      </c>
      <c r="H2039" t="s">
        <v>18</v>
      </c>
      <c r="I2039" s="8">
        <v>684736.15229999996</v>
      </c>
      <c r="J2039" s="8">
        <v>321598.26811136003</v>
      </c>
      <c r="K2039" s="8">
        <f>I2039/1000000</f>
        <v>0.68473615229999996</v>
      </c>
      <c r="L2039" s="8">
        <f>J2039/1000000</f>
        <v>0.32159826811136005</v>
      </c>
      <c r="M2039" t="s">
        <v>19</v>
      </c>
    </row>
    <row r="2040" spans="2:13" x14ac:dyDescent="0.25">
      <c r="B2040" t="s">
        <v>13</v>
      </c>
      <c r="C2040" t="s">
        <v>46</v>
      </c>
      <c r="D2040" t="s">
        <v>100</v>
      </c>
      <c r="E2040">
        <v>2028</v>
      </c>
      <c r="F2040" t="s">
        <v>91</v>
      </c>
      <c r="G2040" t="s">
        <v>17</v>
      </c>
      <c r="H2040" t="s">
        <v>18</v>
      </c>
      <c r="I2040" s="8">
        <v>799040.91579999996</v>
      </c>
      <c r="J2040" s="8">
        <v>375385.18735224498</v>
      </c>
      <c r="K2040" s="8">
        <f>I2040/1000000</f>
        <v>0.79904091579999992</v>
      </c>
      <c r="L2040" s="8">
        <f>J2040/1000000</f>
        <v>0.37538518735224496</v>
      </c>
      <c r="M2040" t="s">
        <v>19</v>
      </c>
    </row>
    <row r="2041" spans="2:13" x14ac:dyDescent="0.25">
      <c r="B2041" t="s">
        <v>13</v>
      </c>
      <c r="C2041" t="s">
        <v>46</v>
      </c>
      <c r="D2041" t="s">
        <v>100</v>
      </c>
      <c r="E2041">
        <v>2027</v>
      </c>
      <c r="F2041" t="s">
        <v>91</v>
      </c>
      <c r="G2041" t="s">
        <v>17</v>
      </c>
      <c r="H2041" t="s">
        <v>18</v>
      </c>
      <c r="I2041" s="8">
        <v>862593.41189999995</v>
      </c>
      <c r="J2041" s="8">
        <v>401361.89773680002</v>
      </c>
      <c r="K2041" s="8">
        <f>I2041/1000000</f>
        <v>0.86259341189999994</v>
      </c>
      <c r="L2041" s="8">
        <f>J2041/1000000</f>
        <v>0.40136189773680003</v>
      </c>
      <c r="M2041" t="s">
        <v>19</v>
      </c>
    </row>
    <row r="2042" spans="2:13" x14ac:dyDescent="0.25">
      <c r="B2042" t="s">
        <v>13</v>
      </c>
      <c r="C2042" t="s">
        <v>46</v>
      </c>
      <c r="D2042" t="s">
        <v>72</v>
      </c>
      <c r="E2042">
        <v>2026</v>
      </c>
      <c r="F2042" t="s">
        <v>91</v>
      </c>
      <c r="G2042" t="s">
        <v>17</v>
      </c>
      <c r="H2042" t="s">
        <v>18</v>
      </c>
      <c r="I2042" s="8">
        <v>1125112.4572999999</v>
      </c>
      <c r="J2042" s="8">
        <v>378476.57575808</v>
      </c>
      <c r="K2042" s="8">
        <f>I2042/1000000</f>
        <v>1.1251124573</v>
      </c>
      <c r="L2042" s="8">
        <f>J2042/1000000</f>
        <v>0.37847657575808002</v>
      </c>
      <c r="M2042" t="s">
        <v>19</v>
      </c>
    </row>
    <row r="2043" spans="2:13" x14ac:dyDescent="0.25">
      <c r="B2043" t="s">
        <v>13</v>
      </c>
      <c r="C2043" t="s">
        <v>46</v>
      </c>
      <c r="D2043" t="s">
        <v>72</v>
      </c>
      <c r="E2043">
        <v>2027</v>
      </c>
      <c r="F2043" t="s">
        <v>91</v>
      </c>
      <c r="G2043" t="s">
        <v>17</v>
      </c>
      <c r="H2043" t="s">
        <v>18</v>
      </c>
      <c r="I2043" s="8">
        <v>1858552.429</v>
      </c>
      <c r="J2043" s="8">
        <v>625198.34070539998</v>
      </c>
      <c r="K2043" s="8">
        <f>I2043/1000000</f>
        <v>1.858552429</v>
      </c>
      <c r="L2043" s="8">
        <f>J2043/1000000</f>
        <v>0.62519834070540004</v>
      </c>
      <c r="M2043" t="s">
        <v>19</v>
      </c>
    </row>
    <row r="2044" spans="2:13" x14ac:dyDescent="0.25">
      <c r="B2044" t="s">
        <v>13</v>
      </c>
      <c r="C2044" t="s">
        <v>46</v>
      </c>
      <c r="D2044" t="s">
        <v>72</v>
      </c>
      <c r="E2044">
        <v>2029</v>
      </c>
      <c r="F2044" t="s">
        <v>91</v>
      </c>
      <c r="G2044" t="s">
        <v>17</v>
      </c>
      <c r="H2044" t="s">
        <v>18</v>
      </c>
      <c r="I2044" s="8">
        <v>1144398.1457</v>
      </c>
      <c r="J2044" s="8">
        <v>550612.76447633503</v>
      </c>
      <c r="K2044" s="8">
        <f>I2044/1000000</f>
        <v>1.1443981457000001</v>
      </c>
      <c r="L2044" s="8">
        <f>J2044/1000000</f>
        <v>0.550612764476335</v>
      </c>
      <c r="M2044" t="s">
        <v>19</v>
      </c>
    </row>
    <row r="2045" spans="2:13" x14ac:dyDescent="0.25">
      <c r="B2045" t="s">
        <v>13</v>
      </c>
      <c r="C2045" t="s">
        <v>46</v>
      </c>
      <c r="D2045" t="s">
        <v>72</v>
      </c>
      <c r="E2045">
        <v>2030</v>
      </c>
      <c r="F2045" t="s">
        <v>91</v>
      </c>
      <c r="G2045" t="s">
        <v>17</v>
      </c>
      <c r="H2045" t="s">
        <v>18</v>
      </c>
      <c r="I2045" s="8">
        <v>1067610.4276999999</v>
      </c>
      <c r="J2045" s="8">
        <v>513667.32040308299</v>
      </c>
      <c r="K2045" s="8">
        <f>I2045/1000000</f>
        <v>1.0676104276999998</v>
      </c>
      <c r="L2045" s="8">
        <f>J2045/1000000</f>
        <v>0.51366732040308305</v>
      </c>
      <c r="M2045" t="s">
        <v>19</v>
      </c>
    </row>
    <row r="2046" spans="2:13" x14ac:dyDescent="0.25">
      <c r="B2046" t="s">
        <v>13</v>
      </c>
      <c r="C2046" t="s">
        <v>46</v>
      </c>
      <c r="D2046" t="s">
        <v>72</v>
      </c>
      <c r="E2046">
        <v>2028</v>
      </c>
      <c r="F2046" t="s">
        <v>91</v>
      </c>
      <c r="G2046" t="s">
        <v>17</v>
      </c>
      <c r="H2046" t="s">
        <v>18</v>
      </c>
      <c r="I2046" s="8">
        <v>1215317.2912000001</v>
      </c>
      <c r="J2046" s="8">
        <v>584734.61876022804</v>
      </c>
      <c r="K2046" s="8">
        <f>I2046/1000000</f>
        <v>1.2153172912000001</v>
      </c>
      <c r="L2046" s="8">
        <f>J2046/1000000</f>
        <v>0.58473461876022803</v>
      </c>
      <c r="M2046" t="s">
        <v>19</v>
      </c>
    </row>
    <row r="2047" spans="2:13" x14ac:dyDescent="0.25">
      <c r="B2047" t="s">
        <v>13</v>
      </c>
      <c r="C2047" t="s">
        <v>46</v>
      </c>
      <c r="D2047" t="s">
        <v>15</v>
      </c>
      <c r="E2047">
        <v>2029</v>
      </c>
      <c r="F2047" t="s">
        <v>91</v>
      </c>
      <c r="G2047" t="s">
        <v>17</v>
      </c>
      <c r="H2047" t="s">
        <v>18</v>
      </c>
      <c r="I2047" s="8">
        <v>243861.26019999999</v>
      </c>
      <c r="J2047" s="8">
        <v>81152.056337462098</v>
      </c>
      <c r="K2047" s="8">
        <f>I2047/1000000</f>
        <v>0.24386126019999999</v>
      </c>
      <c r="L2047" s="8">
        <f>J2047/1000000</f>
        <v>8.11520563374621E-2</v>
      </c>
      <c r="M2047" t="s">
        <v>19</v>
      </c>
    </row>
    <row r="2048" spans="2:13" x14ac:dyDescent="0.25">
      <c r="B2048" t="s">
        <v>13</v>
      </c>
      <c r="C2048" t="s">
        <v>46</v>
      </c>
      <c r="D2048" t="s">
        <v>108</v>
      </c>
      <c r="E2048">
        <v>2030</v>
      </c>
      <c r="F2048" t="s">
        <v>91</v>
      </c>
      <c r="G2048" t="s">
        <v>17</v>
      </c>
      <c r="H2048" t="s">
        <v>18</v>
      </c>
      <c r="I2048" s="8">
        <v>492424.78580000001</v>
      </c>
      <c r="J2048" s="8">
        <v>132431.25247922799</v>
      </c>
      <c r="K2048" s="8">
        <f>I2048/1000000</f>
        <v>0.49242478579999999</v>
      </c>
      <c r="L2048" s="8">
        <f>J2048/1000000</f>
        <v>0.13243125247922799</v>
      </c>
      <c r="M2048" t="s">
        <v>39</v>
      </c>
    </row>
    <row r="2049" spans="2:13" x14ac:dyDescent="0.25">
      <c r="B2049" t="s">
        <v>13</v>
      </c>
      <c r="C2049" t="s">
        <v>14</v>
      </c>
      <c r="D2049" t="s">
        <v>52</v>
      </c>
      <c r="E2049">
        <v>2026</v>
      </c>
      <c r="F2049" t="s">
        <v>91</v>
      </c>
      <c r="G2049" t="s">
        <v>17</v>
      </c>
      <c r="H2049" t="s">
        <v>18</v>
      </c>
      <c r="I2049" s="8">
        <v>778005.5747</v>
      </c>
      <c r="J2049" s="8">
        <v>769704.25950000004</v>
      </c>
      <c r="K2049" s="8">
        <f>I2049/1000000</f>
        <v>0.77800557469999998</v>
      </c>
      <c r="L2049" s="8">
        <f>J2049/1000000</f>
        <v>0.7697042595000001</v>
      </c>
      <c r="M2049" t="s">
        <v>19</v>
      </c>
    </row>
    <row r="2050" spans="2:13" x14ac:dyDescent="0.25">
      <c r="B2050" t="s">
        <v>13</v>
      </c>
      <c r="C2050" t="s">
        <v>46</v>
      </c>
      <c r="D2050" t="s">
        <v>69</v>
      </c>
      <c r="E2050">
        <v>2028</v>
      </c>
      <c r="F2050" t="s">
        <v>82</v>
      </c>
      <c r="G2050" t="s">
        <v>17</v>
      </c>
      <c r="H2050" t="s">
        <v>18</v>
      </c>
      <c r="I2050" s="8">
        <v>73302.215599999996</v>
      </c>
      <c r="J2050" s="8">
        <v>27986.472406252498</v>
      </c>
      <c r="K2050" s="8">
        <f>I2050/1000000</f>
        <v>7.3302215599999998E-2</v>
      </c>
      <c r="L2050" s="8">
        <f>J2050/1000000</f>
        <v>2.7986472406252499E-2</v>
      </c>
      <c r="M2050" t="s">
        <v>19</v>
      </c>
    </row>
    <row r="2051" spans="2:13" x14ac:dyDescent="0.25">
      <c r="B2051" t="s">
        <v>13</v>
      </c>
      <c r="C2051" t="s">
        <v>46</v>
      </c>
      <c r="D2051" t="s">
        <v>69</v>
      </c>
      <c r="E2051">
        <v>2029</v>
      </c>
      <c r="F2051" t="s">
        <v>82</v>
      </c>
      <c r="G2051" t="s">
        <v>17</v>
      </c>
      <c r="H2051" t="s">
        <v>18</v>
      </c>
      <c r="I2051" s="8">
        <v>57771.682999999997</v>
      </c>
      <c r="J2051" s="8">
        <v>25292.432771022199</v>
      </c>
      <c r="K2051" s="8">
        <f>I2051/1000000</f>
        <v>5.7771682999999997E-2</v>
      </c>
      <c r="L2051" s="8">
        <f>J2051/1000000</f>
        <v>2.5292432771022198E-2</v>
      </c>
      <c r="M2051" t="s">
        <v>19</v>
      </c>
    </row>
    <row r="2052" spans="2:13" x14ac:dyDescent="0.25">
      <c r="B2052" t="s">
        <v>13</v>
      </c>
      <c r="C2052" t="s">
        <v>46</v>
      </c>
      <c r="D2052" t="s">
        <v>69</v>
      </c>
      <c r="E2052">
        <v>2030</v>
      </c>
      <c r="F2052" t="s">
        <v>82</v>
      </c>
      <c r="G2052" t="s">
        <v>17</v>
      </c>
      <c r="H2052" t="s">
        <v>18</v>
      </c>
      <c r="I2052" s="8">
        <v>58488.974699999999</v>
      </c>
      <c r="J2052" s="8">
        <v>25546.580122912499</v>
      </c>
      <c r="K2052" s="8">
        <f>I2052/1000000</f>
        <v>5.8488974700000002E-2</v>
      </c>
      <c r="L2052" s="8">
        <f>J2052/1000000</f>
        <v>2.5546580122912499E-2</v>
      </c>
      <c r="M2052" t="s">
        <v>19</v>
      </c>
    </row>
    <row r="2053" spans="2:13" x14ac:dyDescent="0.25">
      <c r="B2053" t="s">
        <v>13</v>
      </c>
      <c r="C2053" t="s">
        <v>46</v>
      </c>
      <c r="D2053" t="s">
        <v>73</v>
      </c>
      <c r="E2053">
        <v>2026</v>
      </c>
      <c r="F2053" t="s">
        <v>82</v>
      </c>
      <c r="G2053" t="s">
        <v>17</v>
      </c>
      <c r="H2053" t="s">
        <v>18</v>
      </c>
      <c r="I2053" s="8">
        <v>29035.734400000001</v>
      </c>
      <c r="J2053" s="8">
        <v>30900</v>
      </c>
      <c r="K2053" s="8">
        <f>I2053/1000000</f>
        <v>2.9035734400000002E-2</v>
      </c>
      <c r="L2053" s="8">
        <f>J2053/1000000</f>
        <v>3.09E-2</v>
      </c>
      <c r="M2053" t="s">
        <v>19</v>
      </c>
    </row>
    <row r="2054" spans="2:13" x14ac:dyDescent="0.25">
      <c r="B2054" t="s">
        <v>13</v>
      </c>
      <c r="C2054" t="s">
        <v>46</v>
      </c>
      <c r="D2054" t="s">
        <v>73</v>
      </c>
      <c r="E2054">
        <v>2027</v>
      </c>
      <c r="F2054" t="s">
        <v>82</v>
      </c>
      <c r="G2054" t="s">
        <v>17</v>
      </c>
      <c r="H2054" t="s">
        <v>18</v>
      </c>
      <c r="I2054" s="8">
        <v>11493.2327</v>
      </c>
      <c r="J2054" s="8">
        <v>12252.2222716863</v>
      </c>
      <c r="K2054" s="8">
        <f>I2054/1000000</f>
        <v>1.14932327E-2</v>
      </c>
      <c r="L2054" s="8">
        <f>J2054/1000000</f>
        <v>1.22522222716863E-2</v>
      </c>
      <c r="M2054" t="s">
        <v>19</v>
      </c>
    </row>
    <row r="2055" spans="2:13" x14ac:dyDescent="0.25">
      <c r="B2055" t="s">
        <v>13</v>
      </c>
      <c r="C2055" t="s">
        <v>46</v>
      </c>
      <c r="D2055" t="s">
        <v>70</v>
      </c>
      <c r="E2055">
        <v>2027</v>
      </c>
      <c r="F2055" t="s">
        <v>82</v>
      </c>
      <c r="G2055" t="s">
        <v>17</v>
      </c>
      <c r="H2055" t="s">
        <v>18</v>
      </c>
      <c r="I2055" s="8">
        <v>55479.430099999998</v>
      </c>
      <c r="J2055" s="8">
        <v>39714.534725783698</v>
      </c>
      <c r="K2055" s="8">
        <f>I2055/1000000</f>
        <v>5.5479430099999998E-2</v>
      </c>
      <c r="L2055" s="8">
        <f>J2055/1000000</f>
        <v>3.97145347257837E-2</v>
      </c>
      <c r="M2055" t="s">
        <v>19</v>
      </c>
    </row>
    <row r="2056" spans="2:13" x14ac:dyDescent="0.25">
      <c r="B2056" t="s">
        <v>13</v>
      </c>
      <c r="C2056" t="s">
        <v>46</v>
      </c>
      <c r="D2056" t="s">
        <v>15</v>
      </c>
      <c r="E2056">
        <v>2026</v>
      </c>
      <c r="F2056" t="s">
        <v>82</v>
      </c>
      <c r="G2056" t="s">
        <v>17</v>
      </c>
      <c r="H2056" t="s">
        <v>18</v>
      </c>
      <c r="I2056" s="8">
        <v>18768.793300000001</v>
      </c>
      <c r="J2056" s="8">
        <v>4060</v>
      </c>
      <c r="K2056" s="8">
        <f>I2056/1000000</f>
        <v>1.8768793300000003E-2</v>
      </c>
      <c r="L2056" s="8">
        <f>J2056/1000000</f>
        <v>4.0600000000000002E-3</v>
      </c>
      <c r="M2056" t="s">
        <v>19</v>
      </c>
    </row>
    <row r="2057" spans="2:13" x14ac:dyDescent="0.25">
      <c r="B2057" t="s">
        <v>13</v>
      </c>
      <c r="C2057" t="s">
        <v>46</v>
      </c>
      <c r="D2057" t="s">
        <v>15</v>
      </c>
      <c r="E2057">
        <v>2027</v>
      </c>
      <c r="F2057" t="s">
        <v>82</v>
      </c>
      <c r="G2057" t="s">
        <v>17</v>
      </c>
      <c r="H2057" t="s">
        <v>18</v>
      </c>
      <c r="I2057" s="8">
        <v>16954.233700000001</v>
      </c>
      <c r="J2057" s="8">
        <v>3667.4810526316001</v>
      </c>
      <c r="K2057" s="8">
        <f>I2057/1000000</f>
        <v>1.6954233700000002E-2</v>
      </c>
      <c r="L2057" s="8">
        <f>J2057/1000000</f>
        <v>3.6674810526316002E-3</v>
      </c>
      <c r="M2057" t="s">
        <v>19</v>
      </c>
    </row>
    <row r="2058" spans="2:13" x14ac:dyDescent="0.25">
      <c r="B2058" t="s">
        <v>13</v>
      </c>
      <c r="C2058" t="s">
        <v>46</v>
      </c>
      <c r="D2058" t="s">
        <v>15</v>
      </c>
      <c r="E2058">
        <v>2029</v>
      </c>
      <c r="F2058" t="s">
        <v>82</v>
      </c>
      <c r="G2058" t="s">
        <v>17</v>
      </c>
      <c r="H2058" t="s">
        <v>18</v>
      </c>
      <c r="I2058" s="8">
        <v>10481.1898</v>
      </c>
      <c r="J2058" s="8">
        <v>3487.9263157895002</v>
      </c>
      <c r="K2058" s="8">
        <f>I2058/1000000</f>
        <v>1.04811898E-2</v>
      </c>
      <c r="L2058" s="8">
        <f>J2058/1000000</f>
        <v>3.4879263157895002E-3</v>
      </c>
      <c r="M2058" t="s">
        <v>19</v>
      </c>
    </row>
    <row r="2059" spans="2:13" x14ac:dyDescent="0.25">
      <c r="B2059" t="s">
        <v>13</v>
      </c>
      <c r="C2059" t="s">
        <v>46</v>
      </c>
      <c r="D2059" t="s">
        <v>15</v>
      </c>
      <c r="E2059">
        <v>2030</v>
      </c>
      <c r="F2059" t="s">
        <v>82</v>
      </c>
      <c r="G2059" t="s">
        <v>17</v>
      </c>
      <c r="H2059" t="s">
        <v>18</v>
      </c>
      <c r="I2059" s="8">
        <v>9958.2263999999996</v>
      </c>
      <c r="J2059" s="8">
        <v>3313.8947368421</v>
      </c>
      <c r="K2059" s="8">
        <f>I2059/1000000</f>
        <v>9.958226399999999E-3</v>
      </c>
      <c r="L2059" s="8">
        <f>J2059/1000000</f>
        <v>3.3138947368420999E-3</v>
      </c>
      <c r="M2059" t="s">
        <v>19</v>
      </c>
    </row>
    <row r="2060" spans="2:13" x14ac:dyDescent="0.25">
      <c r="B2060" t="s">
        <v>13</v>
      </c>
      <c r="C2060" t="s">
        <v>46</v>
      </c>
      <c r="D2060" t="s">
        <v>100</v>
      </c>
      <c r="E2060">
        <v>2026</v>
      </c>
      <c r="F2060" t="s">
        <v>82</v>
      </c>
      <c r="G2060" t="s">
        <v>17</v>
      </c>
      <c r="H2060" t="s">
        <v>18</v>
      </c>
      <c r="I2060" s="8">
        <v>34501.5</v>
      </c>
      <c r="J2060" s="8">
        <v>33000</v>
      </c>
      <c r="K2060" s="8">
        <f>I2060/1000000</f>
        <v>3.4501499999999997E-2</v>
      </c>
      <c r="L2060" s="8">
        <f>J2060/1000000</f>
        <v>3.3000000000000002E-2</v>
      </c>
      <c r="M2060" t="s">
        <v>19</v>
      </c>
    </row>
    <row r="2061" spans="2:13" x14ac:dyDescent="0.25">
      <c r="B2061" t="s">
        <v>13</v>
      </c>
      <c r="C2061" t="s">
        <v>46</v>
      </c>
      <c r="D2061" t="s">
        <v>100</v>
      </c>
      <c r="E2061">
        <v>2027</v>
      </c>
      <c r="F2061" t="s">
        <v>82</v>
      </c>
      <c r="G2061" t="s">
        <v>17</v>
      </c>
      <c r="H2061" t="s">
        <v>18</v>
      </c>
      <c r="I2061" s="8">
        <v>25619.396799999999</v>
      </c>
      <c r="J2061" s="8">
        <v>24504.4445433726</v>
      </c>
      <c r="K2061" s="8">
        <f>I2061/1000000</f>
        <v>2.5619396799999999E-2</v>
      </c>
      <c r="L2061" s="8">
        <f>J2061/1000000</f>
        <v>2.4504444543372601E-2</v>
      </c>
      <c r="M2061" t="s">
        <v>19</v>
      </c>
    </row>
    <row r="2062" spans="2:13" x14ac:dyDescent="0.25">
      <c r="B2062" t="s">
        <v>13</v>
      </c>
      <c r="C2062" t="s">
        <v>46</v>
      </c>
      <c r="D2062" t="s">
        <v>100</v>
      </c>
      <c r="E2062">
        <v>2028</v>
      </c>
      <c r="F2062" t="s">
        <v>82</v>
      </c>
      <c r="G2062" t="s">
        <v>17</v>
      </c>
      <c r="H2062" t="s">
        <v>18</v>
      </c>
      <c r="I2062" s="8">
        <v>25795.736400000002</v>
      </c>
      <c r="J2062" s="8">
        <v>24923.416838330901</v>
      </c>
      <c r="K2062" s="8">
        <f>I2062/1000000</f>
        <v>2.5795736400000002E-2</v>
      </c>
      <c r="L2062" s="8">
        <f>J2062/1000000</f>
        <v>2.4923416838330902E-2</v>
      </c>
      <c r="M2062" t="s">
        <v>19</v>
      </c>
    </row>
    <row r="2063" spans="2:13" x14ac:dyDescent="0.25">
      <c r="B2063" t="s">
        <v>13</v>
      </c>
      <c r="C2063" t="s">
        <v>46</v>
      </c>
      <c r="D2063" t="s">
        <v>100</v>
      </c>
      <c r="E2063">
        <v>2029</v>
      </c>
      <c r="F2063" t="s">
        <v>82</v>
      </c>
      <c r="G2063" t="s">
        <v>17</v>
      </c>
      <c r="H2063" t="s">
        <v>18</v>
      </c>
      <c r="I2063" s="8">
        <v>26177.6679</v>
      </c>
      <c r="J2063" s="8">
        <v>25292.432771022199</v>
      </c>
      <c r="K2063" s="8">
        <f>I2063/1000000</f>
        <v>2.61776679E-2</v>
      </c>
      <c r="L2063" s="8">
        <f>J2063/1000000</f>
        <v>2.5292432771022198E-2</v>
      </c>
      <c r="M2063" t="s">
        <v>19</v>
      </c>
    </row>
    <row r="2064" spans="2:13" x14ac:dyDescent="0.25">
      <c r="B2064" t="s">
        <v>13</v>
      </c>
      <c r="C2064" t="s">
        <v>46</v>
      </c>
      <c r="D2064" t="s">
        <v>100</v>
      </c>
      <c r="E2064">
        <v>2030</v>
      </c>
      <c r="F2064" t="s">
        <v>82</v>
      </c>
      <c r="G2064" t="s">
        <v>17</v>
      </c>
      <c r="H2064" t="s">
        <v>18</v>
      </c>
      <c r="I2064" s="8">
        <v>26440.7104</v>
      </c>
      <c r="J2064" s="8">
        <v>25546.580122912499</v>
      </c>
      <c r="K2064" s="8">
        <f>I2064/1000000</f>
        <v>2.6440710400000001E-2</v>
      </c>
      <c r="L2064" s="8">
        <f>J2064/1000000</f>
        <v>2.5546580122912499E-2</v>
      </c>
      <c r="M2064" t="s">
        <v>19</v>
      </c>
    </row>
    <row r="2065" spans="2:13" x14ac:dyDescent="0.25">
      <c r="B2065" t="s">
        <v>13</v>
      </c>
      <c r="C2065" t="s">
        <v>46</v>
      </c>
      <c r="D2065" t="s">
        <v>72</v>
      </c>
      <c r="E2065">
        <v>2026</v>
      </c>
      <c r="F2065" t="s">
        <v>82</v>
      </c>
      <c r="G2065" t="s">
        <v>17</v>
      </c>
      <c r="H2065" t="s">
        <v>18</v>
      </c>
      <c r="I2065" s="8">
        <v>39.917999999999999</v>
      </c>
      <c r="J2065" s="8">
        <v>0</v>
      </c>
      <c r="K2065" s="8">
        <f>I2065/1000000</f>
        <v>3.9918E-5</v>
      </c>
      <c r="L2065" s="8">
        <f>J2065/1000000</f>
        <v>0</v>
      </c>
      <c r="M2065" t="s">
        <v>19</v>
      </c>
    </row>
    <row r="2066" spans="2:13" x14ac:dyDescent="0.25">
      <c r="B2066" t="s">
        <v>13</v>
      </c>
      <c r="C2066" t="s">
        <v>46</v>
      </c>
      <c r="D2066" t="s">
        <v>72</v>
      </c>
      <c r="E2066">
        <v>2027</v>
      </c>
      <c r="F2066" t="s">
        <v>82</v>
      </c>
      <c r="G2066" t="s">
        <v>17</v>
      </c>
      <c r="H2066" t="s">
        <v>18</v>
      </c>
      <c r="I2066" s="8">
        <v>51182.893400000001</v>
      </c>
      <c r="J2066" s="8">
        <v>24504.4445433726</v>
      </c>
      <c r="K2066" s="8">
        <f>I2066/1000000</f>
        <v>5.1182893399999999E-2</v>
      </c>
      <c r="L2066" s="8">
        <f>J2066/1000000</f>
        <v>2.4504444543372601E-2</v>
      </c>
      <c r="M2066" t="s">
        <v>19</v>
      </c>
    </row>
    <row r="2067" spans="2:13" x14ac:dyDescent="0.25">
      <c r="B2067" t="s">
        <v>13</v>
      </c>
      <c r="C2067" t="s">
        <v>46</v>
      </c>
      <c r="D2067" t="s">
        <v>72</v>
      </c>
      <c r="E2067">
        <v>2028</v>
      </c>
      <c r="F2067" t="s">
        <v>82</v>
      </c>
      <c r="G2067" t="s">
        <v>17</v>
      </c>
      <c r="H2067" t="s">
        <v>18</v>
      </c>
      <c r="I2067" s="8">
        <v>51801.036699999997</v>
      </c>
      <c r="J2067" s="8">
        <v>24923.416838330901</v>
      </c>
      <c r="K2067" s="8">
        <f>I2067/1000000</f>
        <v>5.1801036699999997E-2</v>
      </c>
      <c r="L2067" s="8">
        <f>J2067/1000000</f>
        <v>2.4923416838330902E-2</v>
      </c>
      <c r="M2067" t="s">
        <v>19</v>
      </c>
    </row>
    <row r="2068" spans="2:13" x14ac:dyDescent="0.25">
      <c r="B2068" t="s">
        <v>13</v>
      </c>
      <c r="C2068" t="s">
        <v>46</v>
      </c>
      <c r="D2068" t="s">
        <v>72</v>
      </c>
      <c r="E2068">
        <v>2029</v>
      </c>
      <c r="F2068" t="s">
        <v>82</v>
      </c>
      <c r="G2068" t="s">
        <v>17</v>
      </c>
      <c r="H2068" t="s">
        <v>18</v>
      </c>
      <c r="I2068" s="8">
        <v>52568.002500000002</v>
      </c>
      <c r="J2068" s="8">
        <v>25292.432771022199</v>
      </c>
      <c r="K2068" s="8">
        <f>I2068/1000000</f>
        <v>5.2568002500000002E-2</v>
      </c>
      <c r="L2068" s="8">
        <f>J2068/1000000</f>
        <v>2.5292432771022198E-2</v>
      </c>
      <c r="M2068" t="s">
        <v>19</v>
      </c>
    </row>
    <row r="2069" spans="2:13" x14ac:dyDescent="0.25">
      <c r="B2069" t="s">
        <v>13</v>
      </c>
      <c r="C2069" t="s">
        <v>46</v>
      </c>
      <c r="D2069" t="s">
        <v>72</v>
      </c>
      <c r="E2069">
        <v>2030</v>
      </c>
      <c r="F2069" t="s">
        <v>82</v>
      </c>
      <c r="G2069" t="s">
        <v>17</v>
      </c>
      <c r="H2069" t="s">
        <v>18</v>
      </c>
      <c r="I2069" s="8">
        <v>53096.224399999999</v>
      </c>
      <c r="J2069" s="8">
        <v>25546.580122912499</v>
      </c>
      <c r="K2069" s="8">
        <f>I2069/1000000</f>
        <v>5.3096224399999996E-2</v>
      </c>
      <c r="L2069" s="8">
        <f>J2069/1000000</f>
        <v>2.5546580122912499E-2</v>
      </c>
      <c r="M2069" t="s">
        <v>19</v>
      </c>
    </row>
    <row r="2070" spans="2:13" x14ac:dyDescent="0.25">
      <c r="B2070" t="s">
        <v>13</v>
      </c>
      <c r="C2070" t="s">
        <v>46</v>
      </c>
      <c r="D2070" t="s">
        <v>102</v>
      </c>
      <c r="E2070">
        <v>2028</v>
      </c>
      <c r="F2070" t="s">
        <v>82</v>
      </c>
      <c r="G2070" t="s">
        <v>17</v>
      </c>
      <c r="H2070" t="s">
        <v>18</v>
      </c>
      <c r="I2070" s="8">
        <v>2870.8851</v>
      </c>
      <c r="J2070" s="8">
        <v>8487.6131093667991</v>
      </c>
      <c r="K2070" s="8">
        <f>I2070/1000000</f>
        <v>2.8708851000000001E-3</v>
      </c>
      <c r="L2070" s="8">
        <f>J2070/1000000</f>
        <v>8.4876131093667984E-3</v>
      </c>
      <c r="M2070" t="s">
        <v>19</v>
      </c>
    </row>
    <row r="2071" spans="2:13" x14ac:dyDescent="0.25">
      <c r="B2071" t="s">
        <v>13</v>
      </c>
      <c r="C2071" t="s">
        <v>46</v>
      </c>
      <c r="D2071" t="s">
        <v>102</v>
      </c>
      <c r="E2071">
        <v>2029</v>
      </c>
      <c r="F2071" t="s">
        <v>82</v>
      </c>
      <c r="G2071" t="s">
        <v>17</v>
      </c>
      <c r="H2071" t="s">
        <v>18</v>
      </c>
      <c r="I2071" s="8">
        <v>2912.9494</v>
      </c>
      <c r="J2071" s="8">
        <v>8611.9740475529998</v>
      </c>
      <c r="K2071" s="8">
        <f>I2071/1000000</f>
        <v>2.9129493999999999E-3</v>
      </c>
      <c r="L2071" s="8">
        <f>J2071/1000000</f>
        <v>8.6119740475529994E-3</v>
      </c>
      <c r="M2071" t="s">
        <v>19</v>
      </c>
    </row>
    <row r="2072" spans="2:13" x14ac:dyDescent="0.25">
      <c r="B2072" t="s">
        <v>13</v>
      </c>
      <c r="C2072" t="s">
        <v>46</v>
      </c>
      <c r="D2072" t="s">
        <v>102</v>
      </c>
      <c r="E2072">
        <v>2030</v>
      </c>
      <c r="F2072" t="s">
        <v>82</v>
      </c>
      <c r="G2072" t="s">
        <v>17</v>
      </c>
      <c r="H2072" t="s">
        <v>18</v>
      </c>
      <c r="I2072" s="8">
        <v>2941.7791000000002</v>
      </c>
      <c r="J2072" s="8">
        <v>8697.2074616300997</v>
      </c>
      <c r="K2072" s="8">
        <f>I2072/1000000</f>
        <v>2.9417791000000003E-3</v>
      </c>
      <c r="L2072" s="8">
        <f>J2072/1000000</f>
        <v>8.6972074616300989E-3</v>
      </c>
      <c r="M2072" t="s">
        <v>19</v>
      </c>
    </row>
    <row r="2073" spans="2:13" x14ac:dyDescent="0.25">
      <c r="B2073" t="s">
        <v>13</v>
      </c>
      <c r="C2073" t="s">
        <v>46</v>
      </c>
      <c r="D2073" t="s">
        <v>102</v>
      </c>
      <c r="E2073">
        <v>2027</v>
      </c>
      <c r="F2073" t="s">
        <v>82</v>
      </c>
      <c r="G2073" t="s">
        <v>17</v>
      </c>
      <c r="H2073" t="s">
        <v>18</v>
      </c>
      <c r="I2073" s="8">
        <v>2818.6111999999998</v>
      </c>
      <c r="J2073" s="8">
        <v>8374.6340560129993</v>
      </c>
      <c r="K2073" s="8">
        <f>I2073/1000000</f>
        <v>2.8186112E-3</v>
      </c>
      <c r="L2073" s="8">
        <f>J2073/1000000</f>
        <v>8.3746340560129987E-3</v>
      </c>
      <c r="M2073" t="s">
        <v>19</v>
      </c>
    </row>
    <row r="2074" spans="2:13" x14ac:dyDescent="0.25">
      <c r="B2074" t="s">
        <v>13</v>
      </c>
      <c r="C2074" t="s">
        <v>46</v>
      </c>
      <c r="D2074" t="s">
        <v>69</v>
      </c>
      <c r="E2074">
        <v>2027</v>
      </c>
      <c r="F2074" t="s">
        <v>82</v>
      </c>
      <c r="G2074" t="s">
        <v>17</v>
      </c>
      <c r="H2074" t="s">
        <v>18</v>
      </c>
      <c r="I2074" s="8">
        <v>36404.602899999998</v>
      </c>
      <c r="J2074" s="8">
        <v>12252.2222716863</v>
      </c>
      <c r="K2074" s="8">
        <f>I2074/1000000</f>
        <v>3.6404602899999999E-2</v>
      </c>
      <c r="L2074" s="8">
        <f>J2074/1000000</f>
        <v>1.22522222716863E-2</v>
      </c>
      <c r="M2074" t="s">
        <v>19</v>
      </c>
    </row>
    <row r="2075" spans="2:13" x14ac:dyDescent="0.25">
      <c r="B2075" t="s">
        <v>13</v>
      </c>
      <c r="C2075" t="s">
        <v>46</v>
      </c>
      <c r="D2075" t="s">
        <v>70</v>
      </c>
      <c r="E2075">
        <v>2026</v>
      </c>
      <c r="F2075" t="s">
        <v>82</v>
      </c>
      <c r="G2075" t="s">
        <v>17</v>
      </c>
      <c r="H2075" t="s">
        <v>18</v>
      </c>
      <c r="I2075" s="8">
        <v>132894.18780000001</v>
      </c>
      <c r="J2075" s="8">
        <v>77000</v>
      </c>
      <c r="K2075" s="8">
        <f>I2075/1000000</f>
        <v>0.13289418780000001</v>
      </c>
      <c r="L2075" s="8">
        <f>J2075/1000000</f>
        <v>7.6999999999999999E-2</v>
      </c>
      <c r="M2075" t="s">
        <v>19</v>
      </c>
    </row>
    <row r="2076" spans="2:13" x14ac:dyDescent="0.25">
      <c r="B2076" t="s">
        <v>13</v>
      </c>
      <c r="C2076" t="s">
        <v>46</v>
      </c>
      <c r="D2076" t="s">
        <v>15</v>
      </c>
      <c r="E2076">
        <v>2028</v>
      </c>
      <c r="F2076" t="s">
        <v>82</v>
      </c>
      <c r="G2076" t="s">
        <v>17</v>
      </c>
      <c r="H2076" t="s">
        <v>18</v>
      </c>
      <c r="I2076" s="8">
        <v>10838.8091</v>
      </c>
      <c r="J2076" s="8">
        <v>3606.9347368420999</v>
      </c>
      <c r="K2076" s="8">
        <f>I2076/1000000</f>
        <v>1.0838809100000001E-2</v>
      </c>
      <c r="L2076" s="8">
        <f>J2076/1000000</f>
        <v>3.6069347368420999E-3</v>
      </c>
      <c r="M2076" t="s">
        <v>19</v>
      </c>
    </row>
    <row r="2077" spans="2:13" x14ac:dyDescent="0.25">
      <c r="B2077" t="s">
        <v>13</v>
      </c>
      <c r="C2077" t="s">
        <v>14</v>
      </c>
      <c r="D2077" t="s">
        <v>52</v>
      </c>
      <c r="E2077">
        <v>2027</v>
      </c>
      <c r="F2077" t="s">
        <v>82</v>
      </c>
      <c r="G2077" t="s">
        <v>17</v>
      </c>
      <c r="H2077" t="s">
        <v>18</v>
      </c>
      <c r="I2077" s="8">
        <v>137574.88329999999</v>
      </c>
      <c r="J2077" s="8">
        <v>130022.51625</v>
      </c>
      <c r="K2077" s="8">
        <f>I2077/1000000</f>
        <v>0.13757488329999998</v>
      </c>
      <c r="L2077" s="8">
        <f>J2077/1000000</f>
        <v>0.13002251625</v>
      </c>
      <c r="M2077" t="s">
        <v>19</v>
      </c>
    </row>
    <row r="2078" spans="2:13" x14ac:dyDescent="0.25">
      <c r="B2078" t="s">
        <v>13</v>
      </c>
      <c r="C2078" t="s">
        <v>14</v>
      </c>
      <c r="D2078" t="s">
        <v>40</v>
      </c>
      <c r="E2078">
        <v>2028</v>
      </c>
      <c r="F2078" t="s">
        <v>43</v>
      </c>
      <c r="G2078" t="s">
        <v>17</v>
      </c>
      <c r="H2078" t="s">
        <v>18</v>
      </c>
      <c r="I2078" s="8">
        <v>9085851.7781000007</v>
      </c>
      <c r="J2078" s="8">
        <v>2567590.3333333302</v>
      </c>
      <c r="K2078" s="8">
        <f>I2078/1000000</f>
        <v>9.0858517781000003</v>
      </c>
      <c r="L2078" s="8">
        <f>J2078/1000000</f>
        <v>2.5675903333333303</v>
      </c>
      <c r="M2078" t="s">
        <v>39</v>
      </c>
    </row>
    <row r="2079" spans="2:13" x14ac:dyDescent="0.25">
      <c r="B2079" t="s">
        <v>13</v>
      </c>
      <c r="C2079" t="s">
        <v>46</v>
      </c>
      <c r="D2079" t="s">
        <v>52</v>
      </c>
      <c r="E2079">
        <v>2026</v>
      </c>
      <c r="F2079" t="s">
        <v>43</v>
      </c>
      <c r="G2079" t="s">
        <v>17</v>
      </c>
      <c r="H2079" t="s">
        <v>18</v>
      </c>
      <c r="I2079" s="8">
        <v>604309.96970000002</v>
      </c>
      <c r="J2079" s="8">
        <v>484000</v>
      </c>
      <c r="K2079" s="8">
        <f>I2079/1000000</f>
        <v>0.60430996970000006</v>
      </c>
      <c r="L2079" s="8">
        <f>J2079/1000000</f>
        <v>0.48399999999999999</v>
      </c>
      <c r="M2079" t="s">
        <v>19</v>
      </c>
    </row>
    <row r="2080" spans="2:13" x14ac:dyDescent="0.25">
      <c r="B2080" t="s">
        <v>13</v>
      </c>
      <c r="C2080" t="s">
        <v>46</v>
      </c>
      <c r="D2080" t="s">
        <v>52</v>
      </c>
      <c r="E2080">
        <v>2027</v>
      </c>
      <c r="F2080" t="s">
        <v>43</v>
      </c>
      <c r="G2080" t="s">
        <v>17</v>
      </c>
      <c r="H2080" t="s">
        <v>18</v>
      </c>
      <c r="I2080" s="8">
        <v>576425.51540000003</v>
      </c>
      <c r="J2080" s="8">
        <v>462708.710231209</v>
      </c>
      <c r="K2080" s="8">
        <f>I2080/1000000</f>
        <v>0.57642551540000009</v>
      </c>
      <c r="L2080" s="8">
        <f>J2080/1000000</f>
        <v>0.46270871023120902</v>
      </c>
      <c r="M2080" t="s">
        <v>19</v>
      </c>
    </row>
    <row r="2081" spans="2:13" x14ac:dyDescent="0.25">
      <c r="B2081" t="s">
        <v>13</v>
      </c>
      <c r="C2081" t="s">
        <v>46</v>
      </c>
      <c r="D2081" t="s">
        <v>52</v>
      </c>
      <c r="E2081">
        <v>2028</v>
      </c>
      <c r="F2081" t="s">
        <v>43</v>
      </c>
      <c r="G2081" t="s">
        <v>17</v>
      </c>
      <c r="H2081" t="s">
        <v>18</v>
      </c>
      <c r="I2081" s="8">
        <v>586507.33279999997</v>
      </c>
      <c r="J2081" s="8">
        <v>475174.65678040398</v>
      </c>
      <c r="K2081" s="8">
        <f>I2081/1000000</f>
        <v>0.5865073328</v>
      </c>
      <c r="L2081" s="8">
        <f>J2081/1000000</f>
        <v>0.47517465678040399</v>
      </c>
      <c r="M2081" t="s">
        <v>19</v>
      </c>
    </row>
    <row r="2082" spans="2:13" x14ac:dyDescent="0.25">
      <c r="B2082" t="s">
        <v>13</v>
      </c>
      <c r="C2082" t="s">
        <v>46</v>
      </c>
      <c r="D2082" t="s">
        <v>52</v>
      </c>
      <c r="E2082">
        <v>2029</v>
      </c>
      <c r="F2082" t="s">
        <v>43</v>
      </c>
      <c r="G2082" t="s">
        <v>17</v>
      </c>
      <c r="H2082" t="s">
        <v>18</v>
      </c>
      <c r="I2082" s="8">
        <v>578146.99659999995</v>
      </c>
      <c r="J2082" s="8">
        <v>462043.93574716599</v>
      </c>
      <c r="K2082" s="8">
        <f>I2082/1000000</f>
        <v>0.57814699659999991</v>
      </c>
      <c r="L2082" s="8">
        <f>J2082/1000000</f>
        <v>0.46204393574716601</v>
      </c>
      <c r="M2082" t="s">
        <v>19</v>
      </c>
    </row>
    <row r="2083" spans="2:13" x14ac:dyDescent="0.25">
      <c r="B2083" t="s">
        <v>13</v>
      </c>
      <c r="C2083" t="s">
        <v>46</v>
      </c>
      <c r="D2083" t="s">
        <v>52</v>
      </c>
      <c r="E2083">
        <v>2030</v>
      </c>
      <c r="F2083" t="s">
        <v>43</v>
      </c>
      <c r="G2083" t="s">
        <v>17</v>
      </c>
      <c r="H2083" t="s">
        <v>18</v>
      </c>
      <c r="I2083" s="8">
        <v>561137.11179999996</v>
      </c>
      <c r="J2083" s="8">
        <v>444368.85829468502</v>
      </c>
      <c r="K2083" s="8">
        <f>I2083/1000000</f>
        <v>0.56113711179999992</v>
      </c>
      <c r="L2083" s="8">
        <f>J2083/1000000</f>
        <v>0.44436885829468503</v>
      </c>
      <c r="M2083" t="s">
        <v>19</v>
      </c>
    </row>
    <row r="2084" spans="2:13" x14ac:dyDescent="0.25">
      <c r="B2084" t="s">
        <v>13</v>
      </c>
      <c r="C2084" t="s">
        <v>46</v>
      </c>
      <c r="D2084" t="s">
        <v>69</v>
      </c>
      <c r="E2084">
        <v>2029</v>
      </c>
      <c r="F2084" t="s">
        <v>43</v>
      </c>
      <c r="G2084" t="s">
        <v>17</v>
      </c>
      <c r="H2084" t="s">
        <v>18</v>
      </c>
      <c r="I2084" s="8">
        <v>2123407.6176</v>
      </c>
      <c r="J2084" s="8">
        <v>929627.48575687699</v>
      </c>
      <c r="K2084" s="8">
        <f>I2084/1000000</f>
        <v>2.1234076175999999</v>
      </c>
      <c r="L2084" s="8">
        <f>J2084/1000000</f>
        <v>0.92962748575687704</v>
      </c>
      <c r="M2084" t="s">
        <v>19</v>
      </c>
    </row>
    <row r="2085" spans="2:13" x14ac:dyDescent="0.25">
      <c r="B2085" t="s">
        <v>13</v>
      </c>
      <c r="C2085" t="s">
        <v>46</v>
      </c>
      <c r="D2085" t="s">
        <v>69</v>
      </c>
      <c r="E2085">
        <v>2030</v>
      </c>
      <c r="F2085" t="s">
        <v>43</v>
      </c>
      <c r="G2085" t="s">
        <v>17</v>
      </c>
      <c r="H2085" t="s">
        <v>18</v>
      </c>
      <c r="I2085" s="8">
        <v>1895227.9393</v>
      </c>
      <c r="J2085" s="8">
        <v>827790.06899987999</v>
      </c>
      <c r="K2085" s="8">
        <f>I2085/1000000</f>
        <v>1.8952279393</v>
      </c>
      <c r="L2085" s="8">
        <f>J2085/1000000</f>
        <v>0.82779006899987995</v>
      </c>
      <c r="M2085" t="s">
        <v>19</v>
      </c>
    </row>
    <row r="2086" spans="2:13" x14ac:dyDescent="0.25">
      <c r="B2086" t="s">
        <v>13</v>
      </c>
      <c r="C2086" t="s">
        <v>46</v>
      </c>
      <c r="D2086" t="s">
        <v>74</v>
      </c>
      <c r="E2086">
        <v>2026</v>
      </c>
      <c r="F2086" t="s">
        <v>43</v>
      </c>
      <c r="G2086" t="s">
        <v>17</v>
      </c>
      <c r="H2086" t="s">
        <v>18</v>
      </c>
      <c r="I2086" s="8">
        <v>386995.08199999999</v>
      </c>
      <c r="J2086" s="8">
        <v>228100</v>
      </c>
      <c r="K2086" s="8">
        <f>I2086/1000000</f>
        <v>0.38699508199999999</v>
      </c>
      <c r="L2086" s="8">
        <f>J2086/1000000</f>
        <v>0.2281</v>
      </c>
      <c r="M2086" t="s">
        <v>19</v>
      </c>
    </row>
    <row r="2087" spans="2:13" x14ac:dyDescent="0.25">
      <c r="B2087" t="s">
        <v>13</v>
      </c>
      <c r="C2087" t="s">
        <v>46</v>
      </c>
      <c r="D2087" t="s">
        <v>74</v>
      </c>
      <c r="E2087">
        <v>2027</v>
      </c>
      <c r="F2087" t="s">
        <v>43</v>
      </c>
      <c r="G2087" t="s">
        <v>17</v>
      </c>
      <c r="H2087" t="s">
        <v>18</v>
      </c>
      <c r="I2087" s="8">
        <v>412287.94219999999</v>
      </c>
      <c r="J2087" s="8">
        <v>248216.640706932</v>
      </c>
      <c r="K2087" s="8">
        <f>I2087/1000000</f>
        <v>0.41228794219999998</v>
      </c>
      <c r="L2087" s="8">
        <f>J2087/1000000</f>
        <v>0.248216640706932</v>
      </c>
      <c r="M2087" t="s">
        <v>19</v>
      </c>
    </row>
    <row r="2088" spans="2:13" x14ac:dyDescent="0.25">
      <c r="B2088" t="s">
        <v>13</v>
      </c>
      <c r="C2088" t="s">
        <v>46</v>
      </c>
      <c r="D2088" t="s">
        <v>74</v>
      </c>
      <c r="E2088">
        <v>2028</v>
      </c>
      <c r="F2088" t="s">
        <v>43</v>
      </c>
      <c r="G2088" t="s">
        <v>17</v>
      </c>
      <c r="H2088" t="s">
        <v>18</v>
      </c>
      <c r="I2088" s="8">
        <v>377799.19890000002</v>
      </c>
      <c r="J2088" s="8">
        <v>246377.42292269299</v>
      </c>
      <c r="K2088" s="8">
        <f>I2088/1000000</f>
        <v>0.37779919890000002</v>
      </c>
      <c r="L2088" s="8">
        <f>J2088/1000000</f>
        <v>0.24637742292269299</v>
      </c>
      <c r="M2088" t="s">
        <v>19</v>
      </c>
    </row>
    <row r="2089" spans="2:13" x14ac:dyDescent="0.25">
      <c r="B2089" t="s">
        <v>13</v>
      </c>
      <c r="C2089" t="s">
        <v>46</v>
      </c>
      <c r="D2089" t="s">
        <v>74</v>
      </c>
      <c r="E2089">
        <v>2029</v>
      </c>
      <c r="F2089" t="s">
        <v>43</v>
      </c>
      <c r="G2089" t="s">
        <v>17</v>
      </c>
      <c r="H2089" t="s">
        <v>18</v>
      </c>
      <c r="I2089" s="8">
        <v>386926.11339999997</v>
      </c>
      <c r="J2089" s="8">
        <v>258876.71755222499</v>
      </c>
      <c r="K2089" s="8">
        <f>I2089/1000000</f>
        <v>0.38692611339999999</v>
      </c>
      <c r="L2089" s="8">
        <f>J2089/1000000</f>
        <v>0.25887671755222497</v>
      </c>
      <c r="M2089" t="s">
        <v>19</v>
      </c>
    </row>
    <row r="2090" spans="2:13" x14ac:dyDescent="0.25">
      <c r="B2090" t="s">
        <v>13</v>
      </c>
      <c r="C2090" t="s">
        <v>46</v>
      </c>
      <c r="D2090" t="s">
        <v>74</v>
      </c>
      <c r="E2090">
        <v>2030</v>
      </c>
      <c r="F2090" t="s">
        <v>43</v>
      </c>
      <c r="G2090" t="s">
        <v>17</v>
      </c>
      <c r="H2090" t="s">
        <v>18</v>
      </c>
      <c r="I2090" s="8">
        <v>383781.22840000002</v>
      </c>
      <c r="J2090" s="8">
        <v>257694.06082341299</v>
      </c>
      <c r="K2090" s="8">
        <f>I2090/1000000</f>
        <v>0.38378122840000001</v>
      </c>
      <c r="L2090" s="8">
        <f>J2090/1000000</f>
        <v>0.25769406082341301</v>
      </c>
      <c r="M2090" t="s">
        <v>19</v>
      </c>
    </row>
    <row r="2091" spans="2:13" x14ac:dyDescent="0.25">
      <c r="B2091" t="s">
        <v>13</v>
      </c>
      <c r="C2091" t="s">
        <v>46</v>
      </c>
      <c r="D2091" t="s">
        <v>73</v>
      </c>
      <c r="E2091">
        <v>2026</v>
      </c>
      <c r="F2091" t="s">
        <v>43</v>
      </c>
      <c r="G2091" t="s">
        <v>17</v>
      </c>
      <c r="H2091" t="s">
        <v>18</v>
      </c>
      <c r="I2091" s="8">
        <v>613207.50490000006</v>
      </c>
      <c r="J2091" s="8">
        <v>642000</v>
      </c>
      <c r="K2091" s="8">
        <f>I2091/1000000</f>
        <v>0.61320750490000009</v>
      </c>
      <c r="L2091" s="8">
        <f>J2091/1000000</f>
        <v>0.64200000000000002</v>
      </c>
      <c r="M2091" t="s">
        <v>19</v>
      </c>
    </row>
    <row r="2092" spans="2:13" x14ac:dyDescent="0.25">
      <c r="B2092" t="s">
        <v>13</v>
      </c>
      <c r="C2092" t="s">
        <v>46</v>
      </c>
      <c r="D2092" t="s">
        <v>73</v>
      </c>
      <c r="E2092">
        <v>2027</v>
      </c>
      <c r="F2092" t="s">
        <v>43</v>
      </c>
      <c r="G2092" t="s">
        <v>17</v>
      </c>
      <c r="H2092" t="s">
        <v>18</v>
      </c>
      <c r="I2092" s="8">
        <v>622183.32279999997</v>
      </c>
      <c r="J2092" s="8">
        <v>653314.01301058603</v>
      </c>
      <c r="K2092" s="8">
        <f>I2092/1000000</f>
        <v>0.62218332279999999</v>
      </c>
      <c r="L2092" s="8">
        <f>J2092/1000000</f>
        <v>0.653314013010586</v>
      </c>
      <c r="M2092" t="s">
        <v>19</v>
      </c>
    </row>
    <row r="2093" spans="2:13" x14ac:dyDescent="0.25">
      <c r="B2093" t="s">
        <v>13</v>
      </c>
      <c r="C2093" t="s">
        <v>46</v>
      </c>
      <c r="D2093" t="s">
        <v>73</v>
      </c>
      <c r="E2093">
        <v>2028</v>
      </c>
      <c r="F2093" t="s">
        <v>43</v>
      </c>
      <c r="G2093" t="s">
        <v>17</v>
      </c>
      <c r="H2093" t="s">
        <v>18</v>
      </c>
      <c r="I2093" s="8">
        <v>337840.57990000001</v>
      </c>
      <c r="J2093" s="8">
        <v>336069.79655148101</v>
      </c>
      <c r="K2093" s="8">
        <f>I2093/1000000</f>
        <v>0.33784057989999999</v>
      </c>
      <c r="L2093" s="8">
        <f>J2093/1000000</f>
        <v>0.336069796551481</v>
      </c>
      <c r="M2093" t="s">
        <v>19</v>
      </c>
    </row>
    <row r="2094" spans="2:13" x14ac:dyDescent="0.25">
      <c r="B2094" t="s">
        <v>13</v>
      </c>
      <c r="C2094" t="s">
        <v>46</v>
      </c>
      <c r="D2094" t="s">
        <v>70</v>
      </c>
      <c r="E2094">
        <v>2027</v>
      </c>
      <c r="F2094" t="s">
        <v>43</v>
      </c>
      <c r="G2094" t="s">
        <v>17</v>
      </c>
      <c r="H2094" t="s">
        <v>18</v>
      </c>
      <c r="I2094" s="8">
        <v>717161.71459999995</v>
      </c>
      <c r="J2094" s="8">
        <v>513374.84515914699</v>
      </c>
      <c r="K2094" s="8">
        <f>I2094/1000000</f>
        <v>0.7171617146</v>
      </c>
      <c r="L2094" s="8">
        <f>J2094/1000000</f>
        <v>0.513374845159147</v>
      </c>
      <c r="M2094" t="s">
        <v>19</v>
      </c>
    </row>
    <row r="2095" spans="2:13" x14ac:dyDescent="0.25">
      <c r="B2095" t="s">
        <v>13</v>
      </c>
      <c r="C2095" t="s">
        <v>46</v>
      </c>
      <c r="D2095" t="s">
        <v>70</v>
      </c>
      <c r="E2095">
        <v>2028</v>
      </c>
      <c r="F2095" t="s">
        <v>43</v>
      </c>
      <c r="G2095" t="s">
        <v>17</v>
      </c>
      <c r="H2095" t="s">
        <v>18</v>
      </c>
      <c r="I2095" s="8">
        <v>367897.16570000001</v>
      </c>
      <c r="J2095" s="8">
        <v>260408.313404199</v>
      </c>
      <c r="K2095" s="8">
        <f>I2095/1000000</f>
        <v>0.36789716570000003</v>
      </c>
      <c r="L2095" s="8">
        <f>J2095/1000000</f>
        <v>0.26040831340419901</v>
      </c>
      <c r="M2095" t="s">
        <v>19</v>
      </c>
    </row>
    <row r="2096" spans="2:13" x14ac:dyDescent="0.25">
      <c r="B2096" t="s">
        <v>13</v>
      </c>
      <c r="C2096" t="s">
        <v>46</v>
      </c>
      <c r="D2096" t="s">
        <v>70</v>
      </c>
      <c r="E2096">
        <v>2026</v>
      </c>
      <c r="F2096" t="s">
        <v>43</v>
      </c>
      <c r="G2096" t="s">
        <v>17</v>
      </c>
      <c r="H2096" t="s">
        <v>18</v>
      </c>
      <c r="I2096" s="8">
        <v>1124471.8544000001</v>
      </c>
      <c r="J2096" s="8">
        <v>651528.36399999994</v>
      </c>
      <c r="K2096" s="8">
        <f>I2096/1000000</f>
        <v>1.1244718544000001</v>
      </c>
      <c r="L2096" s="8">
        <f>J2096/1000000</f>
        <v>0.65152836399999992</v>
      </c>
      <c r="M2096" t="s">
        <v>19</v>
      </c>
    </row>
    <row r="2097" spans="2:13" x14ac:dyDescent="0.25">
      <c r="B2097" t="s">
        <v>13</v>
      </c>
      <c r="C2097" t="s">
        <v>46</v>
      </c>
      <c r="D2097" t="s">
        <v>40</v>
      </c>
      <c r="E2097">
        <v>2029</v>
      </c>
      <c r="F2097" t="s">
        <v>43</v>
      </c>
      <c r="G2097" t="s">
        <v>17</v>
      </c>
      <c r="H2097" t="s">
        <v>18</v>
      </c>
      <c r="I2097" s="8">
        <v>793923.1324</v>
      </c>
      <c r="J2097" s="8">
        <v>224356.440083058</v>
      </c>
      <c r="K2097" s="8">
        <f>I2097/1000000</f>
        <v>0.79392313240000001</v>
      </c>
      <c r="L2097" s="8">
        <f>J2097/1000000</f>
        <v>0.224356440083058</v>
      </c>
      <c r="M2097" t="s">
        <v>39</v>
      </c>
    </row>
    <row r="2098" spans="2:13" x14ac:dyDescent="0.25">
      <c r="B2098" t="s">
        <v>13</v>
      </c>
      <c r="C2098" t="s">
        <v>46</v>
      </c>
      <c r="D2098" t="s">
        <v>40</v>
      </c>
      <c r="E2098">
        <v>2030</v>
      </c>
      <c r="F2098" t="s">
        <v>43</v>
      </c>
      <c r="G2098" t="s">
        <v>17</v>
      </c>
      <c r="H2098" t="s">
        <v>18</v>
      </c>
      <c r="I2098" s="8">
        <v>790297.93850000005</v>
      </c>
      <c r="J2098" s="8">
        <v>223331.98878315801</v>
      </c>
      <c r="K2098" s="8">
        <f>I2098/1000000</f>
        <v>0.79029793850000007</v>
      </c>
      <c r="L2098" s="8">
        <f>J2098/1000000</f>
        <v>0.22333198878315802</v>
      </c>
      <c r="M2098" t="s">
        <v>39</v>
      </c>
    </row>
    <row r="2099" spans="2:13" x14ac:dyDescent="0.25">
      <c r="B2099" t="s">
        <v>13</v>
      </c>
      <c r="C2099" t="s">
        <v>46</v>
      </c>
      <c r="D2099" t="s">
        <v>38</v>
      </c>
      <c r="E2099">
        <v>2026</v>
      </c>
      <c r="F2099" t="s">
        <v>43</v>
      </c>
      <c r="G2099" t="s">
        <v>17</v>
      </c>
      <c r="H2099" t="s">
        <v>18</v>
      </c>
      <c r="I2099" s="8">
        <v>133351.52600000001</v>
      </c>
      <c r="J2099" s="8">
        <v>156000</v>
      </c>
      <c r="K2099" s="8">
        <f>I2099/1000000</f>
        <v>0.13335152600000003</v>
      </c>
      <c r="L2099" s="8">
        <f>J2099/1000000</f>
        <v>0.156</v>
      </c>
      <c r="M2099" t="s">
        <v>39</v>
      </c>
    </row>
    <row r="2100" spans="2:13" x14ac:dyDescent="0.25">
      <c r="B2100" t="s">
        <v>13</v>
      </c>
      <c r="C2100" t="s">
        <v>46</v>
      </c>
      <c r="D2100" t="s">
        <v>38</v>
      </c>
      <c r="E2100">
        <v>2027</v>
      </c>
      <c r="F2100" t="s">
        <v>43</v>
      </c>
      <c r="G2100" t="s">
        <v>17</v>
      </c>
      <c r="H2100" t="s">
        <v>18</v>
      </c>
      <c r="I2100" s="8">
        <v>191215.5183</v>
      </c>
      <c r="J2100" s="8">
        <v>214543.16094322299</v>
      </c>
      <c r="K2100" s="8">
        <f>I2100/1000000</f>
        <v>0.1912155183</v>
      </c>
      <c r="L2100" s="8">
        <f>J2100/1000000</f>
        <v>0.21454316094322298</v>
      </c>
      <c r="M2100" t="s">
        <v>39</v>
      </c>
    </row>
    <row r="2101" spans="2:13" x14ac:dyDescent="0.25">
      <c r="B2101" t="s">
        <v>13</v>
      </c>
      <c r="C2101" t="s">
        <v>46</v>
      </c>
      <c r="D2101" t="s">
        <v>15</v>
      </c>
      <c r="E2101">
        <v>2026</v>
      </c>
      <c r="F2101" t="s">
        <v>43</v>
      </c>
      <c r="G2101" t="s">
        <v>17</v>
      </c>
      <c r="H2101" t="s">
        <v>18</v>
      </c>
      <c r="I2101" s="8">
        <v>440312.41489999997</v>
      </c>
      <c r="J2101" s="8">
        <v>83000</v>
      </c>
      <c r="K2101" s="8">
        <f>I2101/1000000</f>
        <v>0.44031241489999995</v>
      </c>
      <c r="L2101" s="8">
        <f>J2101/1000000</f>
        <v>8.3000000000000004E-2</v>
      </c>
      <c r="M2101" t="s">
        <v>19</v>
      </c>
    </row>
    <row r="2102" spans="2:13" x14ac:dyDescent="0.25">
      <c r="B2102" t="s">
        <v>13</v>
      </c>
      <c r="C2102" t="s">
        <v>46</v>
      </c>
      <c r="D2102" t="s">
        <v>15</v>
      </c>
      <c r="E2102">
        <v>2027</v>
      </c>
      <c r="F2102" t="s">
        <v>43</v>
      </c>
      <c r="G2102" t="s">
        <v>17</v>
      </c>
      <c r="H2102" t="s">
        <v>18</v>
      </c>
      <c r="I2102" s="8">
        <v>354026.04629999999</v>
      </c>
      <c r="J2102" s="8">
        <v>66735.188210526307</v>
      </c>
      <c r="K2102" s="8">
        <f>I2102/1000000</f>
        <v>0.35402604630000001</v>
      </c>
      <c r="L2102" s="8">
        <f>J2102/1000000</f>
        <v>6.6735188210526306E-2</v>
      </c>
      <c r="M2102" t="s">
        <v>19</v>
      </c>
    </row>
    <row r="2103" spans="2:13" x14ac:dyDescent="0.25">
      <c r="B2103" t="s">
        <v>13</v>
      </c>
      <c r="C2103" t="s">
        <v>46</v>
      </c>
      <c r="D2103" t="s">
        <v>15</v>
      </c>
      <c r="E2103">
        <v>2029</v>
      </c>
      <c r="F2103" t="s">
        <v>43</v>
      </c>
      <c r="G2103" t="s">
        <v>17</v>
      </c>
      <c r="H2103" t="s">
        <v>18</v>
      </c>
      <c r="I2103" s="8">
        <v>230231.79550000001</v>
      </c>
      <c r="J2103" s="8">
        <v>76616.448318206501</v>
      </c>
      <c r="K2103" s="8">
        <f>I2103/1000000</f>
        <v>0.2302317955</v>
      </c>
      <c r="L2103" s="8">
        <f>J2103/1000000</f>
        <v>7.6616448318206506E-2</v>
      </c>
      <c r="M2103" t="s">
        <v>19</v>
      </c>
    </row>
    <row r="2104" spans="2:13" x14ac:dyDescent="0.25">
      <c r="B2104" t="s">
        <v>13</v>
      </c>
      <c r="C2104" t="s">
        <v>46</v>
      </c>
      <c r="D2104" t="s">
        <v>15</v>
      </c>
      <c r="E2104">
        <v>2030</v>
      </c>
      <c r="F2104" t="s">
        <v>43</v>
      </c>
      <c r="G2104" t="s">
        <v>17</v>
      </c>
      <c r="H2104" t="s">
        <v>18</v>
      </c>
      <c r="I2104" s="8">
        <v>248366.74729999999</v>
      </c>
      <c r="J2104" s="8">
        <v>82651.390601277904</v>
      </c>
      <c r="K2104" s="8">
        <f>I2104/1000000</f>
        <v>0.2483667473</v>
      </c>
      <c r="L2104" s="8">
        <f>J2104/1000000</f>
        <v>8.2651390601277908E-2</v>
      </c>
      <c r="M2104" t="s">
        <v>19</v>
      </c>
    </row>
    <row r="2105" spans="2:13" x14ac:dyDescent="0.25">
      <c r="B2105" t="s">
        <v>13</v>
      </c>
      <c r="C2105" t="s">
        <v>46</v>
      </c>
      <c r="D2105" t="s">
        <v>100</v>
      </c>
      <c r="E2105">
        <v>2026</v>
      </c>
      <c r="F2105" t="s">
        <v>43</v>
      </c>
      <c r="G2105" t="s">
        <v>17</v>
      </c>
      <c r="H2105" t="s">
        <v>18</v>
      </c>
      <c r="I2105" s="8">
        <v>1023703.0939</v>
      </c>
      <c r="J2105" s="8">
        <v>480800</v>
      </c>
      <c r="K2105" s="8">
        <f>I2105/1000000</f>
        <v>1.0237030939</v>
      </c>
      <c r="L2105" s="8">
        <f>J2105/1000000</f>
        <v>0.48080000000000001</v>
      </c>
      <c r="M2105" t="s">
        <v>19</v>
      </c>
    </row>
    <row r="2106" spans="2:13" x14ac:dyDescent="0.25">
      <c r="B2106" t="s">
        <v>13</v>
      </c>
      <c r="C2106" t="s">
        <v>46</v>
      </c>
      <c r="D2106" t="s">
        <v>100</v>
      </c>
      <c r="E2106">
        <v>2029</v>
      </c>
      <c r="F2106" t="s">
        <v>43</v>
      </c>
      <c r="G2106" t="s">
        <v>17</v>
      </c>
      <c r="H2106" t="s">
        <v>18</v>
      </c>
      <c r="I2106" s="8">
        <v>1141110.3204999999</v>
      </c>
      <c r="J2106" s="8">
        <v>503004.35171440901</v>
      </c>
      <c r="K2106" s="8">
        <f>I2106/1000000</f>
        <v>1.1411103204999999</v>
      </c>
      <c r="L2106" s="8">
        <f>J2106/1000000</f>
        <v>0.50300435171440905</v>
      </c>
      <c r="M2106" t="s">
        <v>19</v>
      </c>
    </row>
    <row r="2107" spans="2:13" x14ac:dyDescent="0.25">
      <c r="B2107" t="s">
        <v>13</v>
      </c>
      <c r="C2107" t="s">
        <v>46</v>
      </c>
      <c r="D2107" t="s">
        <v>100</v>
      </c>
      <c r="E2107">
        <v>2030</v>
      </c>
      <c r="F2107" t="s">
        <v>43</v>
      </c>
      <c r="G2107" t="s">
        <v>17</v>
      </c>
      <c r="H2107" t="s">
        <v>18</v>
      </c>
      <c r="I2107" s="8">
        <v>1133945.6532999999</v>
      </c>
      <c r="J2107" s="8">
        <v>504292.01225518598</v>
      </c>
      <c r="K2107" s="8">
        <f>I2107/1000000</f>
        <v>1.1339456532999999</v>
      </c>
      <c r="L2107" s="8">
        <f>J2107/1000000</f>
        <v>0.50429201225518594</v>
      </c>
      <c r="M2107" t="s">
        <v>19</v>
      </c>
    </row>
    <row r="2108" spans="2:13" x14ac:dyDescent="0.25">
      <c r="B2108" t="s">
        <v>13</v>
      </c>
      <c r="C2108" t="s">
        <v>46</v>
      </c>
      <c r="D2108" t="s">
        <v>100</v>
      </c>
      <c r="E2108">
        <v>2027</v>
      </c>
      <c r="F2108" t="s">
        <v>43</v>
      </c>
      <c r="G2108" t="s">
        <v>17</v>
      </c>
      <c r="H2108" t="s">
        <v>18</v>
      </c>
      <c r="I2108" s="8">
        <v>1055619.159</v>
      </c>
      <c r="J2108" s="8">
        <v>491176.14751163998</v>
      </c>
      <c r="K2108" s="8">
        <f>I2108/1000000</f>
        <v>1.0556191589999999</v>
      </c>
      <c r="L2108" s="8">
        <f>J2108/1000000</f>
        <v>0.49117614751163996</v>
      </c>
      <c r="M2108" t="s">
        <v>19</v>
      </c>
    </row>
    <row r="2109" spans="2:13" x14ac:dyDescent="0.25">
      <c r="B2109" t="s">
        <v>13</v>
      </c>
      <c r="C2109" t="s">
        <v>46</v>
      </c>
      <c r="D2109" t="s">
        <v>100</v>
      </c>
      <c r="E2109">
        <v>2028</v>
      </c>
      <c r="F2109" t="s">
        <v>43</v>
      </c>
      <c r="G2109" t="s">
        <v>17</v>
      </c>
      <c r="H2109" t="s">
        <v>18</v>
      </c>
      <c r="I2109" s="8">
        <v>1061111.4227</v>
      </c>
      <c r="J2109" s="8">
        <v>498504.52252644999</v>
      </c>
      <c r="K2109" s="8">
        <f>I2109/1000000</f>
        <v>1.0611114227</v>
      </c>
      <c r="L2109" s="8">
        <f>J2109/1000000</f>
        <v>0.49850452252645</v>
      </c>
      <c r="M2109" t="s">
        <v>19</v>
      </c>
    </row>
    <row r="2110" spans="2:13" x14ac:dyDescent="0.25">
      <c r="B2110" t="s">
        <v>13</v>
      </c>
      <c r="C2110" t="s">
        <v>46</v>
      </c>
      <c r="D2110" t="s">
        <v>72</v>
      </c>
      <c r="E2110">
        <v>2030</v>
      </c>
      <c r="F2110" t="s">
        <v>43</v>
      </c>
      <c r="G2110" t="s">
        <v>17</v>
      </c>
      <c r="H2110" t="s">
        <v>18</v>
      </c>
      <c r="I2110" s="8">
        <v>1705987.4722</v>
      </c>
      <c r="J2110" s="8">
        <v>794342.96283329302</v>
      </c>
      <c r="K2110" s="8">
        <f>I2110/1000000</f>
        <v>1.7059874721999999</v>
      </c>
      <c r="L2110" s="8">
        <f>J2110/1000000</f>
        <v>0.79434296283329298</v>
      </c>
      <c r="M2110" t="s">
        <v>19</v>
      </c>
    </row>
    <row r="2111" spans="2:13" x14ac:dyDescent="0.25">
      <c r="B2111" t="s">
        <v>13</v>
      </c>
      <c r="C2111" t="s">
        <v>46</v>
      </c>
      <c r="D2111" t="s">
        <v>72</v>
      </c>
      <c r="E2111">
        <v>2026</v>
      </c>
      <c r="F2111" t="s">
        <v>43</v>
      </c>
      <c r="G2111" t="s">
        <v>17</v>
      </c>
      <c r="H2111" t="s">
        <v>18</v>
      </c>
      <c r="I2111" s="8">
        <v>2204575.8511000001</v>
      </c>
      <c r="J2111" s="8">
        <v>772200</v>
      </c>
      <c r="K2111" s="8">
        <f>I2111/1000000</f>
        <v>2.2045758511</v>
      </c>
      <c r="L2111" s="8">
        <f>J2111/1000000</f>
        <v>0.7722</v>
      </c>
      <c r="M2111" t="s">
        <v>19</v>
      </c>
    </row>
    <row r="2112" spans="2:13" x14ac:dyDescent="0.25">
      <c r="B2112" t="s">
        <v>13</v>
      </c>
      <c r="C2112" t="s">
        <v>46</v>
      </c>
      <c r="D2112" t="s">
        <v>72</v>
      </c>
      <c r="E2112">
        <v>2027</v>
      </c>
      <c r="F2112" t="s">
        <v>43</v>
      </c>
      <c r="G2112" t="s">
        <v>17</v>
      </c>
      <c r="H2112" t="s">
        <v>18</v>
      </c>
      <c r="I2112" s="8">
        <v>1931802.1949</v>
      </c>
      <c r="J2112" s="8">
        <v>786889.74590066099</v>
      </c>
      <c r="K2112" s="8">
        <f>I2112/1000000</f>
        <v>1.9318021948999999</v>
      </c>
      <c r="L2112" s="8">
        <f>J2112/1000000</f>
        <v>0.78688974590066096</v>
      </c>
      <c r="M2112" t="s">
        <v>19</v>
      </c>
    </row>
    <row r="2113" spans="2:13" x14ac:dyDescent="0.25">
      <c r="B2113" t="s">
        <v>13</v>
      </c>
      <c r="C2113" t="s">
        <v>46</v>
      </c>
      <c r="D2113" t="s">
        <v>72</v>
      </c>
      <c r="E2113">
        <v>2028</v>
      </c>
      <c r="F2113" t="s">
        <v>43</v>
      </c>
      <c r="G2113" t="s">
        <v>17</v>
      </c>
      <c r="H2113" t="s">
        <v>18</v>
      </c>
      <c r="I2113" s="8">
        <v>1954421.3496999999</v>
      </c>
      <c r="J2113" s="8">
        <v>801611.43666034797</v>
      </c>
      <c r="K2113" s="8">
        <f>I2113/1000000</f>
        <v>1.9544213496999998</v>
      </c>
      <c r="L2113" s="8">
        <f>J2113/1000000</f>
        <v>0.80161143666034795</v>
      </c>
      <c r="M2113" t="s">
        <v>19</v>
      </c>
    </row>
    <row r="2114" spans="2:13" x14ac:dyDescent="0.25">
      <c r="B2114" t="s">
        <v>13</v>
      </c>
      <c r="C2114" t="s">
        <v>46</v>
      </c>
      <c r="D2114" t="s">
        <v>76</v>
      </c>
      <c r="E2114">
        <v>2027</v>
      </c>
      <c r="F2114" t="s">
        <v>43</v>
      </c>
      <c r="G2114" t="s">
        <v>17</v>
      </c>
      <c r="H2114" t="s">
        <v>18</v>
      </c>
      <c r="I2114" s="8">
        <v>2619658.4824999999</v>
      </c>
      <c r="J2114" s="8">
        <v>809230.34373398696</v>
      </c>
      <c r="K2114" s="8">
        <f>I2114/1000000</f>
        <v>2.6196584824999998</v>
      </c>
      <c r="L2114" s="8">
        <f>J2114/1000000</f>
        <v>0.80923034373398695</v>
      </c>
      <c r="M2114" t="s">
        <v>39</v>
      </c>
    </row>
    <row r="2115" spans="2:13" x14ac:dyDescent="0.25">
      <c r="B2115" t="s">
        <v>13</v>
      </c>
      <c r="C2115" t="s">
        <v>46</v>
      </c>
      <c r="D2115" t="s">
        <v>76</v>
      </c>
      <c r="E2115">
        <v>2028</v>
      </c>
      <c r="F2115" t="s">
        <v>43</v>
      </c>
      <c r="G2115" t="s">
        <v>17</v>
      </c>
      <c r="H2115" t="s">
        <v>18</v>
      </c>
      <c r="I2115" s="8">
        <v>2469037.7327000001</v>
      </c>
      <c r="J2115" s="8">
        <v>774234.74007528403</v>
      </c>
      <c r="K2115" s="8">
        <f>I2115/1000000</f>
        <v>2.4690377326999999</v>
      </c>
      <c r="L2115" s="8">
        <f>J2115/1000000</f>
        <v>0.77423474007528403</v>
      </c>
      <c r="M2115" t="s">
        <v>39</v>
      </c>
    </row>
    <row r="2116" spans="2:13" x14ac:dyDescent="0.25">
      <c r="B2116" t="s">
        <v>13</v>
      </c>
      <c r="C2116" t="s">
        <v>46</v>
      </c>
      <c r="D2116" t="s">
        <v>76</v>
      </c>
      <c r="E2116">
        <v>2029</v>
      </c>
      <c r="F2116" t="s">
        <v>43</v>
      </c>
      <c r="G2116" t="s">
        <v>17</v>
      </c>
      <c r="H2116" t="s">
        <v>18</v>
      </c>
      <c r="I2116" s="8">
        <v>2303322.33</v>
      </c>
      <c r="J2116" s="8">
        <v>722270.11430913699</v>
      </c>
      <c r="K2116" s="8">
        <f>I2116/1000000</f>
        <v>2.3033223299999999</v>
      </c>
      <c r="L2116" s="8">
        <f>J2116/1000000</f>
        <v>0.72227011430913701</v>
      </c>
      <c r="M2116" t="s">
        <v>39</v>
      </c>
    </row>
    <row r="2117" spans="2:13" x14ac:dyDescent="0.25">
      <c r="B2117" t="s">
        <v>13</v>
      </c>
      <c r="C2117" t="s">
        <v>46</v>
      </c>
      <c r="D2117" t="s">
        <v>76</v>
      </c>
      <c r="E2117">
        <v>2030</v>
      </c>
      <c r="F2117" t="s">
        <v>43</v>
      </c>
      <c r="G2117" t="s">
        <v>17</v>
      </c>
      <c r="H2117" t="s">
        <v>18</v>
      </c>
      <c r="I2117" s="8">
        <v>2329633.5743999998</v>
      </c>
      <c r="J2117" s="8">
        <v>730520.72919721401</v>
      </c>
      <c r="K2117" s="8">
        <f>I2117/1000000</f>
        <v>2.3296335743999999</v>
      </c>
      <c r="L2117" s="8">
        <f>J2117/1000000</f>
        <v>0.730520729197214</v>
      </c>
      <c r="M2117" t="s">
        <v>39</v>
      </c>
    </row>
    <row r="2118" spans="2:13" x14ac:dyDescent="0.25">
      <c r="B2118" t="s">
        <v>13</v>
      </c>
      <c r="C2118" t="s">
        <v>46</v>
      </c>
      <c r="D2118" t="s">
        <v>76</v>
      </c>
      <c r="E2118">
        <v>2026</v>
      </c>
      <c r="F2118" t="s">
        <v>43</v>
      </c>
      <c r="G2118" t="s">
        <v>17</v>
      </c>
      <c r="H2118" t="s">
        <v>18</v>
      </c>
      <c r="I2118" s="8">
        <v>2533422.6900999998</v>
      </c>
      <c r="J2118" s="8">
        <v>602400</v>
      </c>
      <c r="K2118" s="8">
        <f>I2118/1000000</f>
        <v>2.5334226900999997</v>
      </c>
      <c r="L2118" s="8">
        <f>J2118/1000000</f>
        <v>0.60240000000000005</v>
      </c>
      <c r="M2118" t="s">
        <v>39</v>
      </c>
    </row>
    <row r="2119" spans="2:13" x14ac:dyDescent="0.25">
      <c r="B2119" t="s">
        <v>13</v>
      </c>
      <c r="C2119" t="s">
        <v>46</v>
      </c>
      <c r="D2119" t="s">
        <v>102</v>
      </c>
      <c r="E2119">
        <v>2029</v>
      </c>
      <c r="F2119" t="s">
        <v>43</v>
      </c>
      <c r="G2119" t="s">
        <v>17</v>
      </c>
      <c r="H2119" t="s">
        <v>18</v>
      </c>
      <c r="I2119" s="8">
        <v>35016.6368</v>
      </c>
      <c r="J2119" s="8">
        <v>103524.751265393</v>
      </c>
      <c r="K2119" s="8">
        <f>I2119/1000000</f>
        <v>3.5016636800000001E-2</v>
      </c>
      <c r="L2119" s="8">
        <f>J2119/1000000</f>
        <v>0.103524751265393</v>
      </c>
      <c r="M2119" t="s">
        <v>19</v>
      </c>
    </row>
    <row r="2120" spans="2:13" x14ac:dyDescent="0.25">
      <c r="B2120" t="s">
        <v>13</v>
      </c>
      <c r="C2120" t="s">
        <v>46</v>
      </c>
      <c r="D2120" t="s">
        <v>102</v>
      </c>
      <c r="E2120">
        <v>2030</v>
      </c>
      <c r="F2120" t="s">
        <v>43</v>
      </c>
      <c r="G2120" t="s">
        <v>17</v>
      </c>
      <c r="H2120" t="s">
        <v>18</v>
      </c>
      <c r="I2120" s="8">
        <v>29244.266299999999</v>
      </c>
      <c r="J2120" s="8">
        <v>86459.056916617803</v>
      </c>
      <c r="K2120" s="8">
        <f>I2120/1000000</f>
        <v>2.9244266299999998E-2</v>
      </c>
      <c r="L2120" s="8">
        <f>J2120/1000000</f>
        <v>8.6459056916617802E-2</v>
      </c>
      <c r="M2120" t="s">
        <v>19</v>
      </c>
    </row>
    <row r="2121" spans="2:13" x14ac:dyDescent="0.25">
      <c r="B2121" t="s">
        <v>13</v>
      </c>
      <c r="C2121" t="s">
        <v>46</v>
      </c>
      <c r="D2121" t="s">
        <v>69</v>
      </c>
      <c r="E2121">
        <v>2028</v>
      </c>
      <c r="F2121" t="s">
        <v>43</v>
      </c>
      <c r="G2121" t="s">
        <v>17</v>
      </c>
      <c r="H2121" t="s">
        <v>18</v>
      </c>
      <c r="I2121" s="8">
        <v>1032980.0619</v>
      </c>
      <c r="J2121" s="8">
        <v>394387.36990399001</v>
      </c>
      <c r="K2121" s="8">
        <f>I2121/1000000</f>
        <v>1.0329800619</v>
      </c>
      <c r="L2121" s="8">
        <f>J2121/1000000</f>
        <v>0.39438736990398998</v>
      </c>
      <c r="M2121" t="s">
        <v>19</v>
      </c>
    </row>
    <row r="2122" spans="2:13" x14ac:dyDescent="0.25">
      <c r="B2122" t="s">
        <v>13</v>
      </c>
      <c r="C2122" t="s">
        <v>46</v>
      </c>
      <c r="D2122" t="s">
        <v>40</v>
      </c>
      <c r="E2122">
        <v>2028</v>
      </c>
      <c r="F2122" t="s">
        <v>43</v>
      </c>
      <c r="G2122" t="s">
        <v>17</v>
      </c>
      <c r="H2122" t="s">
        <v>18</v>
      </c>
      <c r="I2122" s="8">
        <v>823315.24049999996</v>
      </c>
      <c r="J2122" s="8">
        <v>232662.41893401201</v>
      </c>
      <c r="K2122" s="8">
        <f>I2122/1000000</f>
        <v>0.82331524049999993</v>
      </c>
      <c r="L2122" s="8">
        <f>J2122/1000000</f>
        <v>0.23266241893401202</v>
      </c>
      <c r="M2122" t="s">
        <v>39</v>
      </c>
    </row>
    <row r="2123" spans="2:13" x14ac:dyDescent="0.25">
      <c r="B2123" t="s">
        <v>13</v>
      </c>
      <c r="C2123" t="s">
        <v>46</v>
      </c>
      <c r="D2123" t="s">
        <v>72</v>
      </c>
      <c r="E2123">
        <v>2029</v>
      </c>
      <c r="F2123" t="s">
        <v>43</v>
      </c>
      <c r="G2123" t="s">
        <v>17</v>
      </c>
      <c r="H2123" t="s">
        <v>18</v>
      </c>
      <c r="I2123" s="8">
        <v>1705459.8339</v>
      </c>
      <c r="J2123" s="8">
        <v>794097.28354731598</v>
      </c>
      <c r="K2123" s="8">
        <f>I2123/1000000</f>
        <v>1.7054598339</v>
      </c>
      <c r="L2123" s="8">
        <f>J2123/1000000</f>
        <v>0.79409728354731601</v>
      </c>
      <c r="M2123" t="s">
        <v>19</v>
      </c>
    </row>
    <row r="2124" spans="2:13" x14ac:dyDescent="0.25">
      <c r="B2124" t="s">
        <v>13</v>
      </c>
      <c r="C2124" t="s">
        <v>46</v>
      </c>
      <c r="D2124" t="s">
        <v>15</v>
      </c>
      <c r="E2124">
        <v>2028</v>
      </c>
      <c r="F2124" t="s">
        <v>43</v>
      </c>
      <c r="G2124" t="s">
        <v>17</v>
      </c>
      <c r="H2124" t="s">
        <v>18</v>
      </c>
      <c r="I2124" s="8">
        <v>223868.90479999999</v>
      </c>
      <c r="J2124" s="8">
        <v>74499.008000000002</v>
      </c>
      <c r="K2124" s="8">
        <f>I2124/1000000</f>
        <v>0.22386890479999999</v>
      </c>
      <c r="L2124" s="8">
        <f>J2124/1000000</f>
        <v>7.4499008000000005E-2</v>
      </c>
      <c r="M2124" t="s">
        <v>19</v>
      </c>
    </row>
    <row r="2125" spans="2:13" x14ac:dyDescent="0.25">
      <c r="B2125" t="s">
        <v>13</v>
      </c>
      <c r="C2125" t="s">
        <v>46</v>
      </c>
      <c r="D2125" t="s">
        <v>102</v>
      </c>
      <c r="E2125">
        <v>2028</v>
      </c>
      <c r="F2125" t="s">
        <v>43</v>
      </c>
      <c r="G2125" t="s">
        <v>17</v>
      </c>
      <c r="H2125" t="s">
        <v>18</v>
      </c>
      <c r="I2125" s="8">
        <v>2905.0016000000001</v>
      </c>
      <c r="J2125" s="8">
        <v>8588.4766182627009</v>
      </c>
      <c r="K2125" s="8">
        <f>I2125/1000000</f>
        <v>2.9050016000000001E-3</v>
      </c>
      <c r="L2125" s="8">
        <f>J2125/1000000</f>
        <v>8.5884766182627009E-3</v>
      </c>
      <c r="M2125" t="s">
        <v>19</v>
      </c>
    </row>
    <row r="2126" spans="2:13" x14ac:dyDescent="0.25">
      <c r="B2126" t="s">
        <v>13</v>
      </c>
      <c r="C2126" t="s">
        <v>46</v>
      </c>
      <c r="D2126" t="s">
        <v>101</v>
      </c>
      <c r="E2126">
        <v>2029</v>
      </c>
      <c r="F2126" t="s">
        <v>43</v>
      </c>
      <c r="G2126" t="s">
        <v>17</v>
      </c>
      <c r="H2126" t="s">
        <v>18</v>
      </c>
      <c r="I2126" s="8">
        <v>109467.6832</v>
      </c>
      <c r="J2126" s="8">
        <v>99835.146403199702</v>
      </c>
      <c r="K2126" s="8">
        <f>I2126/1000000</f>
        <v>0.1094676832</v>
      </c>
      <c r="L2126" s="8">
        <f>J2126/1000000</f>
        <v>9.9835146403199695E-2</v>
      </c>
      <c r="M2126" t="s">
        <v>39</v>
      </c>
    </row>
    <row r="2127" spans="2:13" x14ac:dyDescent="0.25">
      <c r="B2127" t="s">
        <v>13</v>
      </c>
      <c r="C2127" t="s">
        <v>14</v>
      </c>
      <c r="D2127" t="s">
        <v>101</v>
      </c>
      <c r="E2127">
        <v>2029</v>
      </c>
      <c r="F2127" t="s">
        <v>43</v>
      </c>
      <c r="G2127" t="s">
        <v>17</v>
      </c>
      <c r="H2127" t="s">
        <v>18</v>
      </c>
      <c r="I2127" s="8">
        <v>4471538.8858000003</v>
      </c>
      <c r="J2127" s="8">
        <v>3994415.0865000002</v>
      </c>
      <c r="K2127" s="8">
        <f>I2127/1000000</f>
        <v>4.4715388858000003</v>
      </c>
      <c r="L2127" s="8">
        <f>J2127/1000000</f>
        <v>3.9944150865000001</v>
      </c>
      <c r="M2127" t="s">
        <v>39</v>
      </c>
    </row>
    <row r="2128" spans="2:13" x14ac:dyDescent="0.25">
      <c r="B2128" t="s">
        <v>13</v>
      </c>
      <c r="C2128" t="s">
        <v>14</v>
      </c>
      <c r="D2128" t="s">
        <v>52</v>
      </c>
      <c r="E2128">
        <v>2028</v>
      </c>
      <c r="F2128" t="s">
        <v>43</v>
      </c>
      <c r="G2128" t="s">
        <v>17</v>
      </c>
      <c r="H2128" t="s">
        <v>18</v>
      </c>
      <c r="I2128" s="8">
        <v>1236417.7476999999</v>
      </c>
      <c r="J2128" s="8">
        <v>1122431.67196875</v>
      </c>
      <c r="K2128" s="8">
        <f>I2128/1000000</f>
        <v>1.2364177477</v>
      </c>
      <c r="L2128" s="8">
        <f>J2128/1000000</f>
        <v>1.1224316719687499</v>
      </c>
      <c r="M2128" t="s">
        <v>19</v>
      </c>
    </row>
    <row r="2129" spans="2:13" x14ac:dyDescent="0.25">
      <c r="B2129" t="s">
        <v>13</v>
      </c>
      <c r="C2129" t="s">
        <v>46</v>
      </c>
      <c r="D2129" t="s">
        <v>101</v>
      </c>
      <c r="E2129">
        <v>2030</v>
      </c>
      <c r="F2129" t="s">
        <v>43</v>
      </c>
      <c r="G2129" t="s">
        <v>17</v>
      </c>
      <c r="H2129" t="s">
        <v>18</v>
      </c>
      <c r="I2129" s="8">
        <v>223580.39550000001</v>
      </c>
      <c r="J2129" s="8">
        <v>203906.58554052701</v>
      </c>
      <c r="K2129" s="8">
        <f>I2129/1000000</f>
        <v>0.2235803955</v>
      </c>
      <c r="L2129" s="8">
        <f>J2129/1000000</f>
        <v>0.20390658554052701</v>
      </c>
      <c r="M2129" t="s">
        <v>39</v>
      </c>
    </row>
    <row r="2130" spans="2:13" x14ac:dyDescent="0.25">
      <c r="B2130" t="s">
        <v>13</v>
      </c>
      <c r="C2130" t="s">
        <v>46</v>
      </c>
      <c r="D2130" t="s">
        <v>52</v>
      </c>
      <c r="E2130">
        <v>2026</v>
      </c>
      <c r="F2130" t="s">
        <v>57</v>
      </c>
      <c r="G2130" t="s">
        <v>17</v>
      </c>
      <c r="H2130" t="s">
        <v>18</v>
      </c>
      <c r="I2130" s="8">
        <v>2317172.9186999998</v>
      </c>
      <c r="J2130" s="8">
        <v>2303500</v>
      </c>
      <c r="K2130" s="8">
        <f>I2130/1000000</f>
        <v>2.3171729186999999</v>
      </c>
      <c r="L2130" s="8">
        <f>J2130/1000000</f>
        <v>2.3035000000000001</v>
      </c>
      <c r="M2130" t="s">
        <v>19</v>
      </c>
    </row>
    <row r="2131" spans="2:13" x14ac:dyDescent="0.25">
      <c r="B2131" t="s">
        <v>13</v>
      </c>
      <c r="C2131" t="s">
        <v>46</v>
      </c>
      <c r="D2131" t="s">
        <v>52</v>
      </c>
      <c r="E2131">
        <v>2027</v>
      </c>
      <c r="F2131" t="s">
        <v>57</v>
      </c>
      <c r="G2131" t="s">
        <v>17</v>
      </c>
      <c r="H2131" t="s">
        <v>18</v>
      </c>
      <c r="I2131" s="8">
        <v>80409.730200000005</v>
      </c>
      <c r="J2131" s="8">
        <v>65307.577045714301</v>
      </c>
      <c r="K2131" s="8">
        <f>I2131/1000000</f>
        <v>8.0409730200000001E-2</v>
      </c>
      <c r="L2131" s="8">
        <f>J2131/1000000</f>
        <v>6.5307577045714299E-2</v>
      </c>
      <c r="M2131" t="s">
        <v>19</v>
      </c>
    </row>
    <row r="2132" spans="2:13" x14ac:dyDescent="0.25">
      <c r="B2132" t="s">
        <v>13</v>
      </c>
      <c r="C2132" t="s">
        <v>46</v>
      </c>
      <c r="D2132" t="s">
        <v>52</v>
      </c>
      <c r="E2132">
        <v>2028</v>
      </c>
      <c r="F2132" t="s">
        <v>57</v>
      </c>
      <c r="G2132" t="s">
        <v>17</v>
      </c>
      <c r="H2132" t="s">
        <v>18</v>
      </c>
      <c r="I2132" s="8">
        <v>81608.173800000004</v>
      </c>
      <c r="J2132" s="8">
        <v>66117.052281428594</v>
      </c>
      <c r="K2132" s="8">
        <f>I2132/1000000</f>
        <v>8.1608173800000003E-2</v>
      </c>
      <c r="L2132" s="8">
        <f>J2132/1000000</f>
        <v>6.6117052281428598E-2</v>
      </c>
      <c r="M2132" t="s">
        <v>19</v>
      </c>
    </row>
    <row r="2133" spans="2:13" x14ac:dyDescent="0.25">
      <c r="B2133" t="s">
        <v>13</v>
      </c>
      <c r="C2133" t="s">
        <v>46</v>
      </c>
      <c r="D2133" t="s">
        <v>52</v>
      </c>
      <c r="E2133">
        <v>2029</v>
      </c>
      <c r="F2133" t="s">
        <v>57</v>
      </c>
      <c r="G2133" t="s">
        <v>17</v>
      </c>
      <c r="H2133" t="s">
        <v>18</v>
      </c>
      <c r="I2133" s="8">
        <v>4032504.0532</v>
      </c>
      <c r="J2133" s="8">
        <v>3222699.51146245</v>
      </c>
      <c r="K2133" s="8">
        <f>I2133/1000000</f>
        <v>4.0325040532000003</v>
      </c>
      <c r="L2133" s="8">
        <f>J2133/1000000</f>
        <v>3.2226995114624502</v>
      </c>
      <c r="M2133" t="s">
        <v>19</v>
      </c>
    </row>
    <row r="2134" spans="2:13" x14ac:dyDescent="0.25">
      <c r="B2134" t="s">
        <v>13</v>
      </c>
      <c r="C2134" t="s">
        <v>46</v>
      </c>
      <c r="D2134" t="s">
        <v>52</v>
      </c>
      <c r="E2134">
        <v>2030</v>
      </c>
      <c r="F2134" t="s">
        <v>57</v>
      </c>
      <c r="G2134" t="s">
        <v>17</v>
      </c>
      <c r="H2134" t="s">
        <v>18</v>
      </c>
      <c r="I2134" s="8">
        <v>3878954.7127</v>
      </c>
      <c r="J2134" s="8">
        <v>3071774.5105655701</v>
      </c>
      <c r="K2134" s="8">
        <f>I2134/1000000</f>
        <v>3.8789547127000001</v>
      </c>
      <c r="L2134" s="8">
        <f>J2134/1000000</f>
        <v>3.0717745105655703</v>
      </c>
      <c r="M2134" t="s">
        <v>19</v>
      </c>
    </row>
    <row r="2135" spans="2:13" x14ac:dyDescent="0.25">
      <c r="B2135" t="s">
        <v>13</v>
      </c>
      <c r="C2135" t="s">
        <v>46</v>
      </c>
      <c r="D2135" t="s">
        <v>52</v>
      </c>
      <c r="E2135">
        <v>2028</v>
      </c>
      <c r="F2135" t="s">
        <v>57</v>
      </c>
      <c r="G2135" t="s">
        <v>17</v>
      </c>
      <c r="H2135" t="s">
        <v>18</v>
      </c>
      <c r="I2135" s="8">
        <v>4135944.4668000001</v>
      </c>
      <c r="J2135" s="8">
        <v>3350846.4130644901</v>
      </c>
      <c r="K2135" s="8">
        <f>I2135/1000000</f>
        <v>4.1359444667999998</v>
      </c>
      <c r="L2135" s="8">
        <f>J2135/1000000</f>
        <v>3.3508464130644899</v>
      </c>
      <c r="M2135" t="s">
        <v>19</v>
      </c>
    </row>
    <row r="2136" spans="2:13" x14ac:dyDescent="0.25">
      <c r="B2136" t="s">
        <v>13</v>
      </c>
      <c r="C2136" t="s">
        <v>46</v>
      </c>
      <c r="D2136" t="s">
        <v>70</v>
      </c>
      <c r="E2136">
        <v>2027</v>
      </c>
      <c r="F2136" t="s">
        <v>57</v>
      </c>
      <c r="G2136" t="s">
        <v>17</v>
      </c>
      <c r="H2136" t="s">
        <v>18</v>
      </c>
      <c r="I2136" s="8">
        <v>87280.972699999998</v>
      </c>
      <c r="J2136" s="8">
        <v>62479.430999999997</v>
      </c>
      <c r="K2136" s="8">
        <f>I2136/1000000</f>
        <v>8.7280972700000001E-2</v>
      </c>
      <c r="L2136" s="8">
        <f>J2136/1000000</f>
        <v>6.2479430999999995E-2</v>
      </c>
      <c r="M2136" t="s">
        <v>19</v>
      </c>
    </row>
    <row r="2137" spans="2:13" x14ac:dyDescent="0.25">
      <c r="B2137" t="s">
        <v>13</v>
      </c>
      <c r="C2137" t="s">
        <v>46</v>
      </c>
      <c r="D2137" t="s">
        <v>70</v>
      </c>
      <c r="E2137">
        <v>2028</v>
      </c>
      <c r="F2137" t="s">
        <v>57</v>
      </c>
      <c r="G2137" t="s">
        <v>17</v>
      </c>
      <c r="H2137" t="s">
        <v>18</v>
      </c>
      <c r="I2137" s="8">
        <v>88710.438299999994</v>
      </c>
      <c r="J2137" s="8">
        <v>62791.828155000003</v>
      </c>
      <c r="K2137" s="8">
        <f>I2137/1000000</f>
        <v>8.87104383E-2</v>
      </c>
      <c r="L2137" s="8">
        <f>J2137/1000000</f>
        <v>6.2791828155000007E-2</v>
      </c>
      <c r="M2137" t="s">
        <v>19</v>
      </c>
    </row>
    <row r="2138" spans="2:13" x14ac:dyDescent="0.25">
      <c r="B2138" t="s">
        <v>13</v>
      </c>
      <c r="C2138" t="s">
        <v>46</v>
      </c>
      <c r="D2138" t="s">
        <v>72</v>
      </c>
      <c r="E2138">
        <v>2027</v>
      </c>
      <c r="F2138" t="s">
        <v>57</v>
      </c>
      <c r="G2138" t="s">
        <v>17</v>
      </c>
      <c r="H2138" t="s">
        <v>18</v>
      </c>
      <c r="I2138" s="8">
        <v>183349.0619</v>
      </c>
      <c r="J2138" s="8">
        <v>87780.635692559998</v>
      </c>
      <c r="K2138" s="8">
        <f>I2138/1000000</f>
        <v>0.1833490619</v>
      </c>
      <c r="L2138" s="8">
        <f>J2138/1000000</f>
        <v>8.7780635692559991E-2</v>
      </c>
      <c r="M2138" t="s">
        <v>19</v>
      </c>
    </row>
    <row r="2139" spans="2:13" x14ac:dyDescent="0.25">
      <c r="B2139" t="s">
        <v>13</v>
      </c>
      <c r="C2139" t="s">
        <v>46</v>
      </c>
      <c r="D2139" t="s">
        <v>72</v>
      </c>
      <c r="E2139">
        <v>2028</v>
      </c>
      <c r="F2139" t="s">
        <v>57</v>
      </c>
      <c r="G2139" t="s">
        <v>17</v>
      </c>
      <c r="H2139" t="s">
        <v>18</v>
      </c>
      <c r="I2139" s="8">
        <v>185197.29639999999</v>
      </c>
      <c r="J2139" s="8">
        <v>89105.348260953004</v>
      </c>
      <c r="K2139" s="8">
        <f>I2139/1000000</f>
        <v>0.18519729639999999</v>
      </c>
      <c r="L2139" s="8">
        <f>J2139/1000000</f>
        <v>8.910534826095301E-2</v>
      </c>
      <c r="M2139" t="s">
        <v>19</v>
      </c>
    </row>
    <row r="2140" spans="2:13" x14ac:dyDescent="0.25">
      <c r="B2140" t="s">
        <v>13</v>
      </c>
      <c r="C2140" t="s">
        <v>46</v>
      </c>
      <c r="D2140" t="s">
        <v>73</v>
      </c>
      <c r="E2140">
        <v>2027</v>
      </c>
      <c r="F2140" t="s">
        <v>57</v>
      </c>
      <c r="G2140" t="s">
        <v>17</v>
      </c>
      <c r="H2140" t="s">
        <v>18</v>
      </c>
      <c r="I2140" s="8">
        <v>87913.517399999997</v>
      </c>
      <c r="J2140" s="8">
        <v>93719.146500000003</v>
      </c>
      <c r="K2140" s="8">
        <f>I2140/1000000</f>
        <v>8.7913517400000002E-2</v>
      </c>
      <c r="L2140" s="8">
        <f>J2140/1000000</f>
        <v>9.3719146500000003E-2</v>
      </c>
      <c r="M2140" t="s">
        <v>19</v>
      </c>
    </row>
    <row r="2141" spans="2:13" x14ac:dyDescent="0.25">
      <c r="B2141" t="s">
        <v>13</v>
      </c>
      <c r="C2141" t="s">
        <v>46</v>
      </c>
      <c r="D2141" t="s">
        <v>73</v>
      </c>
      <c r="E2141">
        <v>2028</v>
      </c>
      <c r="F2141" t="s">
        <v>57</v>
      </c>
      <c r="G2141" t="s">
        <v>17</v>
      </c>
      <c r="H2141" t="s">
        <v>18</v>
      </c>
      <c r="I2141" s="8">
        <v>94684.026299999998</v>
      </c>
      <c r="J2141" s="8">
        <v>94187.742232499993</v>
      </c>
      <c r="K2141" s="8">
        <f>I2141/1000000</f>
        <v>9.4684026300000002E-2</v>
      </c>
      <c r="L2141" s="8">
        <f>J2141/1000000</f>
        <v>9.4187742232499996E-2</v>
      </c>
      <c r="M2141" t="s">
        <v>19</v>
      </c>
    </row>
    <row r="2142" spans="2:13" x14ac:dyDescent="0.25">
      <c r="B2142" t="s">
        <v>13</v>
      </c>
      <c r="C2142" t="s">
        <v>46</v>
      </c>
      <c r="D2142" t="s">
        <v>74</v>
      </c>
      <c r="E2142">
        <v>2027</v>
      </c>
      <c r="F2142" t="s">
        <v>57</v>
      </c>
      <c r="G2142" t="s">
        <v>17</v>
      </c>
      <c r="H2142" t="s">
        <v>18</v>
      </c>
      <c r="I2142" s="8">
        <v>59862.221299999997</v>
      </c>
      <c r="J2142" s="8">
        <v>36186.3301778963</v>
      </c>
      <c r="K2142" s="8">
        <f>I2142/1000000</f>
        <v>5.9862221299999997E-2</v>
      </c>
      <c r="L2142" s="8">
        <f>J2142/1000000</f>
        <v>3.6186330177896298E-2</v>
      </c>
      <c r="M2142" t="s">
        <v>19</v>
      </c>
    </row>
    <row r="2143" spans="2:13" x14ac:dyDescent="0.25">
      <c r="B2143" t="s">
        <v>13</v>
      </c>
      <c r="C2143" t="s">
        <v>46</v>
      </c>
      <c r="D2143" t="s">
        <v>74</v>
      </c>
      <c r="E2143">
        <v>2028</v>
      </c>
      <c r="F2143" t="s">
        <v>57</v>
      </c>
      <c r="G2143" t="s">
        <v>17</v>
      </c>
      <c r="H2143" t="s">
        <v>18</v>
      </c>
      <c r="I2143" s="8">
        <v>55789.321799999998</v>
      </c>
      <c r="J2143" s="8">
        <v>36382.367606112901</v>
      </c>
      <c r="K2143" s="8">
        <f>I2143/1000000</f>
        <v>5.57893218E-2</v>
      </c>
      <c r="L2143" s="8">
        <f>J2143/1000000</f>
        <v>3.6382367606112902E-2</v>
      </c>
      <c r="M2143" t="s">
        <v>19</v>
      </c>
    </row>
    <row r="2144" spans="2:13" x14ac:dyDescent="0.25">
      <c r="B2144" t="s">
        <v>13</v>
      </c>
      <c r="C2144" t="s">
        <v>46</v>
      </c>
      <c r="D2144" t="s">
        <v>74</v>
      </c>
      <c r="E2144">
        <v>2026</v>
      </c>
      <c r="F2144" t="s">
        <v>57</v>
      </c>
      <c r="G2144" t="s">
        <v>17</v>
      </c>
      <c r="H2144" t="s">
        <v>18</v>
      </c>
      <c r="I2144" s="8">
        <v>1432782.9155999999</v>
      </c>
      <c r="J2144" s="8">
        <v>844500</v>
      </c>
      <c r="K2144" s="8">
        <f>I2144/1000000</f>
        <v>1.4327829156</v>
      </c>
      <c r="L2144" s="8">
        <f>J2144/1000000</f>
        <v>0.84450000000000003</v>
      </c>
      <c r="M2144" t="s">
        <v>19</v>
      </c>
    </row>
    <row r="2145" spans="2:13" x14ac:dyDescent="0.25">
      <c r="B2145" t="s">
        <v>13</v>
      </c>
      <c r="C2145" t="s">
        <v>46</v>
      </c>
      <c r="D2145" t="s">
        <v>74</v>
      </c>
      <c r="E2145">
        <v>2027</v>
      </c>
      <c r="F2145" t="s">
        <v>57</v>
      </c>
      <c r="G2145" t="s">
        <v>17</v>
      </c>
      <c r="H2145" t="s">
        <v>18</v>
      </c>
      <c r="I2145" s="8">
        <v>2557549.7195000001</v>
      </c>
      <c r="J2145" s="8">
        <v>1539764.6517064399</v>
      </c>
      <c r="K2145" s="8">
        <f>I2145/1000000</f>
        <v>2.5575497195000003</v>
      </c>
      <c r="L2145" s="8">
        <f>J2145/1000000</f>
        <v>1.5397646517064398</v>
      </c>
      <c r="M2145" t="s">
        <v>19</v>
      </c>
    </row>
    <row r="2146" spans="2:13" x14ac:dyDescent="0.25">
      <c r="B2146" t="s">
        <v>13</v>
      </c>
      <c r="C2146" t="s">
        <v>46</v>
      </c>
      <c r="D2146" t="s">
        <v>74</v>
      </c>
      <c r="E2146">
        <v>2028</v>
      </c>
      <c r="F2146" t="s">
        <v>57</v>
      </c>
      <c r="G2146" t="s">
        <v>17</v>
      </c>
      <c r="H2146" t="s">
        <v>18</v>
      </c>
      <c r="I2146" s="8">
        <v>2336403.6782</v>
      </c>
      <c r="J2146" s="8">
        <v>1523658.9141476401</v>
      </c>
      <c r="K2146" s="8">
        <f>I2146/1000000</f>
        <v>2.3364036781999999</v>
      </c>
      <c r="L2146" s="8">
        <f>J2146/1000000</f>
        <v>1.5236589141476402</v>
      </c>
      <c r="M2146" t="s">
        <v>19</v>
      </c>
    </row>
    <row r="2147" spans="2:13" x14ac:dyDescent="0.25">
      <c r="B2147" t="s">
        <v>13</v>
      </c>
      <c r="C2147" t="s">
        <v>46</v>
      </c>
      <c r="D2147" t="s">
        <v>74</v>
      </c>
      <c r="E2147">
        <v>2029</v>
      </c>
      <c r="F2147" t="s">
        <v>57</v>
      </c>
      <c r="G2147" t="s">
        <v>17</v>
      </c>
      <c r="H2147" t="s">
        <v>18</v>
      </c>
      <c r="I2147" s="8">
        <v>2352854.8947999999</v>
      </c>
      <c r="J2147" s="8">
        <v>1574200.6832427201</v>
      </c>
      <c r="K2147" s="8">
        <f>I2147/1000000</f>
        <v>2.3528548948000001</v>
      </c>
      <c r="L2147" s="8">
        <f>J2147/1000000</f>
        <v>1.57420068324272</v>
      </c>
      <c r="M2147" t="s">
        <v>19</v>
      </c>
    </row>
    <row r="2148" spans="2:13" x14ac:dyDescent="0.25">
      <c r="B2148" t="s">
        <v>13</v>
      </c>
      <c r="C2148" t="s">
        <v>46</v>
      </c>
      <c r="D2148" t="s">
        <v>74</v>
      </c>
      <c r="E2148">
        <v>2030</v>
      </c>
      <c r="F2148" t="s">
        <v>57</v>
      </c>
      <c r="G2148" t="s">
        <v>17</v>
      </c>
      <c r="H2148" t="s">
        <v>18</v>
      </c>
      <c r="I2148" s="8">
        <v>2312311.003</v>
      </c>
      <c r="J2148" s="8">
        <v>1552626.2573851601</v>
      </c>
      <c r="K2148" s="8">
        <f>I2148/1000000</f>
        <v>2.312311003</v>
      </c>
      <c r="L2148" s="8">
        <f>J2148/1000000</f>
        <v>1.5526262573851601</v>
      </c>
      <c r="M2148" t="s">
        <v>19</v>
      </c>
    </row>
    <row r="2149" spans="2:13" x14ac:dyDescent="0.25">
      <c r="B2149" t="s">
        <v>13</v>
      </c>
      <c r="C2149" t="s">
        <v>46</v>
      </c>
      <c r="D2149" t="s">
        <v>73</v>
      </c>
      <c r="E2149">
        <v>2026</v>
      </c>
      <c r="F2149" t="s">
        <v>57</v>
      </c>
      <c r="G2149" t="s">
        <v>17</v>
      </c>
      <c r="H2149" t="s">
        <v>18</v>
      </c>
      <c r="I2149" s="8">
        <v>2202384.2129000002</v>
      </c>
      <c r="J2149" s="8">
        <v>2310000</v>
      </c>
      <c r="K2149" s="8">
        <f>I2149/1000000</f>
        <v>2.2023842129000002</v>
      </c>
      <c r="L2149" s="8">
        <f>J2149/1000000</f>
        <v>2.31</v>
      </c>
      <c r="M2149" t="s">
        <v>19</v>
      </c>
    </row>
    <row r="2150" spans="2:13" x14ac:dyDescent="0.25">
      <c r="B2150" t="s">
        <v>13</v>
      </c>
      <c r="C2150" t="s">
        <v>46</v>
      </c>
      <c r="D2150" t="s">
        <v>73</v>
      </c>
      <c r="E2150">
        <v>2027</v>
      </c>
      <c r="F2150" t="s">
        <v>57</v>
      </c>
      <c r="G2150" t="s">
        <v>17</v>
      </c>
      <c r="H2150" t="s">
        <v>18</v>
      </c>
      <c r="I2150" s="8">
        <v>4699302.5380999995</v>
      </c>
      <c r="J2150" s="8">
        <v>4934430.2342747496</v>
      </c>
      <c r="K2150" s="8">
        <f>I2150/1000000</f>
        <v>4.6993025380999995</v>
      </c>
      <c r="L2150" s="8">
        <f>J2150/1000000</f>
        <v>4.9344302342747497</v>
      </c>
      <c r="M2150" t="s">
        <v>19</v>
      </c>
    </row>
    <row r="2151" spans="2:13" x14ac:dyDescent="0.25">
      <c r="B2151" t="s">
        <v>13</v>
      </c>
      <c r="C2151" t="s">
        <v>46</v>
      </c>
      <c r="D2151" t="s">
        <v>73</v>
      </c>
      <c r="E2151">
        <v>2028</v>
      </c>
      <c r="F2151" t="s">
        <v>57</v>
      </c>
      <c r="G2151" t="s">
        <v>17</v>
      </c>
      <c r="H2151" t="s">
        <v>18</v>
      </c>
      <c r="I2151" s="8">
        <v>5161145.5144999996</v>
      </c>
      <c r="J2151" s="8">
        <v>5134093.4927360304</v>
      </c>
      <c r="K2151" s="8">
        <f>I2151/1000000</f>
        <v>5.1611455144999994</v>
      </c>
      <c r="L2151" s="8">
        <f>J2151/1000000</f>
        <v>5.1340934927360307</v>
      </c>
      <c r="M2151" t="s">
        <v>19</v>
      </c>
    </row>
    <row r="2152" spans="2:13" x14ac:dyDescent="0.25">
      <c r="B2152" t="s">
        <v>13</v>
      </c>
      <c r="C2152" t="s">
        <v>46</v>
      </c>
      <c r="D2152" t="s">
        <v>73</v>
      </c>
      <c r="E2152">
        <v>2029</v>
      </c>
      <c r="F2152" t="s">
        <v>57</v>
      </c>
      <c r="G2152" t="s">
        <v>17</v>
      </c>
      <c r="H2152" t="s">
        <v>18</v>
      </c>
      <c r="I2152" s="8">
        <v>5875253.0603</v>
      </c>
      <c r="J2152" s="8">
        <v>5844458.0910865599</v>
      </c>
      <c r="K2152" s="8">
        <f>I2152/1000000</f>
        <v>5.8752530603000004</v>
      </c>
      <c r="L2152" s="8">
        <f>J2152/1000000</f>
        <v>5.84445809108656</v>
      </c>
      <c r="M2152" t="s">
        <v>19</v>
      </c>
    </row>
    <row r="2153" spans="2:13" x14ac:dyDescent="0.25">
      <c r="B2153" t="s">
        <v>13</v>
      </c>
      <c r="C2153" t="s">
        <v>46</v>
      </c>
      <c r="D2153" t="s">
        <v>73</v>
      </c>
      <c r="E2153">
        <v>2030</v>
      </c>
      <c r="F2153" t="s">
        <v>57</v>
      </c>
      <c r="G2153" t="s">
        <v>17</v>
      </c>
      <c r="H2153" t="s">
        <v>18</v>
      </c>
      <c r="I2153" s="8">
        <v>5834863.602</v>
      </c>
      <c r="J2153" s="8">
        <v>5804280.3336708201</v>
      </c>
      <c r="K2153" s="8">
        <f>I2153/1000000</f>
        <v>5.8348636019999995</v>
      </c>
      <c r="L2153" s="8">
        <f>J2153/1000000</f>
        <v>5.8042803336708202</v>
      </c>
      <c r="M2153" t="s">
        <v>19</v>
      </c>
    </row>
    <row r="2154" spans="2:13" x14ac:dyDescent="0.25">
      <c r="B2154" t="s">
        <v>13</v>
      </c>
      <c r="C2154" t="s">
        <v>46</v>
      </c>
      <c r="D2154" t="s">
        <v>70</v>
      </c>
      <c r="E2154">
        <v>2028</v>
      </c>
      <c r="F2154" t="s">
        <v>57</v>
      </c>
      <c r="G2154" t="s">
        <v>17</v>
      </c>
      <c r="H2154" t="s">
        <v>18</v>
      </c>
      <c r="I2154" s="8">
        <v>5524035.1672</v>
      </c>
      <c r="J2154" s="8">
        <v>3910072.7465091199</v>
      </c>
      <c r="K2154" s="8">
        <f>I2154/1000000</f>
        <v>5.5240351672000001</v>
      </c>
      <c r="L2154" s="8">
        <f>J2154/1000000</f>
        <v>3.9100727465091198</v>
      </c>
      <c r="M2154" t="s">
        <v>19</v>
      </c>
    </row>
    <row r="2155" spans="2:13" x14ac:dyDescent="0.25">
      <c r="B2155" t="s">
        <v>13</v>
      </c>
      <c r="C2155" t="s">
        <v>46</v>
      </c>
      <c r="D2155" t="s">
        <v>70</v>
      </c>
      <c r="E2155">
        <v>2029</v>
      </c>
      <c r="F2155" t="s">
        <v>57</v>
      </c>
      <c r="G2155" t="s">
        <v>17</v>
      </c>
      <c r="H2155" t="s">
        <v>18</v>
      </c>
      <c r="I2155" s="8">
        <v>6280084.0813999996</v>
      </c>
      <c r="J2155" s="8">
        <v>3949523.4710323801</v>
      </c>
      <c r="K2155" s="8">
        <f>I2155/1000000</f>
        <v>6.2800840813999992</v>
      </c>
      <c r="L2155" s="8">
        <f>J2155/1000000</f>
        <v>3.9495234710323803</v>
      </c>
      <c r="M2155" t="s">
        <v>19</v>
      </c>
    </row>
    <row r="2156" spans="2:13" x14ac:dyDescent="0.25">
      <c r="B2156" t="s">
        <v>13</v>
      </c>
      <c r="C2156" t="s">
        <v>46</v>
      </c>
      <c r="D2156" t="s">
        <v>70</v>
      </c>
      <c r="E2156">
        <v>2026</v>
      </c>
      <c r="F2156" t="s">
        <v>57</v>
      </c>
      <c r="G2156" t="s">
        <v>17</v>
      </c>
      <c r="H2156" t="s">
        <v>18</v>
      </c>
      <c r="I2156" s="8">
        <v>3924002.9281000001</v>
      </c>
      <c r="J2156" s="8">
        <v>2273600</v>
      </c>
      <c r="K2156" s="8">
        <f>I2156/1000000</f>
        <v>3.9240029281000002</v>
      </c>
      <c r="L2156" s="8">
        <f>J2156/1000000</f>
        <v>2.2736000000000001</v>
      </c>
      <c r="M2156" t="s">
        <v>19</v>
      </c>
    </row>
    <row r="2157" spans="2:13" x14ac:dyDescent="0.25">
      <c r="B2157" t="s">
        <v>13</v>
      </c>
      <c r="C2157" t="s">
        <v>46</v>
      </c>
      <c r="D2157" t="s">
        <v>70</v>
      </c>
      <c r="E2157">
        <v>2027</v>
      </c>
      <c r="F2157" t="s">
        <v>57</v>
      </c>
      <c r="G2157" t="s">
        <v>17</v>
      </c>
      <c r="H2157" t="s">
        <v>18</v>
      </c>
      <c r="I2157" s="8">
        <v>5390817.7082000002</v>
      </c>
      <c r="J2157" s="8">
        <v>3858976.50419534</v>
      </c>
      <c r="K2157" s="8">
        <f>I2157/1000000</f>
        <v>5.3908177082000002</v>
      </c>
      <c r="L2157" s="8">
        <f>J2157/1000000</f>
        <v>3.8589765041953399</v>
      </c>
      <c r="M2157" t="s">
        <v>19</v>
      </c>
    </row>
    <row r="2158" spans="2:13" x14ac:dyDescent="0.25">
      <c r="B2158" t="s">
        <v>13</v>
      </c>
      <c r="C2158" t="s">
        <v>46</v>
      </c>
      <c r="D2158" t="s">
        <v>70</v>
      </c>
      <c r="E2158">
        <v>2030</v>
      </c>
      <c r="F2158" t="s">
        <v>57</v>
      </c>
      <c r="G2158" t="s">
        <v>17</v>
      </c>
      <c r="H2158" t="s">
        <v>18</v>
      </c>
      <c r="I2158" s="8">
        <v>5125421.5329</v>
      </c>
      <c r="J2158" s="8">
        <v>3220521.6093252399</v>
      </c>
      <c r="K2158" s="8">
        <f>I2158/1000000</f>
        <v>5.1254215328999999</v>
      </c>
      <c r="L2158" s="8">
        <f>J2158/1000000</f>
        <v>3.2205216093252398</v>
      </c>
      <c r="M2158" t="s">
        <v>19</v>
      </c>
    </row>
    <row r="2159" spans="2:13" x14ac:dyDescent="0.25">
      <c r="B2159" t="s">
        <v>13</v>
      </c>
      <c r="C2159" t="s">
        <v>46</v>
      </c>
      <c r="D2159" t="s">
        <v>15</v>
      </c>
      <c r="E2159">
        <v>2027</v>
      </c>
      <c r="F2159" t="s">
        <v>57</v>
      </c>
      <c r="G2159" t="s">
        <v>17</v>
      </c>
      <c r="H2159" t="s">
        <v>18</v>
      </c>
      <c r="I2159" s="8">
        <v>162366.67540000001</v>
      </c>
      <c r="J2159" s="8">
        <v>35118.489583333299</v>
      </c>
      <c r="K2159" s="8">
        <f>I2159/1000000</f>
        <v>0.16236667540000002</v>
      </c>
      <c r="L2159" s="8">
        <f>J2159/1000000</f>
        <v>3.5118489583333301E-2</v>
      </c>
      <c r="M2159" t="s">
        <v>19</v>
      </c>
    </row>
    <row r="2160" spans="2:13" x14ac:dyDescent="0.25">
      <c r="B2160" t="s">
        <v>13</v>
      </c>
      <c r="C2160" t="s">
        <v>46</v>
      </c>
      <c r="D2160" t="s">
        <v>100</v>
      </c>
      <c r="E2160">
        <v>2027</v>
      </c>
      <c r="F2160" t="s">
        <v>57</v>
      </c>
      <c r="G2160" t="s">
        <v>17</v>
      </c>
      <c r="H2160" t="s">
        <v>18</v>
      </c>
      <c r="I2160" s="8">
        <v>95338.178700000004</v>
      </c>
      <c r="J2160" s="8">
        <v>94581.526500000007</v>
      </c>
      <c r="K2160" s="8">
        <f>I2160/1000000</f>
        <v>9.5338178699999998E-2</v>
      </c>
      <c r="L2160" s="8">
        <f>J2160/1000000</f>
        <v>9.4581526500000013E-2</v>
      </c>
      <c r="M2160" t="s">
        <v>19</v>
      </c>
    </row>
    <row r="2161" spans="2:13" x14ac:dyDescent="0.25">
      <c r="B2161" t="s">
        <v>13</v>
      </c>
      <c r="C2161" t="s">
        <v>46</v>
      </c>
      <c r="D2161" t="s">
        <v>100</v>
      </c>
      <c r="E2161">
        <v>2028</v>
      </c>
      <c r="F2161" t="s">
        <v>57</v>
      </c>
      <c r="G2161" t="s">
        <v>17</v>
      </c>
      <c r="H2161" t="s">
        <v>18</v>
      </c>
      <c r="I2161" s="8">
        <v>90420.232499999998</v>
      </c>
      <c r="J2161" s="8">
        <v>94187.742232499993</v>
      </c>
      <c r="K2161" s="8">
        <f>I2161/1000000</f>
        <v>9.0420232500000003E-2</v>
      </c>
      <c r="L2161" s="8">
        <f>J2161/1000000</f>
        <v>9.4187742232499996E-2</v>
      </c>
      <c r="M2161" t="s">
        <v>19</v>
      </c>
    </row>
    <row r="2162" spans="2:13" x14ac:dyDescent="0.25">
      <c r="B2162" t="s">
        <v>13</v>
      </c>
      <c r="C2162" t="s">
        <v>46</v>
      </c>
      <c r="D2162" t="s">
        <v>15</v>
      </c>
      <c r="E2162">
        <v>2026</v>
      </c>
      <c r="F2162" t="s">
        <v>57</v>
      </c>
      <c r="G2162" t="s">
        <v>17</v>
      </c>
      <c r="H2162" t="s">
        <v>18</v>
      </c>
      <c r="I2162" s="8">
        <v>3801108.9863</v>
      </c>
      <c r="J2162" s="8">
        <v>822080</v>
      </c>
      <c r="K2162" s="8">
        <f>I2162/1000000</f>
        <v>3.8011089863</v>
      </c>
      <c r="L2162" s="8">
        <f>J2162/1000000</f>
        <v>0.82208000000000003</v>
      </c>
      <c r="M2162" t="s">
        <v>19</v>
      </c>
    </row>
    <row r="2163" spans="2:13" x14ac:dyDescent="0.25">
      <c r="B2163" t="s">
        <v>13</v>
      </c>
      <c r="C2163" t="s">
        <v>46</v>
      </c>
      <c r="D2163" t="s">
        <v>15</v>
      </c>
      <c r="E2163">
        <v>2027</v>
      </c>
      <c r="F2163" t="s">
        <v>57</v>
      </c>
      <c r="G2163" t="s">
        <v>17</v>
      </c>
      <c r="H2163" t="s">
        <v>18</v>
      </c>
      <c r="I2163" s="8">
        <v>3519432.6157</v>
      </c>
      <c r="J2163" s="8">
        <v>761153.72903225804</v>
      </c>
      <c r="K2163" s="8">
        <f>I2163/1000000</f>
        <v>3.5194326157</v>
      </c>
      <c r="L2163" s="8">
        <f>J2163/1000000</f>
        <v>0.76115372903225809</v>
      </c>
      <c r="M2163" t="s">
        <v>19</v>
      </c>
    </row>
    <row r="2164" spans="2:13" x14ac:dyDescent="0.25">
      <c r="B2164" t="s">
        <v>13</v>
      </c>
      <c r="C2164" t="s">
        <v>46</v>
      </c>
      <c r="D2164" t="s">
        <v>15</v>
      </c>
      <c r="E2164">
        <v>2029</v>
      </c>
      <c r="F2164" t="s">
        <v>57</v>
      </c>
      <c r="G2164" t="s">
        <v>17</v>
      </c>
      <c r="H2164" t="s">
        <v>18</v>
      </c>
      <c r="I2164" s="8">
        <v>2219457.1642</v>
      </c>
      <c r="J2164" s="8">
        <v>738848.87302736705</v>
      </c>
      <c r="K2164" s="8">
        <f>I2164/1000000</f>
        <v>2.2194571642000001</v>
      </c>
      <c r="L2164" s="8">
        <f>J2164/1000000</f>
        <v>0.73884887302736701</v>
      </c>
      <c r="M2164" t="s">
        <v>19</v>
      </c>
    </row>
    <row r="2165" spans="2:13" x14ac:dyDescent="0.25">
      <c r="B2165" t="s">
        <v>13</v>
      </c>
      <c r="C2165" t="s">
        <v>46</v>
      </c>
      <c r="D2165" t="s">
        <v>15</v>
      </c>
      <c r="E2165">
        <v>2030</v>
      </c>
      <c r="F2165" t="s">
        <v>57</v>
      </c>
      <c r="G2165" t="s">
        <v>17</v>
      </c>
      <c r="H2165" t="s">
        <v>18</v>
      </c>
      <c r="I2165" s="8">
        <v>2222809.889</v>
      </c>
      <c r="J2165" s="8">
        <v>739964.98240362003</v>
      </c>
      <c r="K2165" s="8">
        <f>I2165/1000000</f>
        <v>2.2228098890000001</v>
      </c>
      <c r="L2165" s="8">
        <f>J2165/1000000</f>
        <v>0.73996498240362008</v>
      </c>
      <c r="M2165" t="s">
        <v>19</v>
      </c>
    </row>
    <row r="2166" spans="2:13" x14ac:dyDescent="0.25">
      <c r="B2166" t="s">
        <v>13</v>
      </c>
      <c r="C2166" t="s">
        <v>46</v>
      </c>
      <c r="D2166" t="s">
        <v>100</v>
      </c>
      <c r="E2166">
        <v>2026</v>
      </c>
      <c r="F2166" t="s">
        <v>57</v>
      </c>
      <c r="G2166" t="s">
        <v>17</v>
      </c>
      <c r="H2166" t="s">
        <v>18</v>
      </c>
      <c r="I2166" s="8">
        <v>4069928.3</v>
      </c>
      <c r="J2166" s="8">
        <v>3256600</v>
      </c>
      <c r="K2166" s="8">
        <f>I2166/1000000</f>
        <v>4.0699282999999999</v>
      </c>
      <c r="L2166" s="8">
        <f>J2166/1000000</f>
        <v>3.2566000000000002</v>
      </c>
      <c r="M2166" t="s">
        <v>19</v>
      </c>
    </row>
    <row r="2167" spans="2:13" x14ac:dyDescent="0.25">
      <c r="B2167" t="s">
        <v>13</v>
      </c>
      <c r="C2167" t="s">
        <v>46</v>
      </c>
      <c r="D2167" t="s">
        <v>100</v>
      </c>
      <c r="E2167">
        <v>2027</v>
      </c>
      <c r="F2167" t="s">
        <v>57</v>
      </c>
      <c r="G2167" t="s">
        <v>17</v>
      </c>
      <c r="H2167" t="s">
        <v>18</v>
      </c>
      <c r="I2167" s="8">
        <v>5103447.5773</v>
      </c>
      <c r="J2167" s="8">
        <v>5062944.0251350496</v>
      </c>
      <c r="K2167" s="8">
        <f>I2167/1000000</f>
        <v>5.1034475772999999</v>
      </c>
      <c r="L2167" s="8">
        <f>J2167/1000000</f>
        <v>5.0629440251350495</v>
      </c>
      <c r="M2167" t="s">
        <v>19</v>
      </c>
    </row>
    <row r="2168" spans="2:13" x14ac:dyDescent="0.25">
      <c r="B2168" t="s">
        <v>13</v>
      </c>
      <c r="C2168" t="s">
        <v>46</v>
      </c>
      <c r="D2168" t="s">
        <v>100</v>
      </c>
      <c r="E2168">
        <v>2028</v>
      </c>
      <c r="F2168" t="s">
        <v>57</v>
      </c>
      <c r="G2168" t="s">
        <v>17</v>
      </c>
      <c r="H2168" t="s">
        <v>18</v>
      </c>
      <c r="I2168" s="8">
        <v>4924208.6085000001</v>
      </c>
      <c r="J2168" s="8">
        <v>5129383.9671402201</v>
      </c>
      <c r="K2168" s="8">
        <f>I2168/1000000</f>
        <v>4.9242086084999999</v>
      </c>
      <c r="L2168" s="8">
        <f>J2168/1000000</f>
        <v>5.1293839671402202</v>
      </c>
      <c r="M2168" t="s">
        <v>19</v>
      </c>
    </row>
    <row r="2169" spans="2:13" x14ac:dyDescent="0.25">
      <c r="B2169" t="s">
        <v>13</v>
      </c>
      <c r="C2169" t="s">
        <v>46</v>
      </c>
      <c r="D2169" t="s">
        <v>100</v>
      </c>
      <c r="E2169">
        <v>2029</v>
      </c>
      <c r="F2169" t="s">
        <v>57</v>
      </c>
      <c r="G2169" t="s">
        <v>17</v>
      </c>
      <c r="H2169" t="s">
        <v>18</v>
      </c>
      <c r="I2169" s="8">
        <v>5813697.0343000004</v>
      </c>
      <c r="J2169" s="8">
        <v>5011807.7881673202</v>
      </c>
      <c r="K2169" s="8">
        <f>I2169/1000000</f>
        <v>5.8136970343000005</v>
      </c>
      <c r="L2169" s="8">
        <f>J2169/1000000</f>
        <v>5.01180778816732</v>
      </c>
      <c r="M2169" t="s">
        <v>19</v>
      </c>
    </row>
    <row r="2170" spans="2:13" x14ac:dyDescent="0.25">
      <c r="B2170" t="s">
        <v>13</v>
      </c>
      <c r="C2170" t="s">
        <v>46</v>
      </c>
      <c r="D2170" t="s">
        <v>100</v>
      </c>
      <c r="E2170">
        <v>2030</v>
      </c>
      <c r="F2170" t="s">
        <v>57</v>
      </c>
      <c r="G2170" t="s">
        <v>17</v>
      </c>
      <c r="H2170" t="s">
        <v>18</v>
      </c>
      <c r="I2170" s="8">
        <v>5884054.0674999999</v>
      </c>
      <c r="J2170" s="8">
        <v>5072460.4029782303</v>
      </c>
      <c r="K2170" s="8">
        <f>I2170/1000000</f>
        <v>5.8840540675000002</v>
      </c>
      <c r="L2170" s="8">
        <f>J2170/1000000</f>
        <v>5.0724604029782299</v>
      </c>
      <c r="M2170" t="s">
        <v>19</v>
      </c>
    </row>
    <row r="2171" spans="2:13" x14ac:dyDescent="0.25">
      <c r="B2171" t="s">
        <v>13</v>
      </c>
      <c r="C2171" t="s">
        <v>46</v>
      </c>
      <c r="D2171" t="s">
        <v>72</v>
      </c>
      <c r="E2171">
        <v>2026</v>
      </c>
      <c r="F2171" t="s">
        <v>57</v>
      </c>
      <c r="G2171" t="s">
        <v>17</v>
      </c>
      <c r="H2171" t="s">
        <v>18</v>
      </c>
      <c r="I2171" s="8">
        <v>15719957.8423</v>
      </c>
      <c r="J2171" s="8">
        <v>5281600</v>
      </c>
      <c r="K2171" s="8">
        <f>I2171/1000000</f>
        <v>15.719957842299999</v>
      </c>
      <c r="L2171" s="8">
        <f>J2171/1000000</f>
        <v>5.2816000000000001</v>
      </c>
      <c r="M2171" t="s">
        <v>19</v>
      </c>
    </row>
    <row r="2172" spans="2:13" x14ac:dyDescent="0.25">
      <c r="B2172" t="s">
        <v>13</v>
      </c>
      <c r="C2172" t="s">
        <v>46</v>
      </c>
      <c r="D2172" t="s">
        <v>72</v>
      </c>
      <c r="E2172">
        <v>2027</v>
      </c>
      <c r="F2172" t="s">
        <v>57</v>
      </c>
      <c r="G2172" t="s">
        <v>17</v>
      </c>
      <c r="H2172" t="s">
        <v>18</v>
      </c>
      <c r="I2172" s="8">
        <v>17745409.326900002</v>
      </c>
      <c r="J2172" s="8">
        <v>5962065.1802717596</v>
      </c>
      <c r="K2172" s="8">
        <f>I2172/1000000</f>
        <v>17.745409326900003</v>
      </c>
      <c r="L2172" s="8">
        <f>J2172/1000000</f>
        <v>5.9620651802717592</v>
      </c>
      <c r="M2172" t="s">
        <v>19</v>
      </c>
    </row>
    <row r="2173" spans="2:13" x14ac:dyDescent="0.25">
      <c r="B2173" t="s">
        <v>13</v>
      </c>
      <c r="C2173" t="s">
        <v>46</v>
      </c>
      <c r="D2173" t="s">
        <v>72</v>
      </c>
      <c r="E2173">
        <v>2029</v>
      </c>
      <c r="F2173" t="s">
        <v>57</v>
      </c>
      <c r="G2173" t="s">
        <v>17</v>
      </c>
      <c r="H2173" t="s">
        <v>18</v>
      </c>
      <c r="I2173" s="8">
        <v>12520513.8376</v>
      </c>
      <c r="J2173" s="8">
        <v>6024087.6505816896</v>
      </c>
      <c r="K2173" s="8">
        <f>I2173/1000000</f>
        <v>12.520513837599999</v>
      </c>
      <c r="L2173" s="8">
        <f>J2173/1000000</f>
        <v>6.0240876505816896</v>
      </c>
      <c r="M2173" t="s">
        <v>19</v>
      </c>
    </row>
    <row r="2174" spans="2:13" x14ac:dyDescent="0.25">
      <c r="B2174" t="s">
        <v>13</v>
      </c>
      <c r="C2174" t="s">
        <v>46</v>
      </c>
      <c r="D2174" t="s">
        <v>72</v>
      </c>
      <c r="E2174">
        <v>2030</v>
      </c>
      <c r="F2174" t="s">
        <v>57</v>
      </c>
      <c r="G2174" t="s">
        <v>17</v>
      </c>
      <c r="H2174" t="s">
        <v>18</v>
      </c>
      <c r="I2174" s="8">
        <v>12442410.5745</v>
      </c>
      <c r="J2174" s="8">
        <v>5986509.2485246696</v>
      </c>
      <c r="K2174" s="8">
        <f>I2174/1000000</f>
        <v>12.4424105745</v>
      </c>
      <c r="L2174" s="8">
        <f>J2174/1000000</f>
        <v>5.9865092485246691</v>
      </c>
      <c r="M2174" t="s">
        <v>19</v>
      </c>
    </row>
    <row r="2175" spans="2:13" x14ac:dyDescent="0.25">
      <c r="B2175" t="s">
        <v>13</v>
      </c>
      <c r="C2175" t="s">
        <v>46</v>
      </c>
      <c r="D2175" t="s">
        <v>76</v>
      </c>
      <c r="E2175">
        <v>2030</v>
      </c>
      <c r="F2175" t="s">
        <v>57</v>
      </c>
      <c r="G2175" t="s">
        <v>17</v>
      </c>
      <c r="H2175" t="s">
        <v>18</v>
      </c>
      <c r="I2175" s="8">
        <v>12791509.784</v>
      </c>
      <c r="J2175" s="8">
        <v>4011129.9724358399</v>
      </c>
      <c r="K2175" s="8">
        <f>I2175/1000000</f>
        <v>12.791509784</v>
      </c>
      <c r="L2175" s="8">
        <f>J2175/1000000</f>
        <v>4.0111299724358398</v>
      </c>
      <c r="M2175" t="s">
        <v>39</v>
      </c>
    </row>
    <row r="2176" spans="2:13" x14ac:dyDescent="0.25">
      <c r="B2176" t="s">
        <v>13</v>
      </c>
      <c r="C2176" t="s">
        <v>46</v>
      </c>
      <c r="D2176" t="s">
        <v>76</v>
      </c>
      <c r="E2176">
        <v>2027</v>
      </c>
      <c r="F2176" t="s">
        <v>57</v>
      </c>
      <c r="G2176" t="s">
        <v>17</v>
      </c>
      <c r="H2176" t="s">
        <v>18</v>
      </c>
      <c r="I2176" s="8">
        <v>14934317.9891</v>
      </c>
      <c r="J2176" s="8">
        <v>4613312.5215761904</v>
      </c>
      <c r="K2176" s="8">
        <f>I2176/1000000</f>
        <v>14.9343179891</v>
      </c>
      <c r="L2176" s="8">
        <f>J2176/1000000</f>
        <v>4.6133125215761908</v>
      </c>
      <c r="M2176" t="s">
        <v>39</v>
      </c>
    </row>
    <row r="2177" spans="2:13" x14ac:dyDescent="0.25">
      <c r="B2177" t="s">
        <v>13</v>
      </c>
      <c r="C2177" t="s">
        <v>46</v>
      </c>
      <c r="D2177" t="s">
        <v>76</v>
      </c>
      <c r="E2177">
        <v>2028</v>
      </c>
      <c r="F2177" t="s">
        <v>57</v>
      </c>
      <c r="G2177" t="s">
        <v>17</v>
      </c>
      <c r="H2177" t="s">
        <v>18</v>
      </c>
      <c r="I2177" s="8">
        <v>13951131.0887</v>
      </c>
      <c r="J2177" s="8">
        <v>4374761.1504902299</v>
      </c>
      <c r="K2177" s="8">
        <f>I2177/1000000</f>
        <v>13.9511310887</v>
      </c>
      <c r="L2177" s="8">
        <f>J2177/1000000</f>
        <v>4.3747611504902295</v>
      </c>
      <c r="M2177" t="s">
        <v>39</v>
      </c>
    </row>
    <row r="2178" spans="2:13" x14ac:dyDescent="0.25">
      <c r="B2178" t="s">
        <v>13</v>
      </c>
      <c r="C2178" t="s">
        <v>46</v>
      </c>
      <c r="D2178" t="s">
        <v>76</v>
      </c>
      <c r="E2178">
        <v>2029</v>
      </c>
      <c r="F2178" t="s">
        <v>57</v>
      </c>
      <c r="G2178" t="s">
        <v>17</v>
      </c>
      <c r="H2178" t="s">
        <v>18</v>
      </c>
      <c r="I2178" s="8">
        <v>12818146.2622</v>
      </c>
      <c r="J2178" s="8">
        <v>4019482.5733170002</v>
      </c>
      <c r="K2178" s="8">
        <f>I2178/1000000</f>
        <v>12.818146262199999</v>
      </c>
      <c r="L2178" s="8">
        <f>J2178/1000000</f>
        <v>4.0194825733170001</v>
      </c>
      <c r="M2178" t="s">
        <v>39</v>
      </c>
    </row>
    <row r="2179" spans="2:13" x14ac:dyDescent="0.25">
      <c r="B2179" t="s">
        <v>13</v>
      </c>
      <c r="C2179" t="s">
        <v>46</v>
      </c>
      <c r="D2179" t="s">
        <v>76</v>
      </c>
      <c r="E2179">
        <v>2026</v>
      </c>
      <c r="F2179" t="s">
        <v>57</v>
      </c>
      <c r="G2179" t="s">
        <v>17</v>
      </c>
      <c r="H2179" t="s">
        <v>18</v>
      </c>
      <c r="I2179" s="8">
        <v>17100167.462099999</v>
      </c>
      <c r="J2179" s="8">
        <v>4066100</v>
      </c>
      <c r="K2179" s="8">
        <f>I2179/1000000</f>
        <v>17.1001674621</v>
      </c>
      <c r="L2179" s="8">
        <f>J2179/1000000</f>
        <v>4.0660999999999996</v>
      </c>
      <c r="M2179" t="s">
        <v>39</v>
      </c>
    </row>
    <row r="2180" spans="2:13" x14ac:dyDescent="0.25">
      <c r="B2180" t="s">
        <v>13</v>
      </c>
      <c r="C2180" t="s">
        <v>46</v>
      </c>
      <c r="D2180" t="s">
        <v>102</v>
      </c>
      <c r="E2180">
        <v>2028</v>
      </c>
      <c r="F2180" t="s">
        <v>57</v>
      </c>
      <c r="G2180" t="s">
        <v>17</v>
      </c>
      <c r="H2180" t="s">
        <v>18</v>
      </c>
      <c r="I2180" s="8">
        <v>258709.3112</v>
      </c>
      <c r="J2180" s="8">
        <v>764859.77954428201</v>
      </c>
      <c r="K2180" s="8">
        <f>I2180/1000000</f>
        <v>0.25870931120000001</v>
      </c>
      <c r="L2180" s="8">
        <f>J2180/1000000</f>
        <v>0.76485977954428197</v>
      </c>
      <c r="M2180" t="s">
        <v>19</v>
      </c>
    </row>
    <row r="2181" spans="2:13" x14ac:dyDescent="0.25">
      <c r="B2181" t="s">
        <v>13</v>
      </c>
      <c r="C2181" t="s">
        <v>46</v>
      </c>
      <c r="D2181" t="s">
        <v>102</v>
      </c>
      <c r="E2181">
        <v>2029</v>
      </c>
      <c r="F2181" t="s">
        <v>57</v>
      </c>
      <c r="G2181" t="s">
        <v>17</v>
      </c>
      <c r="H2181" t="s">
        <v>18</v>
      </c>
      <c r="I2181" s="8">
        <v>168554.1911</v>
      </c>
      <c r="J2181" s="8">
        <v>498321.15011803497</v>
      </c>
      <c r="K2181" s="8">
        <f>I2181/1000000</f>
        <v>0.1685541911</v>
      </c>
      <c r="L2181" s="8">
        <f>J2181/1000000</f>
        <v>0.49832115011803496</v>
      </c>
      <c r="M2181" t="s">
        <v>19</v>
      </c>
    </row>
    <row r="2182" spans="2:13" x14ac:dyDescent="0.25">
      <c r="B2182" t="s">
        <v>13</v>
      </c>
      <c r="C2182" t="s">
        <v>46</v>
      </c>
      <c r="D2182" t="s">
        <v>102</v>
      </c>
      <c r="E2182">
        <v>2030</v>
      </c>
      <c r="F2182" t="s">
        <v>57</v>
      </c>
      <c r="G2182" t="s">
        <v>17</v>
      </c>
      <c r="H2182" t="s">
        <v>18</v>
      </c>
      <c r="I2182" s="8">
        <v>170503.364</v>
      </c>
      <c r="J2182" s="8">
        <v>504083.77188197197</v>
      </c>
      <c r="K2182" s="8">
        <f>I2182/1000000</f>
        <v>0.17050336399999999</v>
      </c>
      <c r="L2182" s="8">
        <f>J2182/1000000</f>
        <v>0.50408377188197195</v>
      </c>
      <c r="M2182" t="s">
        <v>19</v>
      </c>
    </row>
    <row r="2183" spans="2:13" x14ac:dyDescent="0.25">
      <c r="B2183" t="s">
        <v>13</v>
      </c>
      <c r="C2183" t="s">
        <v>46</v>
      </c>
      <c r="D2183" t="s">
        <v>102</v>
      </c>
      <c r="E2183">
        <v>2026</v>
      </c>
      <c r="F2183" t="s">
        <v>57</v>
      </c>
      <c r="G2183" t="s">
        <v>17</v>
      </c>
      <c r="H2183" t="s">
        <v>18</v>
      </c>
      <c r="I2183" s="8">
        <v>333099.38900000002</v>
      </c>
      <c r="J2183" s="8">
        <v>673100</v>
      </c>
      <c r="K2183" s="8">
        <f>I2183/1000000</f>
        <v>0.33309938900000002</v>
      </c>
      <c r="L2183" s="8">
        <f>J2183/1000000</f>
        <v>0.67310000000000003</v>
      </c>
      <c r="M2183" t="s">
        <v>19</v>
      </c>
    </row>
    <row r="2184" spans="2:13" x14ac:dyDescent="0.25">
      <c r="B2184" t="s">
        <v>13</v>
      </c>
      <c r="C2184" t="s">
        <v>46</v>
      </c>
      <c r="D2184" t="s">
        <v>102</v>
      </c>
      <c r="E2184">
        <v>2027</v>
      </c>
      <c r="F2184" t="s">
        <v>57</v>
      </c>
      <c r="G2184" t="s">
        <v>17</v>
      </c>
      <c r="H2184" t="s">
        <v>18</v>
      </c>
      <c r="I2184" s="8">
        <v>311493.28940000001</v>
      </c>
      <c r="J2184" s="8">
        <v>671249.71145647496</v>
      </c>
      <c r="K2184" s="8">
        <f>I2184/1000000</f>
        <v>0.31149328939999998</v>
      </c>
      <c r="L2184" s="8">
        <f>J2184/1000000</f>
        <v>0.67124971145647494</v>
      </c>
      <c r="M2184" t="s">
        <v>19</v>
      </c>
    </row>
    <row r="2185" spans="2:13" x14ac:dyDescent="0.25">
      <c r="B2185" t="s">
        <v>13</v>
      </c>
      <c r="C2185" t="s">
        <v>46</v>
      </c>
      <c r="D2185" t="s">
        <v>52</v>
      </c>
      <c r="E2185">
        <v>2027</v>
      </c>
      <c r="F2185" t="s">
        <v>57</v>
      </c>
      <c r="G2185" t="s">
        <v>17</v>
      </c>
      <c r="H2185" t="s">
        <v>18</v>
      </c>
      <c r="I2185" s="8">
        <v>4095306.9608999998</v>
      </c>
      <c r="J2185" s="8">
        <v>3287387.7908920902</v>
      </c>
      <c r="K2185" s="8">
        <f>I2185/1000000</f>
        <v>4.0953069608999995</v>
      </c>
      <c r="L2185" s="8">
        <f>J2185/1000000</f>
        <v>3.2873877908920903</v>
      </c>
      <c r="M2185" t="s">
        <v>19</v>
      </c>
    </row>
    <row r="2186" spans="2:13" x14ac:dyDescent="0.25">
      <c r="B2186" t="s">
        <v>13</v>
      </c>
      <c r="C2186" t="s">
        <v>46</v>
      </c>
      <c r="D2186" t="s">
        <v>72</v>
      </c>
      <c r="E2186">
        <v>2028</v>
      </c>
      <c r="F2186" t="s">
        <v>57</v>
      </c>
      <c r="G2186" t="s">
        <v>17</v>
      </c>
      <c r="H2186" t="s">
        <v>18</v>
      </c>
      <c r="I2186" s="8">
        <v>12546270.2348</v>
      </c>
      <c r="J2186" s="8">
        <v>6036480.0169057297</v>
      </c>
      <c r="K2186" s="8">
        <f>I2186/1000000</f>
        <v>12.5462702348</v>
      </c>
      <c r="L2186" s="8">
        <f>J2186/1000000</f>
        <v>6.0364800169057293</v>
      </c>
      <c r="M2186" t="s">
        <v>19</v>
      </c>
    </row>
    <row r="2187" spans="2:13" x14ac:dyDescent="0.25">
      <c r="B2187" t="s">
        <v>13</v>
      </c>
      <c r="C2187" t="s">
        <v>46</v>
      </c>
      <c r="D2187" t="s">
        <v>15</v>
      </c>
      <c r="E2187">
        <v>2028</v>
      </c>
      <c r="F2187" t="s">
        <v>57</v>
      </c>
      <c r="G2187" t="s">
        <v>17</v>
      </c>
      <c r="H2187" t="s">
        <v>18</v>
      </c>
      <c r="I2187" s="8">
        <v>107858.9613</v>
      </c>
      <c r="J2187" s="8">
        <v>35886.979166666701</v>
      </c>
      <c r="K2187" s="8">
        <f>I2187/1000000</f>
        <v>0.1078589613</v>
      </c>
      <c r="L2187" s="8">
        <f>J2187/1000000</f>
        <v>3.5886979166666701E-2</v>
      </c>
      <c r="M2187" t="s">
        <v>19</v>
      </c>
    </row>
    <row r="2188" spans="2:13" x14ac:dyDescent="0.25">
      <c r="B2188" t="s">
        <v>13</v>
      </c>
      <c r="C2188" t="s">
        <v>46</v>
      </c>
      <c r="D2188" t="s">
        <v>15</v>
      </c>
      <c r="E2188">
        <v>2028</v>
      </c>
      <c r="F2188" t="s">
        <v>57</v>
      </c>
      <c r="G2188" t="s">
        <v>17</v>
      </c>
      <c r="H2188" t="s">
        <v>18</v>
      </c>
      <c r="I2188" s="8">
        <v>2339210.0120999999</v>
      </c>
      <c r="J2188" s="8">
        <v>778714.14193548402</v>
      </c>
      <c r="K2188" s="8">
        <f>I2188/1000000</f>
        <v>2.3392100121000001</v>
      </c>
      <c r="L2188" s="8">
        <f>J2188/1000000</f>
        <v>0.77871414193548405</v>
      </c>
      <c r="M2188" t="s">
        <v>19</v>
      </c>
    </row>
    <row r="2189" spans="2:13" x14ac:dyDescent="0.25">
      <c r="B2189" t="s">
        <v>13</v>
      </c>
      <c r="C2189" t="s">
        <v>14</v>
      </c>
      <c r="D2189" t="s">
        <v>52</v>
      </c>
      <c r="E2189">
        <v>2026</v>
      </c>
      <c r="F2189" t="s">
        <v>57</v>
      </c>
      <c r="G2189" t="s">
        <v>17</v>
      </c>
      <c r="H2189" t="s">
        <v>18</v>
      </c>
      <c r="I2189" s="8">
        <v>7723603.7589999996</v>
      </c>
      <c r="J2189" s="8">
        <v>7633086.3377999999</v>
      </c>
      <c r="K2189" s="8">
        <f>I2189/1000000</f>
        <v>7.7236037589999995</v>
      </c>
      <c r="L2189" s="8">
        <f>J2189/1000000</f>
        <v>7.6330863378</v>
      </c>
      <c r="M2189" t="s">
        <v>19</v>
      </c>
    </row>
    <row r="2190" spans="2:13" x14ac:dyDescent="0.25">
      <c r="B2190" t="s">
        <v>13</v>
      </c>
      <c r="C2190" t="s">
        <v>14</v>
      </c>
      <c r="D2190" t="s">
        <v>52</v>
      </c>
      <c r="E2190">
        <v>2029</v>
      </c>
      <c r="F2190" t="s">
        <v>57</v>
      </c>
      <c r="G2190" t="s">
        <v>17</v>
      </c>
      <c r="H2190" t="s">
        <v>18</v>
      </c>
      <c r="I2190" s="8">
        <v>7340725.9561999999</v>
      </c>
      <c r="J2190" s="8">
        <v>6366615.9139687503</v>
      </c>
      <c r="K2190" s="8">
        <f>I2190/1000000</f>
        <v>7.3407259562</v>
      </c>
      <c r="L2190" s="8">
        <f>J2190/1000000</f>
        <v>6.3666159139687499</v>
      </c>
      <c r="M2190" t="s">
        <v>19</v>
      </c>
    </row>
    <row r="2191" spans="2:13" x14ac:dyDescent="0.25">
      <c r="B2191" t="s">
        <v>13</v>
      </c>
      <c r="C2191" t="s">
        <v>46</v>
      </c>
      <c r="D2191" t="s">
        <v>70</v>
      </c>
      <c r="E2191">
        <v>2028</v>
      </c>
      <c r="F2191" t="s">
        <v>71</v>
      </c>
      <c r="G2191" t="s">
        <v>17</v>
      </c>
      <c r="H2191" t="s">
        <v>18</v>
      </c>
      <c r="I2191" s="8">
        <v>24370.219499999999</v>
      </c>
      <c r="J2191" s="8">
        <v>17249.9501475</v>
      </c>
      <c r="K2191" s="8">
        <f>I2191/1000000</f>
        <v>2.4370219499999998E-2</v>
      </c>
      <c r="L2191" s="8">
        <f>J2191/1000000</f>
        <v>1.7249950147499998E-2</v>
      </c>
      <c r="M2191" t="s">
        <v>19</v>
      </c>
    </row>
    <row r="2192" spans="2:13" x14ac:dyDescent="0.25">
      <c r="B2192" t="s">
        <v>13</v>
      </c>
      <c r="C2192" t="s">
        <v>46</v>
      </c>
      <c r="D2192" t="s">
        <v>70</v>
      </c>
      <c r="E2192">
        <v>2027</v>
      </c>
      <c r="F2192" t="s">
        <v>71</v>
      </c>
      <c r="G2192" t="s">
        <v>17</v>
      </c>
      <c r="H2192" t="s">
        <v>18</v>
      </c>
      <c r="I2192" s="8">
        <v>23947.736000000001</v>
      </c>
      <c r="J2192" s="8">
        <v>17142.8076</v>
      </c>
      <c r="K2192" s="8">
        <f>I2192/1000000</f>
        <v>2.3947736000000001E-2</v>
      </c>
      <c r="L2192" s="8">
        <f>J2192/1000000</f>
        <v>1.7142807600000001E-2</v>
      </c>
      <c r="M2192" t="s">
        <v>19</v>
      </c>
    </row>
    <row r="2193" spans="2:13" x14ac:dyDescent="0.25">
      <c r="B2193" t="s">
        <v>13</v>
      </c>
      <c r="C2193" t="s">
        <v>46</v>
      </c>
      <c r="D2193" t="s">
        <v>72</v>
      </c>
      <c r="E2193">
        <v>2027</v>
      </c>
      <c r="F2193" t="s">
        <v>71</v>
      </c>
      <c r="G2193" t="s">
        <v>17</v>
      </c>
      <c r="H2193" t="s">
        <v>18</v>
      </c>
      <c r="I2193" s="8">
        <v>59075.680399999997</v>
      </c>
      <c r="J2193" s="8">
        <v>24099.358924079999</v>
      </c>
      <c r="K2193" s="8">
        <f>I2193/1000000</f>
        <v>5.9075680399999997E-2</v>
      </c>
      <c r="L2193" s="8">
        <f>J2193/1000000</f>
        <v>2.4099358924079998E-2</v>
      </c>
      <c r="M2193" t="s">
        <v>19</v>
      </c>
    </row>
    <row r="2194" spans="2:13" x14ac:dyDescent="0.25">
      <c r="B2194" t="s">
        <v>13</v>
      </c>
      <c r="C2194" t="s">
        <v>46</v>
      </c>
      <c r="D2194" t="s">
        <v>72</v>
      </c>
      <c r="E2194">
        <v>2028</v>
      </c>
      <c r="F2194" t="s">
        <v>71</v>
      </c>
      <c r="G2194" t="s">
        <v>17</v>
      </c>
      <c r="H2194" t="s">
        <v>18</v>
      </c>
      <c r="I2194" s="8">
        <v>59644.067799999997</v>
      </c>
      <c r="J2194" s="8">
        <v>24463.182872625701</v>
      </c>
      <c r="K2194" s="8">
        <f>I2194/1000000</f>
        <v>5.9644067799999999E-2</v>
      </c>
      <c r="L2194" s="8">
        <f>J2194/1000000</f>
        <v>2.4463182872625701E-2</v>
      </c>
      <c r="M2194" t="s">
        <v>19</v>
      </c>
    </row>
    <row r="2195" spans="2:13" x14ac:dyDescent="0.25">
      <c r="B2195" t="s">
        <v>13</v>
      </c>
      <c r="C2195" t="s">
        <v>46</v>
      </c>
      <c r="D2195" t="s">
        <v>73</v>
      </c>
      <c r="E2195">
        <v>2027</v>
      </c>
      <c r="F2195" t="s">
        <v>71</v>
      </c>
      <c r="G2195" t="s">
        <v>17</v>
      </c>
      <c r="H2195" t="s">
        <v>18</v>
      </c>
      <c r="I2195" s="8">
        <v>24121.2906</v>
      </c>
      <c r="J2195" s="8">
        <v>25714.2114</v>
      </c>
      <c r="K2195" s="8">
        <f>I2195/1000000</f>
        <v>2.4121290600000001E-2</v>
      </c>
      <c r="L2195" s="8">
        <f>J2195/1000000</f>
        <v>2.5714211399999999E-2</v>
      </c>
      <c r="M2195" t="s">
        <v>19</v>
      </c>
    </row>
    <row r="2196" spans="2:13" x14ac:dyDescent="0.25">
      <c r="B2196" t="s">
        <v>13</v>
      </c>
      <c r="C2196" t="s">
        <v>46</v>
      </c>
      <c r="D2196" t="s">
        <v>73</v>
      </c>
      <c r="E2196">
        <v>2028</v>
      </c>
      <c r="F2196" t="s">
        <v>71</v>
      </c>
      <c r="G2196" t="s">
        <v>17</v>
      </c>
      <c r="H2196" t="s">
        <v>18</v>
      </c>
      <c r="I2196" s="8">
        <v>26011.262599999998</v>
      </c>
      <c r="J2196" s="8">
        <v>25874.92522125</v>
      </c>
      <c r="K2196" s="8">
        <f>I2196/1000000</f>
        <v>2.6011262599999998E-2</v>
      </c>
      <c r="L2196" s="8">
        <f>J2196/1000000</f>
        <v>2.5874925221250001E-2</v>
      </c>
      <c r="M2196" t="s">
        <v>19</v>
      </c>
    </row>
    <row r="2197" spans="2:13" x14ac:dyDescent="0.25">
      <c r="B2197" t="s">
        <v>13</v>
      </c>
      <c r="C2197" t="s">
        <v>46</v>
      </c>
      <c r="D2197" t="s">
        <v>73</v>
      </c>
      <c r="E2197">
        <v>2028</v>
      </c>
      <c r="F2197" t="s">
        <v>71</v>
      </c>
      <c r="G2197" t="s">
        <v>17</v>
      </c>
      <c r="H2197" t="s">
        <v>18</v>
      </c>
      <c r="I2197" s="8">
        <v>5840182.5334999999</v>
      </c>
      <c r="J2197" s="8">
        <v>5809571.3553395299</v>
      </c>
      <c r="K2197" s="8">
        <f>I2197/1000000</f>
        <v>5.8401825335000002</v>
      </c>
      <c r="L2197" s="8">
        <f>J2197/1000000</f>
        <v>5.8095713553395303</v>
      </c>
      <c r="M2197" t="s">
        <v>19</v>
      </c>
    </row>
    <row r="2198" spans="2:13" x14ac:dyDescent="0.25">
      <c r="B2198" t="s">
        <v>13</v>
      </c>
      <c r="C2198" t="s">
        <v>46</v>
      </c>
      <c r="D2198" t="s">
        <v>73</v>
      </c>
      <c r="E2198">
        <v>2029</v>
      </c>
      <c r="F2198" t="s">
        <v>71</v>
      </c>
      <c r="G2198" t="s">
        <v>17</v>
      </c>
      <c r="H2198" t="s">
        <v>18</v>
      </c>
      <c r="I2198" s="8">
        <v>5734047.2504000003</v>
      </c>
      <c r="J2198" s="8">
        <v>5703992.4073977498</v>
      </c>
      <c r="K2198" s="8">
        <f>I2198/1000000</f>
        <v>5.7340472504000006</v>
      </c>
      <c r="L2198" s="8">
        <f>J2198/1000000</f>
        <v>5.7039924073977497</v>
      </c>
      <c r="M2198" t="s">
        <v>19</v>
      </c>
    </row>
    <row r="2199" spans="2:13" x14ac:dyDescent="0.25">
      <c r="B2199" t="s">
        <v>13</v>
      </c>
      <c r="C2199" t="s">
        <v>46</v>
      </c>
      <c r="D2199" t="s">
        <v>73</v>
      </c>
      <c r="E2199">
        <v>2030</v>
      </c>
      <c r="F2199" t="s">
        <v>71</v>
      </c>
      <c r="G2199" t="s">
        <v>17</v>
      </c>
      <c r="H2199" t="s">
        <v>18</v>
      </c>
      <c r="I2199" s="8">
        <v>5576773.5203</v>
      </c>
      <c r="J2199" s="8">
        <v>5547543.0235723499</v>
      </c>
      <c r="K2199" s="8">
        <f>I2199/1000000</f>
        <v>5.5767735202999997</v>
      </c>
      <c r="L2199" s="8">
        <f>J2199/1000000</f>
        <v>5.5475430235723495</v>
      </c>
      <c r="M2199" t="s">
        <v>19</v>
      </c>
    </row>
    <row r="2200" spans="2:13" x14ac:dyDescent="0.25">
      <c r="B2200" t="s">
        <v>13</v>
      </c>
      <c r="C2200" t="s">
        <v>46</v>
      </c>
      <c r="D2200" t="s">
        <v>73</v>
      </c>
      <c r="E2200">
        <v>2026</v>
      </c>
      <c r="F2200" t="s">
        <v>71</v>
      </c>
      <c r="G2200" t="s">
        <v>17</v>
      </c>
      <c r="H2200" t="s">
        <v>18</v>
      </c>
      <c r="I2200" s="8">
        <v>2392652.2921000002</v>
      </c>
      <c r="J2200" s="8">
        <v>2542655.4894885798</v>
      </c>
      <c r="K2200" s="8">
        <f>I2200/1000000</f>
        <v>2.3926522921000002</v>
      </c>
      <c r="L2200" s="8">
        <f>J2200/1000000</f>
        <v>2.5426554894885798</v>
      </c>
      <c r="M2200" t="s">
        <v>19</v>
      </c>
    </row>
    <row r="2201" spans="2:13" x14ac:dyDescent="0.25">
      <c r="B2201" t="s">
        <v>13</v>
      </c>
      <c r="C2201" t="s">
        <v>46</v>
      </c>
      <c r="D2201" t="s">
        <v>73</v>
      </c>
      <c r="E2201">
        <v>2027</v>
      </c>
      <c r="F2201" t="s">
        <v>71</v>
      </c>
      <c r="G2201" t="s">
        <v>17</v>
      </c>
      <c r="H2201" t="s">
        <v>18</v>
      </c>
      <c r="I2201" s="8">
        <v>5553835.5773</v>
      </c>
      <c r="J2201" s="8">
        <v>5920587.2633351004</v>
      </c>
      <c r="K2201" s="8">
        <f>I2201/1000000</f>
        <v>5.5538355773000001</v>
      </c>
      <c r="L2201" s="8">
        <f>J2201/1000000</f>
        <v>5.9205872633351007</v>
      </c>
      <c r="M2201" t="s">
        <v>19</v>
      </c>
    </row>
    <row r="2202" spans="2:13" x14ac:dyDescent="0.25">
      <c r="B2202" t="s">
        <v>13</v>
      </c>
      <c r="C2202" t="s">
        <v>46</v>
      </c>
      <c r="D2202" t="s">
        <v>70</v>
      </c>
      <c r="E2202">
        <v>2028</v>
      </c>
      <c r="F2202" t="s">
        <v>71</v>
      </c>
      <c r="G2202" t="s">
        <v>17</v>
      </c>
      <c r="H2202" t="s">
        <v>18</v>
      </c>
      <c r="I2202" s="8">
        <v>6871194.3471999997</v>
      </c>
      <c r="J2202" s="8">
        <v>4863631.1934953602</v>
      </c>
      <c r="K2202" s="8">
        <f>I2202/1000000</f>
        <v>6.8711943471999994</v>
      </c>
      <c r="L2202" s="8">
        <f>J2202/1000000</f>
        <v>4.86363119349536</v>
      </c>
      <c r="M2202" t="s">
        <v>19</v>
      </c>
    </row>
    <row r="2203" spans="2:13" x14ac:dyDescent="0.25">
      <c r="B2203" t="s">
        <v>13</v>
      </c>
      <c r="C2203" t="s">
        <v>46</v>
      </c>
      <c r="D2203" t="s">
        <v>70</v>
      </c>
      <c r="E2203">
        <v>2029</v>
      </c>
      <c r="F2203" t="s">
        <v>71</v>
      </c>
      <c r="G2203" t="s">
        <v>17</v>
      </c>
      <c r="H2203" t="s">
        <v>18</v>
      </c>
      <c r="I2203" s="8">
        <v>7914278.1245999997</v>
      </c>
      <c r="J2203" s="8">
        <v>4977262.5340887802</v>
      </c>
      <c r="K2203" s="8">
        <f>I2203/1000000</f>
        <v>7.9142781246</v>
      </c>
      <c r="L2203" s="8">
        <f>J2203/1000000</f>
        <v>4.9772625340887799</v>
      </c>
      <c r="M2203" t="s">
        <v>19</v>
      </c>
    </row>
    <row r="2204" spans="2:13" x14ac:dyDescent="0.25">
      <c r="B2204" t="s">
        <v>13</v>
      </c>
      <c r="C2204" t="s">
        <v>46</v>
      </c>
      <c r="D2204" t="s">
        <v>70</v>
      </c>
      <c r="E2204">
        <v>2030</v>
      </c>
      <c r="F2204" t="s">
        <v>71</v>
      </c>
      <c r="G2204" t="s">
        <v>17</v>
      </c>
      <c r="H2204" t="s">
        <v>18</v>
      </c>
      <c r="I2204" s="8">
        <v>6522641.4079999998</v>
      </c>
      <c r="J2204" s="8">
        <v>4098454.6284417398</v>
      </c>
      <c r="K2204" s="8">
        <f>I2204/1000000</f>
        <v>6.5226414080000001</v>
      </c>
      <c r="L2204" s="8">
        <f>J2204/1000000</f>
        <v>4.0984546284417398</v>
      </c>
      <c r="M2204" t="s">
        <v>19</v>
      </c>
    </row>
    <row r="2205" spans="2:13" x14ac:dyDescent="0.25">
      <c r="B2205" t="s">
        <v>13</v>
      </c>
      <c r="C2205" t="s">
        <v>46</v>
      </c>
      <c r="D2205" t="s">
        <v>70</v>
      </c>
      <c r="E2205">
        <v>2026</v>
      </c>
      <c r="F2205" t="s">
        <v>71</v>
      </c>
      <c r="G2205" t="s">
        <v>17</v>
      </c>
      <c r="H2205" t="s">
        <v>18</v>
      </c>
      <c r="I2205" s="8">
        <v>7997600.1254000003</v>
      </c>
      <c r="J2205" s="8">
        <v>4633876.1664000005</v>
      </c>
      <c r="K2205" s="8">
        <f>I2205/1000000</f>
        <v>7.9976001254</v>
      </c>
      <c r="L2205" s="8">
        <f>J2205/1000000</f>
        <v>4.6338761664000003</v>
      </c>
      <c r="M2205" t="s">
        <v>19</v>
      </c>
    </row>
    <row r="2206" spans="2:13" x14ac:dyDescent="0.25">
      <c r="B2206" t="s">
        <v>13</v>
      </c>
      <c r="C2206" t="s">
        <v>46</v>
      </c>
      <c r="D2206" t="s">
        <v>70</v>
      </c>
      <c r="E2206">
        <v>2027</v>
      </c>
      <c r="F2206" t="s">
        <v>71</v>
      </c>
      <c r="G2206" t="s">
        <v>17</v>
      </c>
      <c r="H2206" t="s">
        <v>18</v>
      </c>
      <c r="I2206" s="8">
        <v>6687119.1634</v>
      </c>
      <c r="J2206" s="8">
        <v>4786924.1975999996</v>
      </c>
      <c r="K2206" s="8">
        <f>I2206/1000000</f>
        <v>6.6871191634000002</v>
      </c>
      <c r="L2206" s="8">
        <f>J2206/1000000</f>
        <v>4.7869241975999994</v>
      </c>
      <c r="M2206" t="s">
        <v>19</v>
      </c>
    </row>
    <row r="2207" spans="2:13" x14ac:dyDescent="0.25">
      <c r="B2207" t="s">
        <v>13</v>
      </c>
      <c r="C2207" t="s">
        <v>46</v>
      </c>
      <c r="D2207" t="s">
        <v>15</v>
      </c>
      <c r="E2207">
        <v>2027</v>
      </c>
      <c r="F2207" t="s">
        <v>71</v>
      </c>
      <c r="G2207" t="s">
        <v>17</v>
      </c>
      <c r="H2207" t="s">
        <v>18</v>
      </c>
      <c r="I2207" s="8">
        <v>25349.061300000001</v>
      </c>
      <c r="J2207" s="8">
        <v>5483.4210526316001</v>
      </c>
      <c r="K2207" s="8">
        <f>I2207/1000000</f>
        <v>2.53490613E-2</v>
      </c>
      <c r="L2207" s="8">
        <f>J2207/1000000</f>
        <v>5.4834210526316001E-3</v>
      </c>
      <c r="M2207" t="s">
        <v>19</v>
      </c>
    </row>
    <row r="2208" spans="2:13" x14ac:dyDescent="0.25">
      <c r="B2208" t="s">
        <v>13</v>
      </c>
      <c r="C2208" t="s">
        <v>46</v>
      </c>
      <c r="D2208" t="s">
        <v>15</v>
      </c>
      <c r="E2208">
        <v>2028</v>
      </c>
      <c r="F2208" t="s">
        <v>71</v>
      </c>
      <c r="G2208" t="s">
        <v>17</v>
      </c>
      <c r="H2208" t="s">
        <v>18</v>
      </c>
      <c r="I2208" s="8">
        <v>16814.510399999999</v>
      </c>
      <c r="J2208" s="8">
        <v>5595.5263157894997</v>
      </c>
      <c r="K2208" s="8">
        <f>I2208/1000000</f>
        <v>1.68145104E-2</v>
      </c>
      <c r="L2208" s="8">
        <f>J2208/1000000</f>
        <v>5.5955263157894996E-3</v>
      </c>
      <c r="M2208" t="s">
        <v>19</v>
      </c>
    </row>
    <row r="2209" spans="2:13" x14ac:dyDescent="0.25">
      <c r="B2209" t="s">
        <v>13</v>
      </c>
      <c r="C2209" t="s">
        <v>46</v>
      </c>
      <c r="D2209" t="s">
        <v>100</v>
      </c>
      <c r="E2209">
        <v>2027</v>
      </c>
      <c r="F2209" t="s">
        <v>71</v>
      </c>
      <c r="G2209" t="s">
        <v>17</v>
      </c>
      <c r="H2209" t="s">
        <v>18</v>
      </c>
      <c r="I2209" s="8">
        <v>35478.196100000001</v>
      </c>
      <c r="J2209" s="8">
        <v>16507.888800000001</v>
      </c>
      <c r="K2209" s="8">
        <f>I2209/1000000</f>
        <v>3.5478196099999998E-2</v>
      </c>
      <c r="L2209" s="8">
        <f>J2209/1000000</f>
        <v>1.6507888800000002E-2</v>
      </c>
      <c r="M2209" t="s">
        <v>19</v>
      </c>
    </row>
    <row r="2210" spans="2:13" x14ac:dyDescent="0.25">
      <c r="B2210" t="s">
        <v>13</v>
      </c>
      <c r="C2210" t="s">
        <v>46</v>
      </c>
      <c r="D2210" t="s">
        <v>100</v>
      </c>
      <c r="E2210">
        <v>2028</v>
      </c>
      <c r="F2210" t="s">
        <v>71</v>
      </c>
      <c r="G2210" t="s">
        <v>17</v>
      </c>
      <c r="H2210" t="s">
        <v>18</v>
      </c>
      <c r="I2210" s="8">
        <v>35358.1322</v>
      </c>
      <c r="J2210" s="8">
        <v>16611.063105000001</v>
      </c>
      <c r="K2210" s="8">
        <f>I2210/1000000</f>
        <v>3.5358132200000003E-2</v>
      </c>
      <c r="L2210" s="8">
        <f>J2210/1000000</f>
        <v>1.6611063105000001E-2</v>
      </c>
      <c r="M2210" t="s">
        <v>19</v>
      </c>
    </row>
    <row r="2211" spans="2:13" x14ac:dyDescent="0.25">
      <c r="B2211" t="s">
        <v>13</v>
      </c>
      <c r="C2211" t="s">
        <v>46</v>
      </c>
      <c r="D2211" t="s">
        <v>15</v>
      </c>
      <c r="E2211">
        <v>2028</v>
      </c>
      <c r="F2211" t="s">
        <v>71</v>
      </c>
      <c r="G2211" t="s">
        <v>17</v>
      </c>
      <c r="H2211" t="s">
        <v>18</v>
      </c>
      <c r="I2211" s="8">
        <v>1721168.8732</v>
      </c>
      <c r="J2211" s="8">
        <v>572769.915377895</v>
      </c>
      <c r="K2211" s="8">
        <f>I2211/1000000</f>
        <v>1.7211688732000001</v>
      </c>
      <c r="L2211" s="8">
        <f>J2211/1000000</f>
        <v>0.57276991537789501</v>
      </c>
      <c r="M2211" t="s">
        <v>19</v>
      </c>
    </row>
    <row r="2212" spans="2:13" x14ac:dyDescent="0.25">
      <c r="B2212" t="s">
        <v>13</v>
      </c>
      <c r="C2212" t="s">
        <v>46</v>
      </c>
      <c r="D2212" t="s">
        <v>15</v>
      </c>
      <c r="E2212">
        <v>2026</v>
      </c>
      <c r="F2212" t="s">
        <v>71</v>
      </c>
      <c r="G2212" t="s">
        <v>17</v>
      </c>
      <c r="H2212" t="s">
        <v>18</v>
      </c>
      <c r="I2212" s="8">
        <v>4777994.3755999999</v>
      </c>
      <c r="J2212" s="8">
        <v>462577.62758129998</v>
      </c>
      <c r="K2212" s="8">
        <f>I2212/1000000</f>
        <v>4.7779943755999996</v>
      </c>
      <c r="L2212" s="8">
        <f>J2212/1000000</f>
        <v>0.4625776275813</v>
      </c>
      <c r="M2212" t="s">
        <v>19</v>
      </c>
    </row>
    <row r="2213" spans="2:13" x14ac:dyDescent="0.25">
      <c r="B2213" t="s">
        <v>13</v>
      </c>
      <c r="C2213" t="s">
        <v>46</v>
      </c>
      <c r="D2213" t="s">
        <v>15</v>
      </c>
      <c r="E2213">
        <v>2027</v>
      </c>
      <c r="F2213" t="s">
        <v>71</v>
      </c>
      <c r="G2213" t="s">
        <v>17</v>
      </c>
      <c r="H2213" t="s">
        <v>18</v>
      </c>
      <c r="I2213" s="8">
        <v>2709430.9465000001</v>
      </c>
      <c r="J2213" s="8">
        <v>586094.70747789496</v>
      </c>
      <c r="K2213" s="8">
        <f>I2213/1000000</f>
        <v>2.7094309464999999</v>
      </c>
      <c r="L2213" s="8">
        <f>J2213/1000000</f>
        <v>0.58609470747789494</v>
      </c>
      <c r="M2213" t="s">
        <v>19</v>
      </c>
    </row>
    <row r="2214" spans="2:13" x14ac:dyDescent="0.25">
      <c r="B2214" t="s">
        <v>13</v>
      </c>
      <c r="C2214" t="s">
        <v>46</v>
      </c>
      <c r="D2214" t="s">
        <v>15</v>
      </c>
      <c r="E2214">
        <v>2030</v>
      </c>
      <c r="F2214" t="s">
        <v>71</v>
      </c>
      <c r="G2214" t="s">
        <v>17</v>
      </c>
      <c r="H2214" t="s">
        <v>18</v>
      </c>
      <c r="I2214" s="8">
        <v>1633089.3389999999</v>
      </c>
      <c r="J2214" s="8">
        <v>543458.84185894695</v>
      </c>
      <c r="K2214" s="8">
        <f>I2214/1000000</f>
        <v>1.6330893389999999</v>
      </c>
      <c r="L2214" s="8">
        <f>J2214/1000000</f>
        <v>0.54345884185894699</v>
      </c>
      <c r="M2214" t="s">
        <v>19</v>
      </c>
    </row>
    <row r="2215" spans="2:13" x14ac:dyDescent="0.25">
      <c r="B2215" t="s">
        <v>13</v>
      </c>
      <c r="C2215" t="s">
        <v>46</v>
      </c>
      <c r="D2215" t="s">
        <v>100</v>
      </c>
      <c r="E2215">
        <v>2029</v>
      </c>
      <c r="F2215" t="s">
        <v>71</v>
      </c>
      <c r="G2215" t="s">
        <v>17</v>
      </c>
      <c r="H2215" t="s">
        <v>18</v>
      </c>
      <c r="I2215" s="8">
        <v>8354290.6966000004</v>
      </c>
      <c r="J2215" s="8">
        <v>3682592.73474239</v>
      </c>
      <c r="K2215" s="8">
        <f>I2215/1000000</f>
        <v>8.3542906965999997</v>
      </c>
      <c r="L2215" s="8">
        <f>J2215/1000000</f>
        <v>3.6825927347423901</v>
      </c>
      <c r="M2215" t="s">
        <v>19</v>
      </c>
    </row>
    <row r="2216" spans="2:13" x14ac:dyDescent="0.25">
      <c r="B2216" t="s">
        <v>13</v>
      </c>
      <c r="C2216" t="s">
        <v>46</v>
      </c>
      <c r="D2216" t="s">
        <v>100</v>
      </c>
      <c r="E2216">
        <v>2030</v>
      </c>
      <c r="F2216" t="s">
        <v>71</v>
      </c>
      <c r="G2216" t="s">
        <v>17</v>
      </c>
      <c r="H2216" t="s">
        <v>18</v>
      </c>
      <c r="I2216" s="8">
        <v>8053204.2795000002</v>
      </c>
      <c r="J2216" s="8">
        <v>3581447.2937595998</v>
      </c>
      <c r="K2216" s="8">
        <f>I2216/1000000</f>
        <v>8.053204279500001</v>
      </c>
      <c r="L2216" s="8">
        <f>J2216/1000000</f>
        <v>3.5814472937595996</v>
      </c>
      <c r="M2216" t="s">
        <v>19</v>
      </c>
    </row>
    <row r="2217" spans="2:13" x14ac:dyDescent="0.25">
      <c r="B2217" t="s">
        <v>13</v>
      </c>
      <c r="C2217" t="s">
        <v>46</v>
      </c>
      <c r="D2217" t="s">
        <v>100</v>
      </c>
      <c r="E2217">
        <v>2028</v>
      </c>
      <c r="F2217" t="s">
        <v>71</v>
      </c>
      <c r="G2217" t="s">
        <v>17</v>
      </c>
      <c r="H2217" t="s">
        <v>18</v>
      </c>
      <c r="I2217" s="8">
        <v>7984134.0998999998</v>
      </c>
      <c r="J2217" s="8">
        <v>3750903.8843022599</v>
      </c>
      <c r="K2217" s="8">
        <f>I2217/1000000</f>
        <v>7.9841340998999994</v>
      </c>
      <c r="L2217" s="8">
        <f>J2217/1000000</f>
        <v>3.75090388430226</v>
      </c>
      <c r="M2217" t="s">
        <v>19</v>
      </c>
    </row>
    <row r="2218" spans="2:13" x14ac:dyDescent="0.25">
      <c r="B2218" t="s">
        <v>13</v>
      </c>
      <c r="C2218" t="s">
        <v>46</v>
      </c>
      <c r="D2218" t="s">
        <v>100</v>
      </c>
      <c r="E2218">
        <v>2027</v>
      </c>
      <c r="F2218" t="s">
        <v>71</v>
      </c>
      <c r="G2218" t="s">
        <v>17</v>
      </c>
      <c r="H2218" t="s">
        <v>18</v>
      </c>
      <c r="I2218" s="8">
        <v>10077303.011399999</v>
      </c>
      <c r="J2218" s="8">
        <v>4688936.1833600001</v>
      </c>
      <c r="K2218" s="8">
        <f>I2218/1000000</f>
        <v>10.0773030114</v>
      </c>
      <c r="L2218" s="8">
        <f>J2218/1000000</f>
        <v>4.6889361833600001</v>
      </c>
      <c r="M2218" t="s">
        <v>19</v>
      </c>
    </row>
    <row r="2219" spans="2:13" x14ac:dyDescent="0.25">
      <c r="B2219" t="s">
        <v>13</v>
      </c>
      <c r="C2219" t="s">
        <v>46</v>
      </c>
      <c r="D2219" t="s">
        <v>72</v>
      </c>
      <c r="E2219">
        <v>2026</v>
      </c>
      <c r="F2219" t="s">
        <v>71</v>
      </c>
      <c r="G2219" t="s">
        <v>17</v>
      </c>
      <c r="H2219" t="s">
        <v>18</v>
      </c>
      <c r="I2219" s="8">
        <v>11171221.4936</v>
      </c>
      <c r="J2219" s="8">
        <v>3917887.14728858</v>
      </c>
      <c r="K2219" s="8">
        <f>I2219/1000000</f>
        <v>11.171221493599999</v>
      </c>
      <c r="L2219" s="8">
        <f>J2219/1000000</f>
        <v>3.9178871472885799</v>
      </c>
      <c r="M2219" t="s">
        <v>19</v>
      </c>
    </row>
    <row r="2220" spans="2:13" x14ac:dyDescent="0.25">
      <c r="B2220" t="s">
        <v>13</v>
      </c>
      <c r="C2220" t="s">
        <v>46</v>
      </c>
      <c r="D2220" t="s">
        <v>72</v>
      </c>
      <c r="E2220">
        <v>2029</v>
      </c>
      <c r="F2220" t="s">
        <v>71</v>
      </c>
      <c r="G2220" t="s">
        <v>17</v>
      </c>
      <c r="H2220" t="s">
        <v>18</v>
      </c>
      <c r="I2220" s="8">
        <v>11910595.5342</v>
      </c>
      <c r="J2220" s="8">
        <v>5703992.4073977498</v>
      </c>
      <c r="K2220" s="8">
        <f>I2220/1000000</f>
        <v>11.910595534200001</v>
      </c>
      <c r="L2220" s="8">
        <f>J2220/1000000</f>
        <v>5.7039924073977497</v>
      </c>
      <c r="M2220" t="s">
        <v>19</v>
      </c>
    </row>
    <row r="2221" spans="2:13" x14ac:dyDescent="0.25">
      <c r="B2221" t="s">
        <v>13</v>
      </c>
      <c r="C2221" t="s">
        <v>46</v>
      </c>
      <c r="D2221" t="s">
        <v>72</v>
      </c>
      <c r="E2221">
        <v>2030</v>
      </c>
      <c r="F2221" t="s">
        <v>71</v>
      </c>
      <c r="G2221" t="s">
        <v>17</v>
      </c>
      <c r="H2221" t="s">
        <v>18</v>
      </c>
      <c r="I2221" s="8">
        <v>11583911.1351</v>
      </c>
      <c r="J2221" s="8">
        <v>5547543.0235723499</v>
      </c>
      <c r="K2221" s="8">
        <f>I2221/1000000</f>
        <v>11.583911135099999</v>
      </c>
      <c r="L2221" s="8">
        <f>J2221/1000000</f>
        <v>5.5475430235723495</v>
      </c>
      <c r="M2221" t="s">
        <v>19</v>
      </c>
    </row>
    <row r="2222" spans="2:13" x14ac:dyDescent="0.25">
      <c r="B2222" t="s">
        <v>13</v>
      </c>
      <c r="C2222" t="s">
        <v>46</v>
      </c>
      <c r="D2222" t="s">
        <v>72</v>
      </c>
      <c r="E2222">
        <v>2028</v>
      </c>
      <c r="F2222" t="s">
        <v>71</v>
      </c>
      <c r="G2222" t="s">
        <v>17</v>
      </c>
      <c r="H2222" t="s">
        <v>18</v>
      </c>
      <c r="I2222" s="8">
        <v>14164406.5569</v>
      </c>
      <c r="J2222" s="8">
        <v>5809571.3553395299</v>
      </c>
      <c r="K2222" s="8">
        <f>I2222/1000000</f>
        <v>14.1644065569</v>
      </c>
      <c r="L2222" s="8">
        <f>J2222/1000000</f>
        <v>5.8095713553395303</v>
      </c>
      <c r="M2222" t="s">
        <v>19</v>
      </c>
    </row>
    <row r="2223" spans="2:13" x14ac:dyDescent="0.25">
      <c r="B2223" t="s">
        <v>13</v>
      </c>
      <c r="C2223" t="s">
        <v>46</v>
      </c>
      <c r="D2223" t="s">
        <v>72</v>
      </c>
      <c r="E2223">
        <v>2027</v>
      </c>
      <c r="F2223" t="s">
        <v>71</v>
      </c>
      <c r="G2223" t="s">
        <v>17</v>
      </c>
      <c r="H2223" t="s">
        <v>18</v>
      </c>
      <c r="I2223" s="8">
        <v>14513373.5495</v>
      </c>
      <c r="J2223" s="8">
        <v>5920587.2633351004</v>
      </c>
      <c r="K2223" s="8">
        <f>I2223/1000000</f>
        <v>14.513373549499999</v>
      </c>
      <c r="L2223" s="8">
        <f>J2223/1000000</f>
        <v>5.9205872633351007</v>
      </c>
      <c r="M2223" t="s">
        <v>19</v>
      </c>
    </row>
    <row r="2224" spans="2:13" x14ac:dyDescent="0.25">
      <c r="B2224" t="s">
        <v>13</v>
      </c>
      <c r="C2224" t="s">
        <v>46</v>
      </c>
      <c r="D2224" t="s">
        <v>76</v>
      </c>
      <c r="E2224">
        <v>2029</v>
      </c>
      <c r="F2224" t="s">
        <v>71</v>
      </c>
      <c r="G2224" t="s">
        <v>17</v>
      </c>
      <c r="H2224" t="s">
        <v>18</v>
      </c>
      <c r="I2224" s="8">
        <v>4362280.0005999999</v>
      </c>
      <c r="J2224" s="8">
        <v>1358676.54545791</v>
      </c>
      <c r="K2224" s="8">
        <f>I2224/1000000</f>
        <v>4.3622800006000002</v>
      </c>
      <c r="L2224" s="8">
        <f>J2224/1000000</f>
        <v>1.3586765454579099</v>
      </c>
      <c r="M2224" t="s">
        <v>39</v>
      </c>
    </row>
    <row r="2225" spans="2:13" x14ac:dyDescent="0.25">
      <c r="B2225" t="s">
        <v>13</v>
      </c>
      <c r="C2225" t="s">
        <v>46</v>
      </c>
      <c r="D2225" t="s">
        <v>76</v>
      </c>
      <c r="E2225">
        <v>2030</v>
      </c>
      <c r="F2225" t="s">
        <v>71</v>
      </c>
      <c r="G2225" t="s">
        <v>17</v>
      </c>
      <c r="H2225" t="s">
        <v>18</v>
      </c>
      <c r="I2225" s="8">
        <v>4679566.4256999996</v>
      </c>
      <c r="J2225" s="8">
        <v>1457498.6347771401</v>
      </c>
      <c r="K2225" s="8">
        <f>I2225/1000000</f>
        <v>4.6795664256999991</v>
      </c>
      <c r="L2225" s="8">
        <f>J2225/1000000</f>
        <v>1.4574986347771401</v>
      </c>
      <c r="M2225" t="s">
        <v>39</v>
      </c>
    </row>
    <row r="2226" spans="2:13" x14ac:dyDescent="0.25">
      <c r="B2226" t="s">
        <v>13</v>
      </c>
      <c r="C2226" t="s">
        <v>46</v>
      </c>
      <c r="D2226" t="s">
        <v>102</v>
      </c>
      <c r="E2226">
        <v>2028</v>
      </c>
      <c r="F2226" t="s">
        <v>71</v>
      </c>
      <c r="G2226" t="s">
        <v>17</v>
      </c>
      <c r="H2226" t="s">
        <v>18</v>
      </c>
      <c r="I2226" s="8">
        <v>269100.22720000002</v>
      </c>
      <c r="J2226" s="8">
        <v>795579.948468655</v>
      </c>
      <c r="K2226" s="8">
        <f>I2226/1000000</f>
        <v>0.26910022720000004</v>
      </c>
      <c r="L2226" s="8">
        <f>J2226/1000000</f>
        <v>0.79557994846865498</v>
      </c>
      <c r="M2226" t="s">
        <v>19</v>
      </c>
    </row>
    <row r="2227" spans="2:13" x14ac:dyDescent="0.25">
      <c r="B2227" t="s">
        <v>13</v>
      </c>
      <c r="C2227" t="s">
        <v>46</v>
      </c>
      <c r="D2227" t="s">
        <v>102</v>
      </c>
      <c r="E2227">
        <v>2029</v>
      </c>
      <c r="F2227" t="s">
        <v>71</v>
      </c>
      <c r="G2227" t="s">
        <v>17</v>
      </c>
      <c r="H2227" t="s">
        <v>18</v>
      </c>
      <c r="I2227" s="8">
        <v>225454.9957</v>
      </c>
      <c r="J2227" s="8">
        <v>666545.23379278101</v>
      </c>
      <c r="K2227" s="8">
        <f>I2227/1000000</f>
        <v>0.22545499569999999</v>
      </c>
      <c r="L2227" s="8">
        <f>J2227/1000000</f>
        <v>0.66654523379278097</v>
      </c>
      <c r="M2227" t="s">
        <v>19</v>
      </c>
    </row>
    <row r="2228" spans="2:13" x14ac:dyDescent="0.25">
      <c r="B2228" t="s">
        <v>13</v>
      </c>
      <c r="C2228" t="s">
        <v>46</v>
      </c>
      <c r="D2228" t="s">
        <v>102</v>
      </c>
      <c r="E2228">
        <v>2030</v>
      </c>
      <c r="F2228" t="s">
        <v>71</v>
      </c>
      <c r="G2228" t="s">
        <v>17</v>
      </c>
      <c r="H2228" t="s">
        <v>18</v>
      </c>
      <c r="I2228" s="8">
        <v>230704.24460000001</v>
      </c>
      <c r="J2228" s="8">
        <v>682064.34818539803</v>
      </c>
      <c r="K2228" s="8">
        <f>I2228/1000000</f>
        <v>0.2307042446</v>
      </c>
      <c r="L2228" s="8">
        <f>J2228/1000000</f>
        <v>0.68206434818539807</v>
      </c>
      <c r="M2228" t="s">
        <v>19</v>
      </c>
    </row>
    <row r="2229" spans="2:13" x14ac:dyDescent="0.25">
      <c r="B2229" t="s">
        <v>13</v>
      </c>
      <c r="C2229" t="s">
        <v>46</v>
      </c>
      <c r="D2229" t="s">
        <v>103</v>
      </c>
      <c r="E2229">
        <v>2029</v>
      </c>
      <c r="F2229" t="s">
        <v>71</v>
      </c>
      <c r="G2229" t="s">
        <v>17</v>
      </c>
      <c r="H2229" t="s">
        <v>18</v>
      </c>
      <c r="I2229" s="8">
        <v>300513.48190000001</v>
      </c>
      <c r="J2229" s="8">
        <v>29458.912027124999</v>
      </c>
      <c r="K2229" s="8">
        <f>I2229/1000000</f>
        <v>0.30051348189999999</v>
      </c>
      <c r="L2229" s="8">
        <f>J2229/1000000</f>
        <v>2.9458912027125E-2</v>
      </c>
      <c r="M2229" t="s">
        <v>39</v>
      </c>
    </row>
    <row r="2230" spans="2:13" x14ac:dyDescent="0.25">
      <c r="B2230" t="s">
        <v>13</v>
      </c>
      <c r="C2230" t="s">
        <v>46</v>
      </c>
      <c r="D2230" t="s">
        <v>103</v>
      </c>
      <c r="E2230">
        <v>2030</v>
      </c>
      <c r="F2230" t="s">
        <v>71</v>
      </c>
      <c r="G2230" t="s">
        <v>17</v>
      </c>
      <c r="H2230" t="s">
        <v>18</v>
      </c>
      <c r="I2230" s="8">
        <v>263330.91820000001</v>
      </c>
      <c r="J2230" s="8">
        <v>25813.957842374999</v>
      </c>
      <c r="K2230" s="8">
        <f>I2230/1000000</f>
        <v>0.26333091820000004</v>
      </c>
      <c r="L2230" s="8">
        <f>J2230/1000000</f>
        <v>2.5813957842374998E-2</v>
      </c>
      <c r="M2230" t="s">
        <v>39</v>
      </c>
    </row>
    <row r="2231" spans="2:13" x14ac:dyDescent="0.25">
      <c r="B2231" t="s">
        <v>13</v>
      </c>
      <c r="C2231" t="s">
        <v>46</v>
      </c>
      <c r="D2231" t="s">
        <v>100</v>
      </c>
      <c r="E2231">
        <v>2026</v>
      </c>
      <c r="F2231" t="s">
        <v>71</v>
      </c>
      <c r="G2231" t="s">
        <v>17</v>
      </c>
      <c r="H2231" t="s">
        <v>18</v>
      </c>
      <c r="I2231" s="8">
        <v>10688483.3926</v>
      </c>
      <c r="J2231" s="8">
        <v>5020032.5136000002</v>
      </c>
      <c r="K2231" s="8">
        <f>I2231/1000000</f>
        <v>10.6884833926</v>
      </c>
      <c r="L2231" s="8">
        <f>J2231/1000000</f>
        <v>5.0200325136000004</v>
      </c>
      <c r="M2231" t="s">
        <v>19</v>
      </c>
    </row>
    <row r="2232" spans="2:13" x14ac:dyDescent="0.25">
      <c r="B2232" t="s">
        <v>13</v>
      </c>
      <c r="C2232" t="s">
        <v>46</v>
      </c>
      <c r="D2232" t="s">
        <v>15</v>
      </c>
      <c r="E2232">
        <v>2029</v>
      </c>
      <c r="F2232" t="s">
        <v>71</v>
      </c>
      <c r="G2232" t="s">
        <v>17</v>
      </c>
      <c r="H2232" t="s">
        <v>18</v>
      </c>
      <c r="I2232" s="8">
        <v>1682710.7871999999</v>
      </c>
      <c r="J2232" s="8">
        <v>559971.84830263199</v>
      </c>
      <c r="K2232" s="8">
        <f>I2232/1000000</f>
        <v>1.6827107872</v>
      </c>
      <c r="L2232" s="8">
        <f>J2232/1000000</f>
        <v>0.55997184830263202</v>
      </c>
      <c r="M2232" t="s">
        <v>19</v>
      </c>
    </row>
    <row r="2233" spans="2:13" x14ac:dyDescent="0.25">
      <c r="B2233" t="s">
        <v>13</v>
      </c>
      <c r="C2233" t="s">
        <v>46</v>
      </c>
      <c r="D2233" t="s">
        <v>102</v>
      </c>
      <c r="E2233">
        <v>2027</v>
      </c>
      <c r="F2233" t="s">
        <v>71</v>
      </c>
      <c r="G2233" t="s">
        <v>17</v>
      </c>
      <c r="H2233" t="s">
        <v>18</v>
      </c>
      <c r="I2233" s="8">
        <v>19708.8547</v>
      </c>
      <c r="J2233" s="8">
        <v>58558.782764815303</v>
      </c>
      <c r="K2233" s="8">
        <f>I2233/1000000</f>
        <v>1.97088547E-2</v>
      </c>
      <c r="L2233" s="8">
        <f>J2233/1000000</f>
        <v>5.8558782764815305E-2</v>
      </c>
      <c r="M2233" t="s">
        <v>19</v>
      </c>
    </row>
    <row r="2234" spans="2:13" x14ac:dyDescent="0.25">
      <c r="B2234" t="s">
        <v>13</v>
      </c>
      <c r="C2234" t="s">
        <v>46</v>
      </c>
      <c r="D2234" t="s">
        <v>103</v>
      </c>
      <c r="E2234">
        <v>2028</v>
      </c>
      <c r="F2234" t="s">
        <v>71</v>
      </c>
      <c r="G2234" t="s">
        <v>17</v>
      </c>
      <c r="H2234" t="s">
        <v>18</v>
      </c>
      <c r="I2234" s="8">
        <v>203184.83979999999</v>
      </c>
      <c r="J2234" s="8">
        <v>19917.922762499998</v>
      </c>
      <c r="K2234" s="8">
        <f>I2234/1000000</f>
        <v>0.20318483979999999</v>
      </c>
      <c r="L2234" s="8">
        <f>J2234/1000000</f>
        <v>1.9917922762499998E-2</v>
      </c>
      <c r="M2234" t="s">
        <v>39</v>
      </c>
    </row>
    <row r="2235" spans="2:13" x14ac:dyDescent="0.25">
      <c r="B2235" t="s">
        <v>13</v>
      </c>
      <c r="C2235" t="s">
        <v>46</v>
      </c>
      <c r="D2235" t="s">
        <v>108</v>
      </c>
      <c r="E2235">
        <v>2029</v>
      </c>
      <c r="F2235" t="s">
        <v>71</v>
      </c>
      <c r="G2235" t="s">
        <v>17</v>
      </c>
      <c r="H2235" t="s">
        <v>18</v>
      </c>
      <c r="I2235" s="8">
        <v>6188306.3156000003</v>
      </c>
      <c r="J2235" s="8">
        <v>1664264.6343573199</v>
      </c>
      <c r="K2235" s="8">
        <f>I2235/1000000</f>
        <v>6.1883063156000002</v>
      </c>
      <c r="L2235" s="8">
        <f>J2235/1000000</f>
        <v>1.66426463435732</v>
      </c>
      <c r="M2235" t="s">
        <v>39</v>
      </c>
    </row>
    <row r="2236" spans="2:13" x14ac:dyDescent="0.25">
      <c r="B2236" t="s">
        <v>13</v>
      </c>
      <c r="C2236" t="s">
        <v>14</v>
      </c>
      <c r="D2236" t="s">
        <v>52</v>
      </c>
      <c r="E2236">
        <v>2028</v>
      </c>
      <c r="F2236" t="s">
        <v>71</v>
      </c>
      <c r="G2236" t="s">
        <v>17</v>
      </c>
      <c r="H2236" t="s">
        <v>18</v>
      </c>
      <c r="I2236" s="8">
        <v>11480245.5266</v>
      </c>
      <c r="J2236" s="8">
        <v>10421874.973125</v>
      </c>
      <c r="K2236" s="8">
        <f>I2236/1000000</f>
        <v>11.480245526599999</v>
      </c>
      <c r="L2236" s="8">
        <f>J2236/1000000</f>
        <v>10.421874973125</v>
      </c>
      <c r="M2236" t="s">
        <v>19</v>
      </c>
    </row>
    <row r="2237" spans="2:13" x14ac:dyDescent="0.25">
      <c r="B2237" t="s">
        <v>13</v>
      </c>
      <c r="C2237" t="s">
        <v>46</v>
      </c>
      <c r="D2237" t="s">
        <v>108</v>
      </c>
      <c r="E2237">
        <v>2030</v>
      </c>
      <c r="F2237" t="s">
        <v>71</v>
      </c>
      <c r="G2237" t="s">
        <v>17</v>
      </c>
      <c r="H2237" t="s">
        <v>18</v>
      </c>
      <c r="I2237" s="8">
        <v>6391188.2317000004</v>
      </c>
      <c r="J2237" s="8">
        <v>1718827.0914705901</v>
      </c>
      <c r="K2237" s="8">
        <f>I2237/1000000</f>
        <v>6.3911882317000002</v>
      </c>
      <c r="L2237" s="8">
        <f>J2237/1000000</f>
        <v>1.7188270914705901</v>
      </c>
      <c r="M2237" t="s">
        <v>39</v>
      </c>
    </row>
    <row r="2238" spans="2:13" x14ac:dyDescent="0.25">
      <c r="B2238" t="s">
        <v>13</v>
      </c>
      <c r="C2238" t="s">
        <v>46</v>
      </c>
      <c r="D2238" t="s">
        <v>70</v>
      </c>
      <c r="E2238">
        <v>2026</v>
      </c>
      <c r="F2238" t="s">
        <v>98</v>
      </c>
      <c r="G2238" t="s">
        <v>17</v>
      </c>
      <c r="H2238" t="s">
        <v>18</v>
      </c>
      <c r="I2238" s="8">
        <v>2493578.2154000001</v>
      </c>
      <c r="J2238" s="8">
        <v>1444800</v>
      </c>
      <c r="K2238" s="8">
        <f>I2238/1000000</f>
        <v>2.4935782153999999</v>
      </c>
      <c r="L2238" s="8">
        <f>J2238/1000000</f>
        <v>1.4448000000000001</v>
      </c>
      <c r="M2238" t="s">
        <v>19</v>
      </c>
    </row>
    <row r="2239" spans="2:13" x14ac:dyDescent="0.25">
      <c r="B2239" t="s">
        <v>13</v>
      </c>
      <c r="C2239" t="s">
        <v>46</v>
      </c>
      <c r="D2239" t="s">
        <v>70</v>
      </c>
      <c r="E2239">
        <v>2027</v>
      </c>
      <c r="F2239" t="s">
        <v>98</v>
      </c>
      <c r="G2239" t="s">
        <v>17</v>
      </c>
      <c r="H2239" t="s">
        <v>18</v>
      </c>
      <c r="I2239" s="8">
        <v>1286575.3382999999</v>
      </c>
      <c r="J2239" s="8">
        <v>920985.32541599998</v>
      </c>
      <c r="K2239" s="8">
        <f>I2239/1000000</f>
        <v>1.2865753383</v>
      </c>
      <c r="L2239" s="8">
        <f>J2239/1000000</f>
        <v>0.92098532541599998</v>
      </c>
      <c r="M2239" t="s">
        <v>19</v>
      </c>
    </row>
    <row r="2240" spans="2:13" x14ac:dyDescent="0.25">
      <c r="B2240" t="s">
        <v>13</v>
      </c>
      <c r="C2240" t="s">
        <v>46</v>
      </c>
      <c r="D2240" t="s">
        <v>70</v>
      </c>
      <c r="E2240">
        <v>2026</v>
      </c>
      <c r="F2240" t="s">
        <v>95</v>
      </c>
      <c r="G2240" t="s">
        <v>17</v>
      </c>
      <c r="H2240" t="s">
        <v>18</v>
      </c>
      <c r="I2240" s="8">
        <v>5639842.3706</v>
      </c>
      <c r="J2240" s="8">
        <v>2768000</v>
      </c>
      <c r="K2240" s="8">
        <f>I2240/1000000</f>
        <v>5.6398423706000003</v>
      </c>
      <c r="L2240" s="8">
        <f>J2240/1000000</f>
        <v>2.7679999999999998</v>
      </c>
      <c r="M2240" t="s">
        <v>19</v>
      </c>
    </row>
    <row r="2241" spans="2:13" x14ac:dyDescent="0.25">
      <c r="B2241" t="s">
        <v>13</v>
      </c>
      <c r="C2241" t="s">
        <v>46</v>
      </c>
      <c r="D2241" t="s">
        <v>70</v>
      </c>
      <c r="E2241">
        <v>2027</v>
      </c>
      <c r="F2241" t="s">
        <v>95</v>
      </c>
      <c r="G2241" t="s">
        <v>17</v>
      </c>
      <c r="H2241" t="s">
        <v>18</v>
      </c>
      <c r="I2241" s="8">
        <v>1699151.8992999999</v>
      </c>
      <c r="J2241" s="8">
        <v>1249362.334512</v>
      </c>
      <c r="K2241" s="8">
        <f>I2241/1000000</f>
        <v>1.6991518992999999</v>
      </c>
      <c r="L2241" s="8">
        <f>J2241/1000000</f>
        <v>1.249362334512</v>
      </c>
      <c r="M2241" t="s">
        <v>19</v>
      </c>
    </row>
    <row r="2242" spans="2:13" x14ac:dyDescent="0.25">
      <c r="B2242" t="s">
        <v>13</v>
      </c>
      <c r="C2242" t="s">
        <v>14</v>
      </c>
      <c r="D2242" t="s">
        <v>15</v>
      </c>
      <c r="E2242">
        <v>2028</v>
      </c>
      <c r="F2242" t="s">
        <v>34</v>
      </c>
      <c r="G2242" t="s">
        <v>17</v>
      </c>
      <c r="H2242" t="s">
        <v>18</v>
      </c>
      <c r="I2242" s="8">
        <v>6312068.1040000003</v>
      </c>
      <c r="J2242" s="8">
        <v>2098690</v>
      </c>
      <c r="K2242" s="8">
        <f>I2242/1000000</f>
        <v>6.3120681040000006</v>
      </c>
      <c r="L2242" s="8">
        <f>J2242/1000000</f>
        <v>2.0986899999999999</v>
      </c>
      <c r="M2242" t="s">
        <v>19</v>
      </c>
    </row>
    <row r="2243" spans="2:13" x14ac:dyDescent="0.25">
      <c r="B2243" t="s">
        <v>13</v>
      </c>
      <c r="C2243" t="s">
        <v>46</v>
      </c>
      <c r="D2243" t="s">
        <v>52</v>
      </c>
      <c r="E2243">
        <v>2026</v>
      </c>
      <c r="F2243" t="s">
        <v>34</v>
      </c>
      <c r="G2243" t="s">
        <v>17</v>
      </c>
      <c r="H2243" t="s">
        <v>18</v>
      </c>
      <c r="I2243" s="8">
        <v>2933289.6124999998</v>
      </c>
      <c r="J2243" s="8">
        <v>2088536.7593797201</v>
      </c>
      <c r="K2243" s="8">
        <f>I2243/1000000</f>
        <v>2.9332896124999999</v>
      </c>
      <c r="L2243" s="8">
        <f>J2243/1000000</f>
        <v>2.0885367593797199</v>
      </c>
      <c r="M2243" t="s">
        <v>19</v>
      </c>
    </row>
    <row r="2244" spans="2:13" x14ac:dyDescent="0.25">
      <c r="B2244" t="s">
        <v>13</v>
      </c>
      <c r="C2244" t="s">
        <v>46</v>
      </c>
      <c r="D2244" t="s">
        <v>52</v>
      </c>
      <c r="E2244">
        <v>2029</v>
      </c>
      <c r="F2244" t="s">
        <v>34</v>
      </c>
      <c r="G2244" t="s">
        <v>17</v>
      </c>
      <c r="H2244" t="s">
        <v>18</v>
      </c>
      <c r="I2244" s="8">
        <v>2222034.4994000001</v>
      </c>
      <c r="J2244" s="8">
        <v>1939256.24259083</v>
      </c>
      <c r="K2244" s="8">
        <f>I2244/1000000</f>
        <v>2.2220344994000003</v>
      </c>
      <c r="L2244" s="8">
        <f>J2244/1000000</f>
        <v>1.93925624259083</v>
      </c>
      <c r="M2244" t="s">
        <v>19</v>
      </c>
    </row>
    <row r="2245" spans="2:13" x14ac:dyDescent="0.25">
      <c r="B2245" t="s">
        <v>13</v>
      </c>
      <c r="C2245" t="s">
        <v>46</v>
      </c>
      <c r="D2245" t="s">
        <v>52</v>
      </c>
      <c r="E2245">
        <v>2030</v>
      </c>
      <c r="F2245" t="s">
        <v>34</v>
      </c>
      <c r="G2245" t="s">
        <v>17</v>
      </c>
      <c r="H2245" t="s">
        <v>18</v>
      </c>
      <c r="I2245" s="8">
        <v>2379227.8239000002</v>
      </c>
      <c r="J2245" s="8">
        <v>1984246.7480158401</v>
      </c>
      <c r="K2245" s="8">
        <f>I2245/1000000</f>
        <v>2.3792278239</v>
      </c>
      <c r="L2245" s="8">
        <f>J2245/1000000</f>
        <v>1.9842467480158401</v>
      </c>
      <c r="M2245" t="s">
        <v>19</v>
      </c>
    </row>
    <row r="2246" spans="2:13" x14ac:dyDescent="0.25">
      <c r="B2246" t="s">
        <v>13</v>
      </c>
      <c r="C2246" t="s">
        <v>46</v>
      </c>
      <c r="D2246" t="s">
        <v>52</v>
      </c>
      <c r="E2246">
        <v>2027</v>
      </c>
      <c r="F2246" t="s">
        <v>34</v>
      </c>
      <c r="G2246" t="s">
        <v>17</v>
      </c>
      <c r="H2246" t="s">
        <v>18</v>
      </c>
      <c r="I2246" s="8">
        <v>2194101.0805000002</v>
      </c>
      <c r="J2246" s="8">
        <v>2085288.2595301899</v>
      </c>
      <c r="K2246" s="8">
        <f>I2246/1000000</f>
        <v>2.1941010805000003</v>
      </c>
      <c r="L2246" s="8">
        <f>J2246/1000000</f>
        <v>2.08528825953019</v>
      </c>
      <c r="M2246" t="s">
        <v>19</v>
      </c>
    </row>
    <row r="2247" spans="2:13" x14ac:dyDescent="0.25">
      <c r="B2247" t="s">
        <v>13</v>
      </c>
      <c r="C2247" t="s">
        <v>46</v>
      </c>
      <c r="D2247" t="s">
        <v>52</v>
      </c>
      <c r="E2247">
        <v>2028</v>
      </c>
      <c r="F2247" t="s">
        <v>34</v>
      </c>
      <c r="G2247" t="s">
        <v>17</v>
      </c>
      <c r="H2247" t="s">
        <v>18</v>
      </c>
      <c r="I2247" s="8">
        <v>2297116.4007000001</v>
      </c>
      <c r="J2247" s="8">
        <v>2097406.6473625698</v>
      </c>
      <c r="K2247" s="8">
        <f>I2247/1000000</f>
        <v>2.2971164007000002</v>
      </c>
      <c r="L2247" s="8">
        <f>J2247/1000000</f>
        <v>2.0974066473625697</v>
      </c>
      <c r="M2247" t="s">
        <v>19</v>
      </c>
    </row>
    <row r="2248" spans="2:13" x14ac:dyDescent="0.25">
      <c r="B2248" t="s">
        <v>13</v>
      </c>
      <c r="C2248" t="s">
        <v>46</v>
      </c>
      <c r="D2248" t="s">
        <v>69</v>
      </c>
      <c r="E2248">
        <v>2028</v>
      </c>
      <c r="F2248" t="s">
        <v>34</v>
      </c>
      <c r="G2248" t="s">
        <v>17</v>
      </c>
      <c r="H2248" t="s">
        <v>18</v>
      </c>
      <c r="I2248" s="8">
        <v>9541846.8378999997</v>
      </c>
      <c r="J2248" s="8">
        <v>3637360.8530296902</v>
      </c>
      <c r="K2248" s="8">
        <f>I2248/1000000</f>
        <v>9.5418468378999997</v>
      </c>
      <c r="L2248" s="8">
        <f>J2248/1000000</f>
        <v>3.6373608530296901</v>
      </c>
      <c r="M2248" t="s">
        <v>19</v>
      </c>
    </row>
    <row r="2249" spans="2:13" x14ac:dyDescent="0.25">
      <c r="B2249" t="s">
        <v>13</v>
      </c>
      <c r="C2249" t="s">
        <v>46</v>
      </c>
      <c r="D2249" t="s">
        <v>69</v>
      </c>
      <c r="E2249">
        <v>2029</v>
      </c>
      <c r="F2249" t="s">
        <v>34</v>
      </c>
      <c r="G2249" t="s">
        <v>17</v>
      </c>
      <c r="H2249" t="s">
        <v>18</v>
      </c>
      <c r="I2249" s="8">
        <v>7400312.9943000004</v>
      </c>
      <c r="J2249" s="8">
        <v>3233118.9462506101</v>
      </c>
      <c r="K2249" s="8">
        <f>I2249/1000000</f>
        <v>7.4003129943000001</v>
      </c>
      <c r="L2249" s="8">
        <f>J2249/1000000</f>
        <v>3.23311894625061</v>
      </c>
      <c r="M2249" t="s">
        <v>19</v>
      </c>
    </row>
    <row r="2250" spans="2:13" x14ac:dyDescent="0.25">
      <c r="B2250" t="s">
        <v>13</v>
      </c>
      <c r="C2250" t="s">
        <v>46</v>
      </c>
      <c r="D2250" t="s">
        <v>69</v>
      </c>
      <c r="E2250">
        <v>2030</v>
      </c>
      <c r="F2250" t="s">
        <v>34</v>
      </c>
      <c r="G2250" t="s">
        <v>17</v>
      </c>
      <c r="H2250" t="s">
        <v>18</v>
      </c>
      <c r="I2250" s="8">
        <v>7477971.3049999997</v>
      </c>
      <c r="J2250" s="8">
        <v>3259440.3733752901</v>
      </c>
      <c r="K2250" s="8">
        <f>I2250/1000000</f>
        <v>7.4779713049999996</v>
      </c>
      <c r="L2250" s="8">
        <f>J2250/1000000</f>
        <v>3.2594403733752899</v>
      </c>
      <c r="M2250" t="s">
        <v>19</v>
      </c>
    </row>
    <row r="2251" spans="2:13" x14ac:dyDescent="0.25">
      <c r="B2251" t="s">
        <v>13</v>
      </c>
      <c r="C2251" t="s">
        <v>46</v>
      </c>
      <c r="D2251" t="s">
        <v>73</v>
      </c>
      <c r="E2251">
        <v>2026</v>
      </c>
      <c r="F2251" t="s">
        <v>34</v>
      </c>
      <c r="G2251" t="s">
        <v>17</v>
      </c>
      <c r="H2251" t="s">
        <v>18</v>
      </c>
      <c r="I2251" s="8">
        <v>5225489.0574000003</v>
      </c>
      <c r="J2251" s="8">
        <v>3266130.9784688801</v>
      </c>
      <c r="K2251" s="8">
        <f>I2251/1000000</f>
        <v>5.2254890573999999</v>
      </c>
      <c r="L2251" s="8">
        <f>J2251/1000000</f>
        <v>3.2661309784688801</v>
      </c>
      <c r="M2251" t="s">
        <v>19</v>
      </c>
    </row>
    <row r="2252" spans="2:13" x14ac:dyDescent="0.25">
      <c r="B2252" t="s">
        <v>13</v>
      </c>
      <c r="C2252" t="s">
        <v>46</v>
      </c>
      <c r="D2252" t="s">
        <v>73</v>
      </c>
      <c r="E2252">
        <v>2027</v>
      </c>
      <c r="F2252" t="s">
        <v>34</v>
      </c>
      <c r="G2252" t="s">
        <v>17</v>
      </c>
      <c r="H2252" t="s">
        <v>18</v>
      </c>
      <c r="I2252" s="8">
        <v>1146350.9217000001</v>
      </c>
      <c r="J2252" s="8">
        <v>812623.78903061699</v>
      </c>
      <c r="K2252" s="8">
        <f>I2252/1000000</f>
        <v>1.1463509217000001</v>
      </c>
      <c r="L2252" s="8">
        <f>J2252/1000000</f>
        <v>0.81262378903061694</v>
      </c>
      <c r="M2252" t="s">
        <v>19</v>
      </c>
    </row>
    <row r="2253" spans="2:13" x14ac:dyDescent="0.25">
      <c r="B2253" t="s">
        <v>13</v>
      </c>
      <c r="C2253" t="s">
        <v>46</v>
      </c>
      <c r="D2253" t="s">
        <v>70</v>
      </c>
      <c r="E2253">
        <v>2026</v>
      </c>
      <c r="F2253" t="s">
        <v>34</v>
      </c>
      <c r="G2253" t="s">
        <v>17</v>
      </c>
      <c r="H2253" t="s">
        <v>18</v>
      </c>
      <c r="I2253" s="8">
        <v>3754806.2261999999</v>
      </c>
      <c r="J2253" s="8">
        <v>2175566.0208000001</v>
      </c>
      <c r="K2253" s="8">
        <f>I2253/1000000</f>
        <v>3.7548062261999999</v>
      </c>
      <c r="L2253" s="8">
        <f>J2253/1000000</f>
        <v>2.1755660208000003</v>
      </c>
      <c r="M2253" t="s">
        <v>19</v>
      </c>
    </row>
    <row r="2254" spans="2:13" x14ac:dyDescent="0.25">
      <c r="B2254" t="s">
        <v>13</v>
      </c>
      <c r="C2254" t="s">
        <v>46</v>
      </c>
      <c r="D2254" t="s">
        <v>70</v>
      </c>
      <c r="E2254">
        <v>2027</v>
      </c>
      <c r="F2254" t="s">
        <v>34</v>
      </c>
      <c r="G2254" t="s">
        <v>17</v>
      </c>
      <c r="H2254" t="s">
        <v>18</v>
      </c>
      <c r="I2254" s="8">
        <v>711334.33290000004</v>
      </c>
      <c r="J2254" s="8">
        <v>509203.35759999999</v>
      </c>
      <c r="K2254" s="8">
        <f>I2254/1000000</f>
        <v>0.71133433290000003</v>
      </c>
      <c r="L2254" s="8">
        <f>J2254/1000000</f>
        <v>0.50920335760000002</v>
      </c>
      <c r="M2254" t="s">
        <v>19</v>
      </c>
    </row>
    <row r="2255" spans="2:13" x14ac:dyDescent="0.25">
      <c r="B2255" t="s">
        <v>13</v>
      </c>
      <c r="C2255" t="s">
        <v>46</v>
      </c>
      <c r="D2255" t="s">
        <v>15</v>
      </c>
      <c r="E2255">
        <v>2029</v>
      </c>
      <c r="F2255" t="s">
        <v>34</v>
      </c>
      <c r="G2255" t="s">
        <v>17</v>
      </c>
      <c r="H2255" t="s">
        <v>18</v>
      </c>
      <c r="I2255" s="8">
        <v>839673.99659999995</v>
      </c>
      <c r="J2255" s="8">
        <v>279232.83184705302</v>
      </c>
      <c r="K2255" s="8">
        <f>I2255/1000000</f>
        <v>0.83967399659999997</v>
      </c>
      <c r="L2255" s="8">
        <f>J2255/1000000</f>
        <v>0.279232831847053</v>
      </c>
      <c r="M2255" t="s">
        <v>19</v>
      </c>
    </row>
    <row r="2256" spans="2:13" x14ac:dyDescent="0.25">
      <c r="B2256" t="s">
        <v>13</v>
      </c>
      <c r="C2256" t="s">
        <v>46</v>
      </c>
      <c r="D2256" t="s">
        <v>15</v>
      </c>
      <c r="E2256">
        <v>2030</v>
      </c>
      <c r="F2256" t="s">
        <v>34</v>
      </c>
      <c r="G2256" t="s">
        <v>17</v>
      </c>
      <c r="H2256" t="s">
        <v>18</v>
      </c>
      <c r="I2256" s="8">
        <v>870082.76619999995</v>
      </c>
      <c r="J2256" s="8">
        <v>289345.240827078</v>
      </c>
      <c r="K2256" s="8">
        <f>I2256/1000000</f>
        <v>0.87008276619999991</v>
      </c>
      <c r="L2256" s="8">
        <f>J2256/1000000</f>
        <v>0.28934524082707802</v>
      </c>
      <c r="M2256" t="s">
        <v>19</v>
      </c>
    </row>
    <row r="2257" spans="2:13" x14ac:dyDescent="0.25">
      <c r="B2257" t="s">
        <v>13</v>
      </c>
      <c r="C2257" t="s">
        <v>46</v>
      </c>
      <c r="D2257" t="s">
        <v>100</v>
      </c>
      <c r="E2257">
        <v>2029</v>
      </c>
      <c r="F2257" t="s">
        <v>34</v>
      </c>
      <c r="G2257" t="s">
        <v>17</v>
      </c>
      <c r="H2257" t="s">
        <v>18</v>
      </c>
      <c r="I2257" s="8">
        <v>4839669.7467</v>
      </c>
      <c r="J2257" s="8">
        <v>2133338.8189587099</v>
      </c>
      <c r="K2257" s="8">
        <f>I2257/1000000</f>
        <v>4.8396697467000003</v>
      </c>
      <c r="L2257" s="8">
        <f>J2257/1000000</f>
        <v>2.1333388189587099</v>
      </c>
      <c r="M2257" t="s">
        <v>19</v>
      </c>
    </row>
    <row r="2258" spans="2:13" x14ac:dyDescent="0.25">
      <c r="B2258" t="s">
        <v>13</v>
      </c>
      <c r="C2258" t="s">
        <v>46</v>
      </c>
      <c r="D2258" t="s">
        <v>100</v>
      </c>
      <c r="E2258">
        <v>2030</v>
      </c>
      <c r="F2258" t="s">
        <v>34</v>
      </c>
      <c r="G2258" t="s">
        <v>17</v>
      </c>
      <c r="H2258" t="s">
        <v>18</v>
      </c>
      <c r="I2258" s="8">
        <v>4829789.0971999997</v>
      </c>
      <c r="J2258" s="8">
        <v>2147919.5723127001</v>
      </c>
      <c r="K2258" s="8">
        <f>I2258/1000000</f>
        <v>4.8297890971999999</v>
      </c>
      <c r="L2258" s="8">
        <f>J2258/1000000</f>
        <v>2.1479195723127003</v>
      </c>
      <c r="M2258" t="s">
        <v>19</v>
      </c>
    </row>
    <row r="2259" spans="2:13" x14ac:dyDescent="0.25">
      <c r="B2259" t="s">
        <v>13</v>
      </c>
      <c r="C2259" t="s">
        <v>46</v>
      </c>
      <c r="D2259" t="s">
        <v>100</v>
      </c>
      <c r="E2259">
        <v>2026</v>
      </c>
      <c r="F2259" t="s">
        <v>34</v>
      </c>
      <c r="G2259" t="s">
        <v>17</v>
      </c>
      <c r="H2259" t="s">
        <v>18</v>
      </c>
      <c r="I2259" s="8">
        <v>5268958.6464</v>
      </c>
      <c r="J2259" s="8">
        <v>2274853.0190801299</v>
      </c>
      <c r="K2259" s="8">
        <f>I2259/1000000</f>
        <v>5.2689586463999998</v>
      </c>
      <c r="L2259" s="8">
        <f>J2259/1000000</f>
        <v>2.2748530190801297</v>
      </c>
      <c r="M2259" t="s">
        <v>19</v>
      </c>
    </row>
    <row r="2260" spans="2:13" x14ac:dyDescent="0.25">
      <c r="B2260" t="s">
        <v>13</v>
      </c>
      <c r="C2260" t="s">
        <v>46</v>
      </c>
      <c r="D2260" t="s">
        <v>100</v>
      </c>
      <c r="E2260">
        <v>2027</v>
      </c>
      <c r="F2260" t="s">
        <v>34</v>
      </c>
      <c r="G2260" t="s">
        <v>17</v>
      </c>
      <c r="H2260" t="s">
        <v>18</v>
      </c>
      <c r="I2260" s="8">
        <v>4652421.0258999998</v>
      </c>
      <c r="J2260" s="8">
        <v>2164756.31067796</v>
      </c>
      <c r="K2260" s="8">
        <f>I2260/1000000</f>
        <v>4.6524210258999998</v>
      </c>
      <c r="L2260" s="8">
        <f>J2260/1000000</f>
        <v>2.1647563106779599</v>
      </c>
      <c r="M2260" t="s">
        <v>19</v>
      </c>
    </row>
    <row r="2261" spans="2:13" x14ac:dyDescent="0.25">
      <c r="B2261" t="s">
        <v>13</v>
      </c>
      <c r="C2261" t="s">
        <v>46</v>
      </c>
      <c r="D2261" t="s">
        <v>100</v>
      </c>
      <c r="E2261">
        <v>2028</v>
      </c>
      <c r="F2261" t="s">
        <v>34</v>
      </c>
      <c r="G2261" t="s">
        <v>17</v>
      </c>
      <c r="H2261" t="s">
        <v>18</v>
      </c>
      <c r="I2261" s="8">
        <v>4560537.9682</v>
      </c>
      <c r="J2261" s="8">
        <v>2142516.5666581299</v>
      </c>
      <c r="K2261" s="8">
        <f>I2261/1000000</f>
        <v>4.5605379682000002</v>
      </c>
      <c r="L2261" s="8">
        <f>J2261/1000000</f>
        <v>2.1425165666581298</v>
      </c>
      <c r="M2261" t="s">
        <v>19</v>
      </c>
    </row>
    <row r="2262" spans="2:13" x14ac:dyDescent="0.25">
      <c r="B2262" t="s">
        <v>13</v>
      </c>
      <c r="C2262" t="s">
        <v>46</v>
      </c>
      <c r="D2262" t="s">
        <v>72</v>
      </c>
      <c r="E2262">
        <v>2026</v>
      </c>
      <c r="F2262" t="s">
        <v>34</v>
      </c>
      <c r="G2262" t="s">
        <v>17</v>
      </c>
      <c r="H2262" t="s">
        <v>18</v>
      </c>
      <c r="I2262" s="8">
        <v>10181901.888800001</v>
      </c>
      <c r="J2262" s="8">
        <v>3566359.6743096001</v>
      </c>
      <c r="K2262" s="8">
        <f>I2262/1000000</f>
        <v>10.181901888800001</v>
      </c>
      <c r="L2262" s="8">
        <f>J2262/1000000</f>
        <v>3.5663596743096</v>
      </c>
      <c r="M2262" t="s">
        <v>19</v>
      </c>
    </row>
    <row r="2263" spans="2:13" x14ac:dyDescent="0.25">
      <c r="B2263" t="s">
        <v>13</v>
      </c>
      <c r="C2263" t="s">
        <v>46</v>
      </c>
      <c r="D2263" t="s">
        <v>72</v>
      </c>
      <c r="E2263">
        <v>2029</v>
      </c>
      <c r="F2263" t="s">
        <v>34</v>
      </c>
      <c r="G2263" t="s">
        <v>17</v>
      </c>
      <c r="H2263" t="s">
        <v>18</v>
      </c>
      <c r="I2263" s="8">
        <v>6907430.8244000003</v>
      </c>
      <c r="J2263" s="8">
        <v>3302206.9674426802</v>
      </c>
      <c r="K2263" s="8">
        <f>I2263/1000000</f>
        <v>6.9074308244000004</v>
      </c>
      <c r="L2263" s="8">
        <f>J2263/1000000</f>
        <v>3.3022069674426802</v>
      </c>
      <c r="M2263" t="s">
        <v>19</v>
      </c>
    </row>
    <row r="2264" spans="2:13" x14ac:dyDescent="0.25">
      <c r="B2264" t="s">
        <v>13</v>
      </c>
      <c r="C2264" t="s">
        <v>46</v>
      </c>
      <c r="D2264" t="s">
        <v>72</v>
      </c>
      <c r="E2264">
        <v>2030</v>
      </c>
      <c r="F2264" t="s">
        <v>34</v>
      </c>
      <c r="G2264" t="s">
        <v>17</v>
      </c>
      <c r="H2264" t="s">
        <v>18</v>
      </c>
      <c r="I2264" s="8">
        <v>6962031.3633000003</v>
      </c>
      <c r="J2264" s="8">
        <v>3328309.6218755199</v>
      </c>
      <c r="K2264" s="8">
        <f>I2264/1000000</f>
        <v>6.9620313633000004</v>
      </c>
      <c r="L2264" s="8">
        <f>J2264/1000000</f>
        <v>3.3283096218755199</v>
      </c>
      <c r="M2264" t="s">
        <v>19</v>
      </c>
    </row>
    <row r="2265" spans="2:13" x14ac:dyDescent="0.25">
      <c r="B2265" t="s">
        <v>13</v>
      </c>
      <c r="C2265" t="s">
        <v>46</v>
      </c>
      <c r="D2265" t="s">
        <v>72</v>
      </c>
      <c r="E2265">
        <v>2027</v>
      </c>
      <c r="F2265" t="s">
        <v>34</v>
      </c>
      <c r="G2265" t="s">
        <v>17</v>
      </c>
      <c r="H2265" t="s">
        <v>18</v>
      </c>
      <c r="I2265" s="8">
        <v>8276575.2362000002</v>
      </c>
      <c r="J2265" s="8">
        <v>3371334.9127944</v>
      </c>
      <c r="K2265" s="8">
        <f>I2265/1000000</f>
        <v>8.2765752361999994</v>
      </c>
      <c r="L2265" s="8">
        <f>J2265/1000000</f>
        <v>3.3713349127944001</v>
      </c>
      <c r="M2265" t="s">
        <v>19</v>
      </c>
    </row>
    <row r="2266" spans="2:13" x14ac:dyDescent="0.25">
      <c r="B2266" t="s">
        <v>13</v>
      </c>
      <c r="C2266" t="s">
        <v>46</v>
      </c>
      <c r="D2266" t="s">
        <v>72</v>
      </c>
      <c r="E2266">
        <v>2028</v>
      </c>
      <c r="F2266" t="s">
        <v>34</v>
      </c>
      <c r="G2266" t="s">
        <v>17</v>
      </c>
      <c r="H2266" t="s">
        <v>18</v>
      </c>
      <c r="I2266" s="8">
        <v>7970116.3015000001</v>
      </c>
      <c r="J2266" s="8">
        <v>3264084.1020051199</v>
      </c>
      <c r="K2266" s="8">
        <f>I2266/1000000</f>
        <v>7.9701163015000001</v>
      </c>
      <c r="L2266" s="8">
        <f>J2266/1000000</f>
        <v>3.2640841020051199</v>
      </c>
      <c r="M2266" t="s">
        <v>19</v>
      </c>
    </row>
    <row r="2267" spans="2:13" x14ac:dyDescent="0.25">
      <c r="B2267" t="s">
        <v>13</v>
      </c>
      <c r="C2267" t="s">
        <v>46</v>
      </c>
      <c r="D2267" t="s">
        <v>102</v>
      </c>
      <c r="E2267">
        <v>2029</v>
      </c>
      <c r="F2267" t="s">
        <v>34</v>
      </c>
      <c r="G2267" t="s">
        <v>17</v>
      </c>
      <c r="H2267" t="s">
        <v>18</v>
      </c>
      <c r="I2267" s="8">
        <v>157395.57560000001</v>
      </c>
      <c r="J2267" s="8">
        <v>352796.16555111099</v>
      </c>
      <c r="K2267" s="8">
        <f>I2267/1000000</f>
        <v>0.1573955756</v>
      </c>
      <c r="L2267" s="8">
        <f>J2267/1000000</f>
        <v>0.35279616555111099</v>
      </c>
      <c r="M2267" t="s">
        <v>19</v>
      </c>
    </row>
    <row r="2268" spans="2:13" x14ac:dyDescent="0.25">
      <c r="B2268" t="s">
        <v>13</v>
      </c>
      <c r="C2268" t="s">
        <v>46</v>
      </c>
      <c r="D2268" t="s">
        <v>102</v>
      </c>
      <c r="E2268">
        <v>2030</v>
      </c>
      <c r="F2268" t="s">
        <v>34</v>
      </c>
      <c r="G2268" t="s">
        <v>17</v>
      </c>
      <c r="H2268" t="s">
        <v>18</v>
      </c>
      <c r="I2268" s="8">
        <v>129731.55319999999</v>
      </c>
      <c r="J2268" s="8">
        <v>290788.316888623</v>
      </c>
      <c r="K2268" s="8">
        <f>I2268/1000000</f>
        <v>0.12973155319999999</v>
      </c>
      <c r="L2268" s="8">
        <f>J2268/1000000</f>
        <v>0.290788316888623</v>
      </c>
      <c r="M2268" t="s">
        <v>19</v>
      </c>
    </row>
    <row r="2269" spans="2:13" x14ac:dyDescent="0.25">
      <c r="B2269" t="s">
        <v>13</v>
      </c>
      <c r="C2269" t="s">
        <v>46</v>
      </c>
      <c r="D2269" t="s">
        <v>75</v>
      </c>
      <c r="E2269">
        <v>2030</v>
      </c>
      <c r="F2269" t="s">
        <v>34</v>
      </c>
      <c r="G2269" t="s">
        <v>17</v>
      </c>
      <c r="H2269" t="s">
        <v>18</v>
      </c>
      <c r="I2269" s="8">
        <v>69525.602499999994</v>
      </c>
      <c r="J2269" s="8">
        <v>34892.120957614999</v>
      </c>
      <c r="K2269" s="8">
        <f>I2269/1000000</f>
        <v>6.9525602499999992E-2</v>
      </c>
      <c r="L2269" s="8">
        <f>J2269/1000000</f>
        <v>3.4892120957615E-2</v>
      </c>
      <c r="M2269" t="s">
        <v>39</v>
      </c>
    </row>
    <row r="2270" spans="2:13" x14ac:dyDescent="0.25">
      <c r="B2270" t="s">
        <v>13</v>
      </c>
      <c r="C2270" t="s">
        <v>46</v>
      </c>
      <c r="D2270" t="s">
        <v>103</v>
      </c>
      <c r="E2270">
        <v>2029</v>
      </c>
      <c r="F2270" t="s">
        <v>34</v>
      </c>
      <c r="G2270" t="s">
        <v>17</v>
      </c>
      <c r="H2270" t="s">
        <v>18</v>
      </c>
      <c r="I2270" s="8">
        <v>287894.95370000001</v>
      </c>
      <c r="J2270" s="8">
        <v>27953.3832083333</v>
      </c>
      <c r="K2270" s="8">
        <f>I2270/1000000</f>
        <v>0.28789495370000001</v>
      </c>
      <c r="L2270" s="8">
        <f>J2270/1000000</f>
        <v>2.79533832083333E-2</v>
      </c>
      <c r="M2270" t="s">
        <v>39</v>
      </c>
    </row>
    <row r="2271" spans="2:13" x14ac:dyDescent="0.25">
      <c r="B2271" t="s">
        <v>13</v>
      </c>
      <c r="C2271" t="s">
        <v>46</v>
      </c>
      <c r="D2271" t="s">
        <v>103</v>
      </c>
      <c r="E2271">
        <v>2030</v>
      </c>
      <c r="F2271" t="s">
        <v>34</v>
      </c>
      <c r="G2271" t="s">
        <v>17</v>
      </c>
      <c r="H2271" t="s">
        <v>18</v>
      </c>
      <c r="I2271" s="8">
        <v>234377.0865</v>
      </c>
      <c r="J2271" s="8">
        <v>22757.0245</v>
      </c>
      <c r="K2271" s="8">
        <f>I2271/1000000</f>
        <v>0.2343770865</v>
      </c>
      <c r="L2271" s="8">
        <f>J2271/1000000</f>
        <v>2.27570245E-2</v>
      </c>
      <c r="M2271" t="s">
        <v>39</v>
      </c>
    </row>
    <row r="2272" spans="2:13" x14ac:dyDescent="0.25">
      <c r="B2272" t="s">
        <v>13</v>
      </c>
      <c r="C2272" t="s">
        <v>46</v>
      </c>
      <c r="D2272" t="s">
        <v>69</v>
      </c>
      <c r="E2272">
        <v>2027</v>
      </c>
      <c r="F2272" t="s">
        <v>34</v>
      </c>
      <c r="G2272" t="s">
        <v>17</v>
      </c>
      <c r="H2272" t="s">
        <v>18</v>
      </c>
      <c r="I2272" s="8">
        <v>2420557.3097999999</v>
      </c>
      <c r="J2272" s="8">
        <v>812623.78903061699</v>
      </c>
      <c r="K2272" s="8">
        <f>I2272/1000000</f>
        <v>2.4205573097999999</v>
      </c>
      <c r="L2272" s="8">
        <f>J2272/1000000</f>
        <v>0.81262378903061694</v>
      </c>
      <c r="M2272" t="s">
        <v>19</v>
      </c>
    </row>
    <row r="2273" spans="2:13" x14ac:dyDescent="0.25">
      <c r="B2273" t="s">
        <v>13</v>
      </c>
      <c r="C2273" t="s">
        <v>46</v>
      </c>
      <c r="D2273" t="s">
        <v>15</v>
      </c>
      <c r="E2273">
        <v>2028</v>
      </c>
      <c r="F2273" t="s">
        <v>34</v>
      </c>
      <c r="G2273" t="s">
        <v>17</v>
      </c>
      <c r="H2273" t="s">
        <v>18</v>
      </c>
      <c r="I2273" s="8">
        <v>1000371.5674000001</v>
      </c>
      <c r="J2273" s="8">
        <v>332672.66439094802</v>
      </c>
      <c r="K2273" s="8">
        <f>I2273/1000000</f>
        <v>1.0003715674</v>
      </c>
      <c r="L2273" s="8">
        <f>J2273/1000000</f>
        <v>0.332672664390948</v>
      </c>
      <c r="M2273" t="s">
        <v>19</v>
      </c>
    </row>
    <row r="2274" spans="2:13" x14ac:dyDescent="0.25">
      <c r="B2274" t="s">
        <v>13</v>
      </c>
      <c r="C2274" t="s">
        <v>46</v>
      </c>
      <c r="D2274" t="s">
        <v>102</v>
      </c>
      <c r="E2274">
        <v>2028</v>
      </c>
      <c r="F2274" t="s">
        <v>34</v>
      </c>
      <c r="G2274" t="s">
        <v>17</v>
      </c>
      <c r="H2274" t="s">
        <v>18</v>
      </c>
      <c r="I2274" s="8">
        <v>13162.6253</v>
      </c>
      <c r="J2274" s="8">
        <v>29503.5213290498</v>
      </c>
      <c r="K2274" s="8">
        <f>I2274/1000000</f>
        <v>1.31626253E-2</v>
      </c>
      <c r="L2274" s="8">
        <f>J2274/1000000</f>
        <v>2.9503521329049799E-2</v>
      </c>
      <c r="M2274" t="s">
        <v>19</v>
      </c>
    </row>
    <row r="2275" spans="2:13" x14ac:dyDescent="0.25">
      <c r="B2275" t="s">
        <v>13</v>
      </c>
      <c r="C2275" t="s">
        <v>46</v>
      </c>
      <c r="D2275" t="s">
        <v>75</v>
      </c>
      <c r="E2275">
        <v>2029</v>
      </c>
      <c r="F2275" t="s">
        <v>34</v>
      </c>
      <c r="G2275" t="s">
        <v>17</v>
      </c>
      <c r="H2275" t="s">
        <v>18</v>
      </c>
      <c r="I2275" s="8">
        <v>38250.006300000001</v>
      </c>
      <c r="J2275" s="8">
        <v>19196.1493135686</v>
      </c>
      <c r="K2275" s="8">
        <f>I2275/1000000</f>
        <v>3.82500063E-2</v>
      </c>
      <c r="L2275" s="8">
        <f>J2275/1000000</f>
        <v>1.9196149313568601E-2</v>
      </c>
      <c r="M2275" t="s">
        <v>39</v>
      </c>
    </row>
    <row r="2276" spans="2:13" x14ac:dyDescent="0.25">
      <c r="B2276" t="s">
        <v>13</v>
      </c>
      <c r="C2276" t="s">
        <v>46</v>
      </c>
      <c r="D2276" t="s">
        <v>103</v>
      </c>
      <c r="E2276">
        <v>2028</v>
      </c>
      <c r="F2276" t="s">
        <v>34</v>
      </c>
      <c r="G2276" t="s">
        <v>17</v>
      </c>
      <c r="H2276" t="s">
        <v>18</v>
      </c>
      <c r="I2276" s="8">
        <v>24325.773499999999</v>
      </c>
      <c r="J2276" s="8">
        <v>2361.9297916667001</v>
      </c>
      <c r="K2276" s="8">
        <f>I2276/1000000</f>
        <v>2.4325773499999998E-2</v>
      </c>
      <c r="L2276" s="8">
        <f>J2276/1000000</f>
        <v>2.3619297916667001E-3</v>
      </c>
      <c r="M2276" t="s">
        <v>39</v>
      </c>
    </row>
    <row r="2277" spans="2:13" x14ac:dyDescent="0.25">
      <c r="B2277" t="s">
        <v>13</v>
      </c>
      <c r="C2277" t="s">
        <v>14</v>
      </c>
      <c r="D2277" t="s">
        <v>52</v>
      </c>
      <c r="E2277">
        <v>2026</v>
      </c>
      <c r="F2277" t="s">
        <v>34</v>
      </c>
      <c r="G2277" t="s">
        <v>17</v>
      </c>
      <c r="H2277" t="s">
        <v>18</v>
      </c>
      <c r="I2277" s="8">
        <v>5759235.7534999996</v>
      </c>
      <c r="J2277" s="8">
        <v>5691739.9077000003</v>
      </c>
      <c r="K2277" s="8">
        <f>I2277/1000000</f>
        <v>5.7592357534999996</v>
      </c>
      <c r="L2277" s="8">
        <f>J2277/1000000</f>
        <v>5.6917399077000006</v>
      </c>
      <c r="M2277" t="s">
        <v>19</v>
      </c>
    </row>
    <row r="2278" spans="2:13" x14ac:dyDescent="0.25">
      <c r="B2278" t="s">
        <v>13</v>
      </c>
      <c r="C2278" t="s">
        <v>14</v>
      </c>
      <c r="D2278" t="s">
        <v>52</v>
      </c>
      <c r="E2278">
        <v>2029</v>
      </c>
      <c r="F2278" t="s">
        <v>34</v>
      </c>
      <c r="G2278" t="s">
        <v>17</v>
      </c>
      <c r="H2278" t="s">
        <v>18</v>
      </c>
      <c r="I2278" s="8">
        <v>6261118.2598000001</v>
      </c>
      <c r="J2278" s="8">
        <v>5417276.0322656296</v>
      </c>
      <c r="K2278" s="8">
        <f>I2278/1000000</f>
        <v>6.2611182597999999</v>
      </c>
      <c r="L2278" s="8">
        <f>J2278/1000000</f>
        <v>5.4172760322656295</v>
      </c>
      <c r="M2278" t="s">
        <v>19</v>
      </c>
    </row>
    <row r="2279" spans="2:13" x14ac:dyDescent="0.25">
      <c r="B2279" t="s">
        <v>13</v>
      </c>
      <c r="C2279" t="s">
        <v>46</v>
      </c>
      <c r="D2279" t="s">
        <v>73</v>
      </c>
      <c r="E2279">
        <v>2027</v>
      </c>
      <c r="F2279" t="s">
        <v>90</v>
      </c>
      <c r="G2279" t="s">
        <v>17</v>
      </c>
      <c r="H2279" t="s">
        <v>18</v>
      </c>
      <c r="I2279" s="8">
        <v>1956474.2305999999</v>
      </c>
      <c r="J2279" s="8">
        <v>1403252.2284154401</v>
      </c>
      <c r="K2279" s="8">
        <f>I2279/1000000</f>
        <v>1.9564742305999998</v>
      </c>
      <c r="L2279" s="8">
        <f>J2279/1000000</f>
        <v>1.4032522284154401</v>
      </c>
      <c r="M2279" t="s">
        <v>19</v>
      </c>
    </row>
    <row r="2280" spans="2:13" x14ac:dyDescent="0.25">
      <c r="B2280" t="s">
        <v>13</v>
      </c>
      <c r="C2280" t="s">
        <v>46</v>
      </c>
      <c r="D2280" t="s">
        <v>73</v>
      </c>
      <c r="E2280">
        <v>2028</v>
      </c>
      <c r="F2280" t="s">
        <v>90</v>
      </c>
      <c r="G2280" t="s">
        <v>17</v>
      </c>
      <c r="H2280" t="s">
        <v>18</v>
      </c>
      <c r="I2280" s="8">
        <v>1825418.7002000001</v>
      </c>
      <c r="J2280" s="8">
        <v>1309945.7728764799</v>
      </c>
      <c r="K2280" s="8">
        <f>I2280/1000000</f>
        <v>1.8254187002000002</v>
      </c>
      <c r="L2280" s="8">
        <f>J2280/1000000</f>
        <v>1.3099457728764798</v>
      </c>
      <c r="M2280" t="s">
        <v>19</v>
      </c>
    </row>
    <row r="2281" spans="2:13" x14ac:dyDescent="0.25">
      <c r="B2281" t="s">
        <v>13</v>
      </c>
      <c r="C2281" t="s">
        <v>46</v>
      </c>
      <c r="D2281" t="s">
        <v>73</v>
      </c>
      <c r="E2281">
        <v>2029</v>
      </c>
      <c r="F2281" t="s">
        <v>90</v>
      </c>
      <c r="G2281" t="s">
        <v>17</v>
      </c>
      <c r="H2281" t="s">
        <v>18</v>
      </c>
      <c r="I2281" s="8">
        <v>1681707.6477000001</v>
      </c>
      <c r="J2281" s="8">
        <v>1206816.8425979801</v>
      </c>
      <c r="K2281" s="8">
        <f>I2281/1000000</f>
        <v>1.6817076477000001</v>
      </c>
      <c r="L2281" s="8">
        <f>J2281/1000000</f>
        <v>1.2068168425979799</v>
      </c>
      <c r="M2281" t="s">
        <v>19</v>
      </c>
    </row>
    <row r="2282" spans="2:13" x14ac:dyDescent="0.25">
      <c r="B2282" t="s">
        <v>13</v>
      </c>
      <c r="C2282" t="s">
        <v>46</v>
      </c>
      <c r="D2282" t="s">
        <v>73</v>
      </c>
      <c r="E2282">
        <v>2030</v>
      </c>
      <c r="F2282" t="s">
        <v>90</v>
      </c>
      <c r="G2282" t="s">
        <v>17</v>
      </c>
      <c r="H2282" t="s">
        <v>18</v>
      </c>
      <c r="I2282" s="8">
        <v>1488702.8507000001</v>
      </c>
      <c r="J2282" s="8">
        <v>1068313.9888927301</v>
      </c>
      <c r="K2282" s="8">
        <f>I2282/1000000</f>
        <v>1.4887028507</v>
      </c>
      <c r="L2282" s="8">
        <f>J2282/1000000</f>
        <v>1.06831398889273</v>
      </c>
      <c r="M2282" t="s">
        <v>19</v>
      </c>
    </row>
    <row r="2283" spans="2:13" x14ac:dyDescent="0.25">
      <c r="B2283" t="s">
        <v>13</v>
      </c>
      <c r="C2283" t="s">
        <v>46</v>
      </c>
      <c r="D2283" t="s">
        <v>73</v>
      </c>
      <c r="E2283">
        <v>2026</v>
      </c>
      <c r="F2283" t="s">
        <v>90</v>
      </c>
      <c r="G2283" t="s">
        <v>17</v>
      </c>
      <c r="H2283" t="s">
        <v>18</v>
      </c>
      <c r="I2283" s="8">
        <v>1278309.5495</v>
      </c>
      <c r="J2283" s="8">
        <v>909415.1196944</v>
      </c>
      <c r="K2283" s="8">
        <f>I2283/1000000</f>
        <v>1.2783095494999999</v>
      </c>
      <c r="L2283" s="8">
        <f>J2283/1000000</f>
        <v>0.90941511969440003</v>
      </c>
      <c r="M2283" t="s">
        <v>19</v>
      </c>
    </row>
    <row r="2284" spans="2:13" x14ac:dyDescent="0.25">
      <c r="B2284" t="s">
        <v>13</v>
      </c>
      <c r="C2284" t="s">
        <v>46</v>
      </c>
      <c r="D2284" t="s">
        <v>70</v>
      </c>
      <c r="E2284">
        <v>2028</v>
      </c>
      <c r="F2284" t="s">
        <v>90</v>
      </c>
      <c r="G2284" t="s">
        <v>17</v>
      </c>
      <c r="H2284" t="s">
        <v>18</v>
      </c>
      <c r="I2284" s="8">
        <v>1940479.7797000001</v>
      </c>
      <c r="J2284" s="8">
        <v>1373528.0229311101</v>
      </c>
      <c r="K2284" s="8">
        <f>I2284/1000000</f>
        <v>1.9404797797</v>
      </c>
      <c r="L2284" s="8">
        <f>J2284/1000000</f>
        <v>1.3735280229311102</v>
      </c>
      <c r="M2284" t="s">
        <v>19</v>
      </c>
    </row>
    <row r="2285" spans="2:13" x14ac:dyDescent="0.25">
      <c r="B2285" t="s">
        <v>13</v>
      </c>
      <c r="C2285" t="s">
        <v>46</v>
      </c>
      <c r="D2285" t="s">
        <v>70</v>
      </c>
      <c r="E2285">
        <v>2029</v>
      </c>
      <c r="F2285" t="s">
        <v>90</v>
      </c>
      <c r="G2285" t="s">
        <v>17</v>
      </c>
      <c r="H2285" t="s">
        <v>18</v>
      </c>
      <c r="I2285" s="8">
        <v>2240651.7272000001</v>
      </c>
      <c r="J2285" s="8">
        <v>1409138.2332308299</v>
      </c>
      <c r="K2285" s="8">
        <f>I2285/1000000</f>
        <v>2.2406517271999999</v>
      </c>
      <c r="L2285" s="8">
        <f>J2285/1000000</f>
        <v>1.40913823323083</v>
      </c>
      <c r="M2285" t="s">
        <v>19</v>
      </c>
    </row>
    <row r="2286" spans="2:13" x14ac:dyDescent="0.25">
      <c r="B2286" t="s">
        <v>13</v>
      </c>
      <c r="C2286" t="s">
        <v>46</v>
      </c>
      <c r="D2286" t="s">
        <v>70</v>
      </c>
      <c r="E2286">
        <v>2030</v>
      </c>
      <c r="F2286" t="s">
        <v>90</v>
      </c>
      <c r="G2286" t="s">
        <v>17</v>
      </c>
      <c r="H2286" t="s">
        <v>18</v>
      </c>
      <c r="I2286" s="8">
        <v>1844097.5458</v>
      </c>
      <c r="J2286" s="8">
        <v>1158725.3766070399</v>
      </c>
      <c r="K2286" s="8">
        <f>I2286/1000000</f>
        <v>1.8440975458</v>
      </c>
      <c r="L2286" s="8">
        <f>J2286/1000000</f>
        <v>1.15872537660704</v>
      </c>
      <c r="M2286" t="s">
        <v>19</v>
      </c>
    </row>
    <row r="2287" spans="2:13" x14ac:dyDescent="0.25">
      <c r="B2287" t="s">
        <v>13</v>
      </c>
      <c r="C2287" t="s">
        <v>46</v>
      </c>
      <c r="D2287" t="s">
        <v>70</v>
      </c>
      <c r="E2287">
        <v>2026</v>
      </c>
      <c r="F2287" t="s">
        <v>90</v>
      </c>
      <c r="G2287" t="s">
        <v>17</v>
      </c>
      <c r="H2287" t="s">
        <v>18</v>
      </c>
      <c r="I2287" s="8">
        <v>2815334.8366999999</v>
      </c>
      <c r="J2287" s="8">
        <v>1631228.4680000001</v>
      </c>
      <c r="K2287" s="8">
        <f>I2287/1000000</f>
        <v>2.8153348367</v>
      </c>
      <c r="L2287" s="8">
        <f>J2287/1000000</f>
        <v>1.6312284680000002</v>
      </c>
      <c r="M2287" t="s">
        <v>19</v>
      </c>
    </row>
    <row r="2288" spans="2:13" x14ac:dyDescent="0.25">
      <c r="B2288" t="s">
        <v>13</v>
      </c>
      <c r="C2288" t="s">
        <v>46</v>
      </c>
      <c r="D2288" t="s">
        <v>70</v>
      </c>
      <c r="E2288">
        <v>2027</v>
      </c>
      <c r="F2288" t="s">
        <v>90</v>
      </c>
      <c r="G2288" t="s">
        <v>17</v>
      </c>
      <c r="H2288" t="s">
        <v>18</v>
      </c>
      <c r="I2288" s="8">
        <v>2305483.5038000001</v>
      </c>
      <c r="J2288" s="8">
        <v>1650363.1088</v>
      </c>
      <c r="K2288" s="8">
        <f>I2288/1000000</f>
        <v>2.3054835038000001</v>
      </c>
      <c r="L2288" s="8">
        <f>J2288/1000000</f>
        <v>1.6503631088000001</v>
      </c>
      <c r="M2288" t="s">
        <v>19</v>
      </c>
    </row>
    <row r="2289" spans="2:13" x14ac:dyDescent="0.25">
      <c r="B2289" t="s">
        <v>13</v>
      </c>
      <c r="C2289" t="s">
        <v>46</v>
      </c>
      <c r="D2289" t="s">
        <v>15</v>
      </c>
      <c r="E2289">
        <v>2028</v>
      </c>
      <c r="F2289" t="s">
        <v>90</v>
      </c>
      <c r="G2289" t="s">
        <v>17</v>
      </c>
      <c r="H2289" t="s">
        <v>18</v>
      </c>
      <c r="I2289" s="8">
        <v>329261.19150000002</v>
      </c>
      <c r="J2289" s="8">
        <v>109552.22803124999</v>
      </c>
      <c r="K2289" s="8">
        <f>I2289/1000000</f>
        <v>0.32926119149999999</v>
      </c>
      <c r="L2289" s="8">
        <f>J2289/1000000</f>
        <v>0.10955222803124999</v>
      </c>
      <c r="M2289" t="s">
        <v>19</v>
      </c>
    </row>
    <row r="2290" spans="2:13" x14ac:dyDescent="0.25">
      <c r="B2290" t="s">
        <v>13</v>
      </c>
      <c r="C2290" t="s">
        <v>46</v>
      </c>
      <c r="D2290" t="s">
        <v>15</v>
      </c>
      <c r="E2290">
        <v>2026</v>
      </c>
      <c r="F2290" t="s">
        <v>90</v>
      </c>
      <c r="G2290" t="s">
        <v>17</v>
      </c>
      <c r="H2290" t="s">
        <v>18</v>
      </c>
      <c r="I2290" s="8">
        <v>668903.01910000003</v>
      </c>
      <c r="J2290" s="8">
        <v>144677.863551232</v>
      </c>
      <c r="K2290" s="8">
        <f>I2290/1000000</f>
        <v>0.66890301910000005</v>
      </c>
      <c r="L2290" s="8">
        <f>J2290/1000000</f>
        <v>0.14467786355123199</v>
      </c>
      <c r="M2290" t="s">
        <v>19</v>
      </c>
    </row>
    <row r="2291" spans="2:13" x14ac:dyDescent="0.25">
      <c r="B2291" t="s">
        <v>13</v>
      </c>
      <c r="C2291" t="s">
        <v>46</v>
      </c>
      <c r="D2291" t="s">
        <v>15</v>
      </c>
      <c r="E2291">
        <v>2027</v>
      </c>
      <c r="F2291" t="s">
        <v>90</v>
      </c>
      <c r="G2291" t="s">
        <v>17</v>
      </c>
      <c r="H2291" t="s">
        <v>18</v>
      </c>
      <c r="I2291" s="8">
        <v>642847.08299999998</v>
      </c>
      <c r="J2291" s="8">
        <v>139042.19282406301</v>
      </c>
      <c r="K2291" s="8">
        <f>I2291/1000000</f>
        <v>0.64284708299999993</v>
      </c>
      <c r="L2291" s="8">
        <f>J2291/1000000</f>
        <v>0.13904219282406302</v>
      </c>
      <c r="M2291" t="s">
        <v>19</v>
      </c>
    </row>
    <row r="2292" spans="2:13" x14ac:dyDescent="0.25">
      <c r="B2292" t="s">
        <v>13</v>
      </c>
      <c r="C2292" t="s">
        <v>46</v>
      </c>
      <c r="D2292" t="s">
        <v>15</v>
      </c>
      <c r="E2292">
        <v>2030</v>
      </c>
      <c r="F2292" t="s">
        <v>90</v>
      </c>
      <c r="G2292" t="s">
        <v>17</v>
      </c>
      <c r="H2292" t="s">
        <v>18</v>
      </c>
      <c r="I2292" s="8">
        <v>265584.1948</v>
      </c>
      <c r="J2292" s="8">
        <v>88365.531749999995</v>
      </c>
      <c r="K2292" s="8">
        <f>I2292/1000000</f>
        <v>0.26558419480000001</v>
      </c>
      <c r="L2292" s="8">
        <f>J2292/1000000</f>
        <v>8.836553174999999E-2</v>
      </c>
      <c r="M2292" t="s">
        <v>19</v>
      </c>
    </row>
    <row r="2293" spans="2:13" x14ac:dyDescent="0.25">
      <c r="B2293" t="s">
        <v>13</v>
      </c>
      <c r="C2293" t="s">
        <v>46</v>
      </c>
      <c r="D2293" t="s">
        <v>100</v>
      </c>
      <c r="E2293">
        <v>2028</v>
      </c>
      <c r="F2293" t="s">
        <v>90</v>
      </c>
      <c r="G2293" t="s">
        <v>17</v>
      </c>
      <c r="H2293" t="s">
        <v>18</v>
      </c>
      <c r="I2293" s="8">
        <v>1486879.4717999999</v>
      </c>
      <c r="J2293" s="8">
        <v>1436598.52349092</v>
      </c>
      <c r="K2293" s="8">
        <f>I2293/1000000</f>
        <v>1.4868794718</v>
      </c>
      <c r="L2293" s="8">
        <f>J2293/1000000</f>
        <v>1.43659852349092</v>
      </c>
      <c r="M2293" t="s">
        <v>19</v>
      </c>
    </row>
    <row r="2294" spans="2:13" x14ac:dyDescent="0.25">
      <c r="B2294" t="s">
        <v>13</v>
      </c>
      <c r="C2294" t="s">
        <v>46</v>
      </c>
      <c r="D2294" t="s">
        <v>100</v>
      </c>
      <c r="E2294">
        <v>2029</v>
      </c>
      <c r="F2294" t="s">
        <v>90</v>
      </c>
      <c r="G2294" t="s">
        <v>17</v>
      </c>
      <c r="H2294" t="s">
        <v>18</v>
      </c>
      <c r="I2294" s="8">
        <v>1364891.3766000001</v>
      </c>
      <c r="J2294" s="8">
        <v>1318735.6296111899</v>
      </c>
      <c r="K2294" s="8">
        <f>I2294/1000000</f>
        <v>1.3648913766000002</v>
      </c>
      <c r="L2294" s="8">
        <f>J2294/1000000</f>
        <v>1.3187356296111898</v>
      </c>
      <c r="M2294" t="s">
        <v>19</v>
      </c>
    </row>
    <row r="2295" spans="2:13" x14ac:dyDescent="0.25">
      <c r="B2295" t="s">
        <v>13</v>
      </c>
      <c r="C2295" t="s">
        <v>46</v>
      </c>
      <c r="D2295" t="s">
        <v>100</v>
      </c>
      <c r="E2295">
        <v>2030</v>
      </c>
      <c r="F2295" t="s">
        <v>90</v>
      </c>
      <c r="G2295" t="s">
        <v>17</v>
      </c>
      <c r="H2295" t="s">
        <v>18</v>
      </c>
      <c r="I2295" s="8">
        <v>1207239.2634000001</v>
      </c>
      <c r="J2295" s="8">
        <v>1166414.74720307</v>
      </c>
      <c r="K2295" s="8">
        <f>I2295/1000000</f>
        <v>1.2072392634</v>
      </c>
      <c r="L2295" s="8">
        <f>J2295/1000000</f>
        <v>1.1664147472030699</v>
      </c>
      <c r="M2295" t="s">
        <v>19</v>
      </c>
    </row>
    <row r="2296" spans="2:13" x14ac:dyDescent="0.25">
      <c r="B2296" t="s">
        <v>13</v>
      </c>
      <c r="C2296" t="s">
        <v>46</v>
      </c>
      <c r="D2296" t="s">
        <v>100</v>
      </c>
      <c r="E2296">
        <v>2026</v>
      </c>
      <c r="F2296" t="s">
        <v>90</v>
      </c>
      <c r="G2296" t="s">
        <v>17</v>
      </c>
      <c r="H2296" t="s">
        <v>18</v>
      </c>
      <c r="I2296" s="8">
        <v>1986264.1586</v>
      </c>
      <c r="J2296" s="8">
        <v>1636359.7882389999</v>
      </c>
      <c r="K2296" s="8">
        <f>I2296/1000000</f>
        <v>1.9862641586000001</v>
      </c>
      <c r="L2296" s="8">
        <f>J2296/1000000</f>
        <v>1.636359788239</v>
      </c>
      <c r="M2296" t="s">
        <v>19</v>
      </c>
    </row>
    <row r="2297" spans="2:13" x14ac:dyDescent="0.25">
      <c r="B2297" t="s">
        <v>13</v>
      </c>
      <c r="C2297" t="s">
        <v>46</v>
      </c>
      <c r="D2297" t="s">
        <v>100</v>
      </c>
      <c r="E2297">
        <v>2027</v>
      </c>
      <c r="F2297" t="s">
        <v>90</v>
      </c>
      <c r="G2297" t="s">
        <v>17</v>
      </c>
      <c r="H2297" t="s">
        <v>18</v>
      </c>
      <c r="I2297" s="8">
        <v>1634302.5024000001</v>
      </c>
      <c r="J2297" s="8">
        <v>1563177.9075901499</v>
      </c>
      <c r="K2297" s="8">
        <f>I2297/1000000</f>
        <v>1.6343025024000002</v>
      </c>
      <c r="L2297" s="8">
        <f>J2297/1000000</f>
        <v>1.56317790759015</v>
      </c>
      <c r="M2297" t="s">
        <v>19</v>
      </c>
    </row>
    <row r="2298" spans="2:13" x14ac:dyDescent="0.25">
      <c r="B2298" t="s">
        <v>13</v>
      </c>
      <c r="C2298" t="s">
        <v>46</v>
      </c>
      <c r="D2298" t="s">
        <v>72</v>
      </c>
      <c r="E2298">
        <v>2027</v>
      </c>
      <c r="F2298" t="s">
        <v>90</v>
      </c>
      <c r="G2298" t="s">
        <v>17</v>
      </c>
      <c r="H2298" t="s">
        <v>18</v>
      </c>
      <c r="I2298" s="8">
        <v>4331951.5025000004</v>
      </c>
      <c r="J2298" s="8">
        <v>1457223.46796988</v>
      </c>
      <c r="K2298" s="8">
        <f>I2298/1000000</f>
        <v>4.3319515025000008</v>
      </c>
      <c r="L2298" s="8">
        <f>J2298/1000000</f>
        <v>1.4572234679698799</v>
      </c>
      <c r="M2298" t="s">
        <v>19</v>
      </c>
    </row>
    <row r="2299" spans="2:13" x14ac:dyDescent="0.25">
      <c r="B2299" t="s">
        <v>13</v>
      </c>
      <c r="C2299" t="s">
        <v>46</v>
      </c>
      <c r="D2299" t="s">
        <v>72</v>
      </c>
      <c r="E2299">
        <v>2026</v>
      </c>
      <c r="F2299" t="s">
        <v>90</v>
      </c>
      <c r="G2299" t="s">
        <v>17</v>
      </c>
      <c r="H2299" t="s">
        <v>18</v>
      </c>
      <c r="I2299" s="8">
        <v>2505382.1143999998</v>
      </c>
      <c r="J2299" s="8">
        <v>842785.48112879996</v>
      </c>
      <c r="K2299" s="8">
        <f>I2299/1000000</f>
        <v>2.5053821143999997</v>
      </c>
      <c r="L2299" s="8">
        <f>J2299/1000000</f>
        <v>0.84278548112879992</v>
      </c>
      <c r="M2299" t="s">
        <v>19</v>
      </c>
    </row>
    <row r="2300" spans="2:13" x14ac:dyDescent="0.25">
      <c r="B2300" t="s">
        <v>13</v>
      </c>
      <c r="C2300" t="s">
        <v>46</v>
      </c>
      <c r="D2300" t="s">
        <v>72</v>
      </c>
      <c r="E2300">
        <v>2029</v>
      </c>
      <c r="F2300" t="s">
        <v>90</v>
      </c>
      <c r="G2300" t="s">
        <v>17</v>
      </c>
      <c r="H2300" t="s">
        <v>18</v>
      </c>
      <c r="I2300" s="8">
        <v>2574035.4605999999</v>
      </c>
      <c r="J2300" s="8">
        <v>1238464.7652000799</v>
      </c>
      <c r="K2300" s="8">
        <f>I2300/1000000</f>
        <v>2.5740354605999998</v>
      </c>
      <c r="L2300" s="8">
        <f>J2300/1000000</f>
        <v>1.23846476520008</v>
      </c>
      <c r="M2300" t="s">
        <v>19</v>
      </c>
    </row>
    <row r="2301" spans="2:13" x14ac:dyDescent="0.25">
      <c r="B2301" t="s">
        <v>13</v>
      </c>
      <c r="C2301" t="s">
        <v>46</v>
      </c>
      <c r="D2301" t="s">
        <v>72</v>
      </c>
      <c r="E2301">
        <v>2030</v>
      </c>
      <c r="F2301" t="s">
        <v>90</v>
      </c>
      <c r="G2301" t="s">
        <v>17</v>
      </c>
      <c r="H2301" t="s">
        <v>18</v>
      </c>
      <c r="I2301" s="8">
        <v>2276720.8632</v>
      </c>
      <c r="J2301" s="8">
        <v>1095415.5886776701</v>
      </c>
      <c r="K2301" s="8">
        <f>I2301/1000000</f>
        <v>2.2767208632</v>
      </c>
      <c r="L2301" s="8">
        <f>J2301/1000000</f>
        <v>1.0954155886776702</v>
      </c>
      <c r="M2301" t="s">
        <v>19</v>
      </c>
    </row>
    <row r="2302" spans="2:13" x14ac:dyDescent="0.25">
      <c r="B2302" t="s">
        <v>13</v>
      </c>
      <c r="C2302" t="s">
        <v>46</v>
      </c>
      <c r="D2302" t="s">
        <v>76</v>
      </c>
      <c r="E2302">
        <v>2027</v>
      </c>
      <c r="F2302" t="s">
        <v>90</v>
      </c>
      <c r="G2302" t="s">
        <v>17</v>
      </c>
      <c r="H2302" t="s">
        <v>18</v>
      </c>
      <c r="I2302" s="8">
        <v>2283360.9276999999</v>
      </c>
      <c r="J2302" s="8">
        <v>706080.38654219802</v>
      </c>
      <c r="K2302" s="8">
        <f>I2302/1000000</f>
        <v>2.2833609277</v>
      </c>
      <c r="L2302" s="8">
        <f>J2302/1000000</f>
        <v>0.70608038654219807</v>
      </c>
      <c r="M2302" t="s">
        <v>39</v>
      </c>
    </row>
    <row r="2303" spans="2:13" x14ac:dyDescent="0.25">
      <c r="B2303" t="s">
        <v>13</v>
      </c>
      <c r="C2303" t="s">
        <v>46</v>
      </c>
      <c r="D2303" t="s">
        <v>76</v>
      </c>
      <c r="E2303">
        <v>2028</v>
      </c>
      <c r="F2303" t="s">
        <v>90</v>
      </c>
      <c r="G2303" t="s">
        <v>17</v>
      </c>
      <c r="H2303" t="s">
        <v>18</v>
      </c>
      <c r="I2303" s="8">
        <v>1345649.6221</v>
      </c>
      <c r="J2303" s="8">
        <v>421965.47732690099</v>
      </c>
      <c r="K2303" s="8">
        <f>I2303/1000000</f>
        <v>1.3456496221000001</v>
      </c>
      <c r="L2303" s="8">
        <f>J2303/1000000</f>
        <v>0.42196547732690098</v>
      </c>
      <c r="M2303" t="s">
        <v>39</v>
      </c>
    </row>
    <row r="2304" spans="2:13" x14ac:dyDescent="0.25">
      <c r="B2304" t="s">
        <v>13</v>
      </c>
      <c r="C2304" t="s">
        <v>46</v>
      </c>
      <c r="D2304" t="s">
        <v>76</v>
      </c>
      <c r="E2304">
        <v>2029</v>
      </c>
      <c r="F2304" t="s">
        <v>90</v>
      </c>
      <c r="G2304" t="s">
        <v>17</v>
      </c>
      <c r="H2304" t="s">
        <v>18</v>
      </c>
      <c r="I2304" s="8">
        <v>918420.6936</v>
      </c>
      <c r="J2304" s="8">
        <v>287996.08752316702</v>
      </c>
      <c r="K2304" s="8">
        <f>I2304/1000000</f>
        <v>0.9184206936</v>
      </c>
      <c r="L2304" s="8">
        <f>J2304/1000000</f>
        <v>0.28799608752316702</v>
      </c>
      <c r="M2304" t="s">
        <v>39</v>
      </c>
    </row>
    <row r="2305" spans="2:13" x14ac:dyDescent="0.25">
      <c r="B2305" t="s">
        <v>13</v>
      </c>
      <c r="C2305" t="s">
        <v>46</v>
      </c>
      <c r="D2305" t="s">
        <v>76</v>
      </c>
      <c r="E2305">
        <v>2030</v>
      </c>
      <c r="F2305" t="s">
        <v>90</v>
      </c>
      <c r="G2305" t="s">
        <v>17</v>
      </c>
      <c r="H2305" t="s">
        <v>18</v>
      </c>
      <c r="I2305" s="8">
        <v>953993.70909999998</v>
      </c>
      <c r="J2305" s="8">
        <v>299150.98565888801</v>
      </c>
      <c r="K2305" s="8">
        <f>I2305/1000000</f>
        <v>0.95399370910000003</v>
      </c>
      <c r="L2305" s="8">
        <f>J2305/1000000</f>
        <v>0.29915098565888798</v>
      </c>
      <c r="M2305" t="s">
        <v>39</v>
      </c>
    </row>
    <row r="2306" spans="2:13" x14ac:dyDescent="0.25">
      <c r="B2306" t="s">
        <v>13</v>
      </c>
      <c r="C2306" t="s">
        <v>46</v>
      </c>
      <c r="D2306" t="s">
        <v>76</v>
      </c>
      <c r="E2306">
        <v>2026</v>
      </c>
      <c r="F2306" t="s">
        <v>90</v>
      </c>
      <c r="G2306" t="s">
        <v>17</v>
      </c>
      <c r="H2306" t="s">
        <v>18</v>
      </c>
      <c r="I2306" s="8">
        <v>6584426.1668999996</v>
      </c>
      <c r="J2306" s="8">
        <v>1566600</v>
      </c>
      <c r="K2306" s="8">
        <f>I2306/1000000</f>
        <v>6.5844261668999993</v>
      </c>
      <c r="L2306" s="8">
        <f>J2306/1000000</f>
        <v>1.5666</v>
      </c>
      <c r="M2306" t="s">
        <v>39</v>
      </c>
    </row>
    <row r="2307" spans="2:13" x14ac:dyDescent="0.25">
      <c r="B2307" t="s">
        <v>13</v>
      </c>
      <c r="C2307" t="s">
        <v>46</v>
      </c>
      <c r="D2307" t="s">
        <v>102</v>
      </c>
      <c r="E2307">
        <v>2029</v>
      </c>
      <c r="F2307" t="s">
        <v>90</v>
      </c>
      <c r="G2307" t="s">
        <v>17</v>
      </c>
      <c r="H2307" t="s">
        <v>18</v>
      </c>
      <c r="I2307" s="8">
        <v>94242.018200000006</v>
      </c>
      <c r="J2307" s="8">
        <v>278621.31804759899</v>
      </c>
      <c r="K2307" s="8">
        <f>I2307/1000000</f>
        <v>9.42420182E-2</v>
      </c>
      <c r="L2307" s="8">
        <f>J2307/1000000</f>
        <v>0.27862131804759899</v>
      </c>
      <c r="M2307" t="s">
        <v>19</v>
      </c>
    </row>
    <row r="2308" spans="2:13" x14ac:dyDescent="0.25">
      <c r="B2308" t="s">
        <v>13</v>
      </c>
      <c r="C2308" t="s">
        <v>46</v>
      </c>
      <c r="D2308" t="s">
        <v>102</v>
      </c>
      <c r="E2308">
        <v>2030</v>
      </c>
      <c r="F2308" t="s">
        <v>90</v>
      </c>
      <c r="G2308" t="s">
        <v>17</v>
      </c>
      <c r="H2308" t="s">
        <v>18</v>
      </c>
      <c r="I2308" s="8">
        <v>78668.298999999999</v>
      </c>
      <c r="J2308" s="8">
        <v>232578.47813199501</v>
      </c>
      <c r="K2308" s="8">
        <f>I2308/1000000</f>
        <v>7.8668298999999997E-2</v>
      </c>
      <c r="L2308" s="8">
        <f>J2308/1000000</f>
        <v>0.232578478131995</v>
      </c>
      <c r="M2308" t="s">
        <v>19</v>
      </c>
    </row>
    <row r="2309" spans="2:13" x14ac:dyDescent="0.25">
      <c r="B2309" t="s">
        <v>13</v>
      </c>
      <c r="C2309" t="s">
        <v>46</v>
      </c>
      <c r="D2309" t="s">
        <v>72</v>
      </c>
      <c r="E2309">
        <v>2028</v>
      </c>
      <c r="F2309" t="s">
        <v>90</v>
      </c>
      <c r="G2309" t="s">
        <v>17</v>
      </c>
      <c r="H2309" t="s">
        <v>18</v>
      </c>
      <c r="I2309" s="8">
        <v>2804091.6307000001</v>
      </c>
      <c r="J2309" s="8">
        <v>1349153.3959740801</v>
      </c>
      <c r="K2309" s="8">
        <f>I2309/1000000</f>
        <v>2.8040916306999999</v>
      </c>
      <c r="L2309" s="8">
        <f>J2309/1000000</f>
        <v>1.34915339597408</v>
      </c>
      <c r="M2309" t="s">
        <v>19</v>
      </c>
    </row>
    <row r="2310" spans="2:13" x14ac:dyDescent="0.25">
      <c r="B2310" t="s">
        <v>13</v>
      </c>
      <c r="C2310" t="s">
        <v>46</v>
      </c>
      <c r="D2310" t="s">
        <v>15</v>
      </c>
      <c r="E2310">
        <v>2029</v>
      </c>
      <c r="F2310" t="s">
        <v>90</v>
      </c>
      <c r="G2310" t="s">
        <v>17</v>
      </c>
      <c r="H2310" t="s">
        <v>18</v>
      </c>
      <c r="I2310" s="8">
        <v>300606.34779999999</v>
      </c>
      <c r="J2310" s="8">
        <v>100018.14975</v>
      </c>
      <c r="K2310" s="8">
        <f>I2310/1000000</f>
        <v>0.30060634780000001</v>
      </c>
      <c r="L2310" s="8">
        <f>J2310/1000000</f>
        <v>0.10001814974999999</v>
      </c>
      <c r="M2310" t="s">
        <v>19</v>
      </c>
    </row>
    <row r="2311" spans="2:13" x14ac:dyDescent="0.25">
      <c r="B2311" t="s">
        <v>13</v>
      </c>
      <c r="C2311" t="s">
        <v>46</v>
      </c>
      <c r="D2311" t="s">
        <v>102</v>
      </c>
      <c r="E2311">
        <v>2028</v>
      </c>
      <c r="F2311" t="s">
        <v>90</v>
      </c>
      <c r="G2311" t="s">
        <v>17</v>
      </c>
      <c r="H2311" t="s">
        <v>18</v>
      </c>
      <c r="I2311" s="8">
        <v>7794.7088000000003</v>
      </c>
      <c r="J2311" s="8">
        <v>23044.625643946601</v>
      </c>
      <c r="K2311" s="8">
        <f>I2311/1000000</f>
        <v>7.7947088000000003E-3</v>
      </c>
      <c r="L2311" s="8">
        <f>J2311/1000000</f>
        <v>2.30446256439466E-2</v>
      </c>
      <c r="M2311" t="s">
        <v>19</v>
      </c>
    </row>
    <row r="2312" spans="2:13" x14ac:dyDescent="0.25">
      <c r="B2312" t="s">
        <v>13</v>
      </c>
      <c r="C2312" t="s">
        <v>14</v>
      </c>
      <c r="D2312" t="s">
        <v>109</v>
      </c>
      <c r="E2312">
        <v>2028</v>
      </c>
      <c r="F2312" t="s">
        <v>90</v>
      </c>
      <c r="G2312" t="s">
        <v>17</v>
      </c>
      <c r="H2312" t="s">
        <v>18</v>
      </c>
      <c r="I2312" s="8">
        <v>6862683.4201999996</v>
      </c>
      <c r="J2312" s="8">
        <v>4050000</v>
      </c>
      <c r="K2312" s="8">
        <f>I2312/1000000</f>
        <v>6.8626834201999998</v>
      </c>
      <c r="L2312" s="8">
        <f>J2312/1000000</f>
        <v>4.05</v>
      </c>
      <c r="M2312" t="s">
        <v>39</v>
      </c>
    </row>
    <row r="2313" spans="2:13" x14ac:dyDescent="0.25">
      <c r="B2313" t="s">
        <v>13</v>
      </c>
      <c r="C2313" t="s">
        <v>14</v>
      </c>
      <c r="D2313" t="s">
        <v>52</v>
      </c>
      <c r="E2313">
        <v>2027</v>
      </c>
      <c r="F2313" t="s">
        <v>90</v>
      </c>
      <c r="G2313" t="s">
        <v>17</v>
      </c>
      <c r="H2313" t="s">
        <v>18</v>
      </c>
      <c r="I2313" s="8">
        <v>4511312.3735999996</v>
      </c>
      <c r="J2313" s="8">
        <v>4263657.5231717303</v>
      </c>
      <c r="K2313" s="8">
        <f>I2313/1000000</f>
        <v>4.5113123735999991</v>
      </c>
      <c r="L2313" s="8">
        <f>J2313/1000000</f>
        <v>4.2636575231717302</v>
      </c>
      <c r="M2313" t="s">
        <v>19</v>
      </c>
    </row>
    <row r="2314" spans="2:13" x14ac:dyDescent="0.25">
      <c r="B2314" t="s">
        <v>13</v>
      </c>
      <c r="C2314" t="s">
        <v>46</v>
      </c>
      <c r="D2314" t="s">
        <v>73</v>
      </c>
      <c r="E2314">
        <v>2026</v>
      </c>
      <c r="F2314" t="s">
        <v>93</v>
      </c>
      <c r="G2314" t="s">
        <v>17</v>
      </c>
      <c r="H2314" t="s">
        <v>18</v>
      </c>
      <c r="I2314" s="8">
        <v>1208251.0273</v>
      </c>
      <c r="J2314" s="8">
        <v>1284000</v>
      </c>
      <c r="K2314" s="8">
        <f>I2314/1000000</f>
        <v>1.2082510273</v>
      </c>
      <c r="L2314" s="8">
        <f>J2314/1000000</f>
        <v>1.284</v>
      </c>
      <c r="M2314" t="s">
        <v>19</v>
      </c>
    </row>
    <row r="2315" spans="2:13" x14ac:dyDescent="0.25">
      <c r="B2315" t="s">
        <v>13</v>
      </c>
      <c r="C2315" t="s">
        <v>46</v>
      </c>
      <c r="D2315" t="s">
        <v>73</v>
      </c>
      <c r="E2315">
        <v>2027</v>
      </c>
      <c r="F2315" t="s">
        <v>93</v>
      </c>
      <c r="G2315" t="s">
        <v>17</v>
      </c>
      <c r="H2315" t="s">
        <v>18</v>
      </c>
      <c r="I2315" s="8">
        <v>1193354.5560000001</v>
      </c>
      <c r="J2315" s="8">
        <v>1272161.2533871301</v>
      </c>
      <c r="K2315" s="8">
        <f>I2315/1000000</f>
        <v>1.1933545560000001</v>
      </c>
      <c r="L2315" s="8">
        <f>J2315/1000000</f>
        <v>1.27216125338713</v>
      </c>
      <c r="M2315" t="s">
        <v>19</v>
      </c>
    </row>
    <row r="2316" spans="2:13" x14ac:dyDescent="0.25">
      <c r="B2316" t="s">
        <v>13</v>
      </c>
      <c r="C2316" t="s">
        <v>46</v>
      </c>
      <c r="D2316" t="s">
        <v>73</v>
      </c>
      <c r="E2316">
        <v>2028</v>
      </c>
      <c r="F2316" t="s">
        <v>93</v>
      </c>
      <c r="G2316" t="s">
        <v>17</v>
      </c>
      <c r="H2316" t="s">
        <v>18</v>
      </c>
      <c r="I2316" s="8">
        <v>1266134.4446</v>
      </c>
      <c r="J2316" s="8">
        <v>1259498.0309576199</v>
      </c>
      <c r="K2316" s="8">
        <f>I2316/1000000</f>
        <v>1.2661344446</v>
      </c>
      <c r="L2316" s="8">
        <f>J2316/1000000</f>
        <v>1.2594980309576198</v>
      </c>
      <c r="M2316" t="s">
        <v>19</v>
      </c>
    </row>
    <row r="2317" spans="2:13" x14ac:dyDescent="0.25">
      <c r="B2317" t="s">
        <v>13</v>
      </c>
      <c r="C2317" t="s">
        <v>46</v>
      </c>
      <c r="D2317" t="s">
        <v>73</v>
      </c>
      <c r="E2317">
        <v>2029</v>
      </c>
      <c r="F2317" t="s">
        <v>93</v>
      </c>
      <c r="G2317" t="s">
        <v>17</v>
      </c>
      <c r="H2317" t="s">
        <v>18</v>
      </c>
      <c r="I2317" s="8">
        <v>1244166.6773000001</v>
      </c>
      <c r="J2317" s="8">
        <v>1237645.4136349501</v>
      </c>
      <c r="K2317" s="8">
        <f>I2317/1000000</f>
        <v>1.2441666773000002</v>
      </c>
      <c r="L2317" s="8">
        <f>J2317/1000000</f>
        <v>1.23764541363495</v>
      </c>
      <c r="M2317" t="s">
        <v>19</v>
      </c>
    </row>
    <row r="2318" spans="2:13" x14ac:dyDescent="0.25">
      <c r="B2318" t="s">
        <v>13</v>
      </c>
      <c r="C2318" t="s">
        <v>46</v>
      </c>
      <c r="D2318" t="s">
        <v>73</v>
      </c>
      <c r="E2318">
        <v>2030</v>
      </c>
      <c r="F2318" t="s">
        <v>93</v>
      </c>
      <c r="G2318" t="s">
        <v>17</v>
      </c>
      <c r="H2318" t="s">
        <v>18</v>
      </c>
      <c r="I2318" s="8">
        <v>1210005.2335000001</v>
      </c>
      <c r="J2318" s="8">
        <v>1203663.0261833901</v>
      </c>
      <c r="K2318" s="8">
        <f>I2318/1000000</f>
        <v>1.2100052335</v>
      </c>
      <c r="L2318" s="8">
        <f>J2318/1000000</f>
        <v>1.2036630261833901</v>
      </c>
      <c r="M2318" t="s">
        <v>19</v>
      </c>
    </row>
    <row r="2319" spans="2:13" x14ac:dyDescent="0.25">
      <c r="B2319" t="s">
        <v>13</v>
      </c>
      <c r="C2319" t="s">
        <v>46</v>
      </c>
      <c r="D2319" t="s">
        <v>70</v>
      </c>
      <c r="E2319">
        <v>2026</v>
      </c>
      <c r="F2319" t="s">
        <v>93</v>
      </c>
      <c r="G2319" t="s">
        <v>17</v>
      </c>
      <c r="H2319" t="s">
        <v>18</v>
      </c>
      <c r="I2319" s="8">
        <v>1623725.3495</v>
      </c>
      <c r="J2319" s="8">
        <v>940800</v>
      </c>
      <c r="K2319" s="8">
        <f>I2319/1000000</f>
        <v>1.6237253494999999</v>
      </c>
      <c r="L2319" s="8">
        <f>J2319/1000000</f>
        <v>0.94079999999999997</v>
      </c>
      <c r="M2319" t="s">
        <v>19</v>
      </c>
    </row>
    <row r="2320" spans="2:13" x14ac:dyDescent="0.25">
      <c r="B2320" t="s">
        <v>13</v>
      </c>
      <c r="C2320" t="s">
        <v>46</v>
      </c>
      <c r="D2320" t="s">
        <v>70</v>
      </c>
      <c r="E2320">
        <v>2027</v>
      </c>
      <c r="F2320" t="s">
        <v>93</v>
      </c>
      <c r="G2320" t="s">
        <v>17</v>
      </c>
      <c r="H2320" t="s">
        <v>18</v>
      </c>
      <c r="I2320" s="8">
        <v>1337966.6470999999</v>
      </c>
      <c r="J2320" s="8">
        <v>957773.409090159</v>
      </c>
      <c r="K2320" s="8">
        <f>I2320/1000000</f>
        <v>1.3379666471</v>
      </c>
      <c r="L2320" s="8">
        <f>J2320/1000000</f>
        <v>0.95777340909015896</v>
      </c>
      <c r="M2320" t="s">
        <v>19</v>
      </c>
    </row>
    <row r="2321" spans="2:13" x14ac:dyDescent="0.25">
      <c r="B2321" t="s">
        <v>13</v>
      </c>
      <c r="C2321" t="s">
        <v>46</v>
      </c>
      <c r="D2321" t="s">
        <v>70</v>
      </c>
      <c r="E2321">
        <v>2028</v>
      </c>
      <c r="F2321" t="s">
        <v>93</v>
      </c>
      <c r="G2321" t="s">
        <v>17</v>
      </c>
      <c r="H2321" t="s">
        <v>18</v>
      </c>
      <c r="I2321" s="8">
        <v>1384490.67</v>
      </c>
      <c r="J2321" s="8">
        <v>979982.76130080305</v>
      </c>
      <c r="K2321" s="8">
        <f>I2321/1000000</f>
        <v>1.3844906699999999</v>
      </c>
      <c r="L2321" s="8">
        <f>J2321/1000000</f>
        <v>0.97998276130080308</v>
      </c>
      <c r="M2321" t="s">
        <v>19</v>
      </c>
    </row>
    <row r="2322" spans="2:13" x14ac:dyDescent="0.25">
      <c r="B2322" t="s">
        <v>13</v>
      </c>
      <c r="C2322" t="s">
        <v>46</v>
      </c>
      <c r="D2322" t="s">
        <v>70</v>
      </c>
      <c r="E2322">
        <v>2029</v>
      </c>
      <c r="F2322" t="s">
        <v>93</v>
      </c>
      <c r="G2322" t="s">
        <v>17</v>
      </c>
      <c r="H2322" t="s">
        <v>18</v>
      </c>
      <c r="I2322" s="8">
        <v>1592443.1154</v>
      </c>
      <c r="J2322" s="8">
        <v>1001482.0469193599</v>
      </c>
      <c r="K2322" s="8">
        <f>I2322/1000000</f>
        <v>1.5924431154000001</v>
      </c>
      <c r="L2322" s="8">
        <f>J2322/1000000</f>
        <v>1.0014820469193599</v>
      </c>
      <c r="M2322" t="s">
        <v>19</v>
      </c>
    </row>
    <row r="2323" spans="2:13" x14ac:dyDescent="0.25">
      <c r="B2323" t="s">
        <v>13</v>
      </c>
      <c r="C2323" t="s">
        <v>46</v>
      </c>
      <c r="D2323" t="s">
        <v>70</v>
      </c>
      <c r="E2323">
        <v>2030</v>
      </c>
      <c r="F2323" t="s">
        <v>93</v>
      </c>
      <c r="G2323" t="s">
        <v>17</v>
      </c>
      <c r="H2323" t="s">
        <v>18</v>
      </c>
      <c r="I2323" s="8">
        <v>1312203.9164</v>
      </c>
      <c r="J2323" s="8">
        <v>824513.85536235699</v>
      </c>
      <c r="K2323" s="8">
        <f>I2323/1000000</f>
        <v>1.3122039163999999</v>
      </c>
      <c r="L2323" s="8">
        <f>J2323/1000000</f>
        <v>0.824513855362357</v>
      </c>
      <c r="M2323" t="s">
        <v>19</v>
      </c>
    </row>
    <row r="2324" spans="2:13" x14ac:dyDescent="0.25">
      <c r="B2324" t="s">
        <v>13</v>
      </c>
      <c r="C2324" t="s">
        <v>46</v>
      </c>
      <c r="D2324" t="s">
        <v>15</v>
      </c>
      <c r="E2324">
        <v>2026</v>
      </c>
      <c r="F2324" t="s">
        <v>93</v>
      </c>
      <c r="G2324" t="s">
        <v>17</v>
      </c>
      <c r="H2324" t="s">
        <v>18</v>
      </c>
      <c r="I2324" s="8">
        <v>990704.08909999998</v>
      </c>
      <c r="J2324" s="8">
        <v>186824.65538947401</v>
      </c>
      <c r="K2324" s="8">
        <f>I2324/1000000</f>
        <v>0.99070408909999996</v>
      </c>
      <c r="L2324" s="8">
        <f>J2324/1000000</f>
        <v>0.18682465538947401</v>
      </c>
      <c r="M2324" t="s">
        <v>19</v>
      </c>
    </row>
    <row r="2325" spans="2:13" x14ac:dyDescent="0.25">
      <c r="B2325" t="s">
        <v>13</v>
      </c>
      <c r="C2325" t="s">
        <v>46</v>
      </c>
      <c r="D2325" t="s">
        <v>15</v>
      </c>
      <c r="E2325">
        <v>2027</v>
      </c>
      <c r="F2325" t="s">
        <v>93</v>
      </c>
      <c r="G2325" t="s">
        <v>17</v>
      </c>
      <c r="H2325" t="s">
        <v>18</v>
      </c>
      <c r="I2325" s="8">
        <v>974746.12470000004</v>
      </c>
      <c r="J2325" s="8">
        <v>183815.33987368399</v>
      </c>
      <c r="K2325" s="8">
        <f>I2325/1000000</f>
        <v>0.97474612469999999</v>
      </c>
      <c r="L2325" s="8">
        <f>J2325/1000000</f>
        <v>0.18381533987368398</v>
      </c>
      <c r="M2325" t="s">
        <v>19</v>
      </c>
    </row>
    <row r="2326" spans="2:13" x14ac:dyDescent="0.25">
      <c r="B2326" t="s">
        <v>13</v>
      </c>
      <c r="C2326" t="s">
        <v>46</v>
      </c>
      <c r="D2326" t="s">
        <v>15</v>
      </c>
      <c r="E2326">
        <v>2029</v>
      </c>
      <c r="F2326" t="s">
        <v>93</v>
      </c>
      <c r="G2326" t="s">
        <v>17</v>
      </c>
      <c r="H2326" t="s">
        <v>18</v>
      </c>
      <c r="I2326" s="8">
        <v>525874.67039999994</v>
      </c>
      <c r="J2326" s="8">
        <v>175000.37048421</v>
      </c>
      <c r="K2326" s="8">
        <f>I2326/1000000</f>
        <v>0.52587467039999991</v>
      </c>
      <c r="L2326" s="8">
        <f>J2326/1000000</f>
        <v>0.17500037048420999</v>
      </c>
      <c r="M2326" t="s">
        <v>19</v>
      </c>
    </row>
    <row r="2327" spans="2:13" x14ac:dyDescent="0.25">
      <c r="B2327" t="s">
        <v>13</v>
      </c>
      <c r="C2327" t="s">
        <v>46</v>
      </c>
      <c r="D2327" t="s">
        <v>15</v>
      </c>
      <c r="E2327">
        <v>2030</v>
      </c>
      <c r="F2327" t="s">
        <v>93</v>
      </c>
      <c r="G2327" t="s">
        <v>17</v>
      </c>
      <c r="H2327" t="s">
        <v>18</v>
      </c>
      <c r="I2327" s="8">
        <v>510432.59360000002</v>
      </c>
      <c r="J2327" s="8">
        <v>169861.562105263</v>
      </c>
      <c r="K2327" s="8">
        <f>I2327/1000000</f>
        <v>0.51043259360000004</v>
      </c>
      <c r="L2327" s="8">
        <f>J2327/1000000</f>
        <v>0.16986156210526301</v>
      </c>
      <c r="M2327" t="s">
        <v>19</v>
      </c>
    </row>
    <row r="2328" spans="2:13" x14ac:dyDescent="0.25">
      <c r="B2328" t="s">
        <v>13</v>
      </c>
      <c r="C2328" t="s">
        <v>46</v>
      </c>
      <c r="D2328" t="s">
        <v>100</v>
      </c>
      <c r="E2328">
        <v>2030</v>
      </c>
      <c r="F2328" t="s">
        <v>93</v>
      </c>
      <c r="G2328" t="s">
        <v>17</v>
      </c>
      <c r="H2328" t="s">
        <v>18</v>
      </c>
      <c r="I2328" s="8">
        <v>1309973.3455999999</v>
      </c>
      <c r="J2328" s="8">
        <v>1265674.7300104001</v>
      </c>
      <c r="K2328" s="8">
        <f>I2328/1000000</f>
        <v>1.3099733455999998</v>
      </c>
      <c r="L2328" s="8">
        <f>J2328/1000000</f>
        <v>1.2656747300104001</v>
      </c>
      <c r="M2328" t="s">
        <v>19</v>
      </c>
    </row>
    <row r="2329" spans="2:13" x14ac:dyDescent="0.25">
      <c r="B2329" t="s">
        <v>13</v>
      </c>
      <c r="C2329" t="s">
        <v>46</v>
      </c>
      <c r="D2329" t="s">
        <v>100</v>
      </c>
      <c r="E2329">
        <v>2026</v>
      </c>
      <c r="F2329" t="s">
        <v>93</v>
      </c>
      <c r="G2329" t="s">
        <v>17</v>
      </c>
      <c r="H2329" t="s">
        <v>18</v>
      </c>
      <c r="I2329" s="8">
        <v>1691565.5625</v>
      </c>
      <c r="J2329" s="8">
        <v>1367375</v>
      </c>
      <c r="K2329" s="8">
        <f>I2329/1000000</f>
        <v>1.6915655624999999</v>
      </c>
      <c r="L2329" s="8">
        <f>J2329/1000000</f>
        <v>1.367375</v>
      </c>
      <c r="M2329" t="s">
        <v>19</v>
      </c>
    </row>
    <row r="2330" spans="2:13" x14ac:dyDescent="0.25">
      <c r="B2330" t="s">
        <v>13</v>
      </c>
      <c r="C2330" t="s">
        <v>46</v>
      </c>
      <c r="D2330" t="s">
        <v>100</v>
      </c>
      <c r="E2330">
        <v>2027</v>
      </c>
      <c r="F2330" t="s">
        <v>93</v>
      </c>
      <c r="G2330" t="s">
        <v>17</v>
      </c>
      <c r="H2330" t="s">
        <v>18</v>
      </c>
      <c r="I2330" s="8">
        <v>1409815.9579</v>
      </c>
      <c r="J2330" s="8">
        <v>1348460.9831691401</v>
      </c>
      <c r="K2330" s="8">
        <f>I2330/1000000</f>
        <v>1.4098159579</v>
      </c>
      <c r="L2330" s="8">
        <f>J2330/1000000</f>
        <v>1.3484609831691401</v>
      </c>
      <c r="M2330" t="s">
        <v>19</v>
      </c>
    </row>
    <row r="2331" spans="2:13" x14ac:dyDescent="0.25">
      <c r="B2331" t="s">
        <v>13</v>
      </c>
      <c r="C2331" t="s">
        <v>46</v>
      </c>
      <c r="D2331" t="s">
        <v>100</v>
      </c>
      <c r="E2331">
        <v>2028</v>
      </c>
      <c r="F2331" t="s">
        <v>93</v>
      </c>
      <c r="G2331" t="s">
        <v>17</v>
      </c>
      <c r="H2331" t="s">
        <v>18</v>
      </c>
      <c r="I2331" s="8">
        <v>1376785.777</v>
      </c>
      <c r="J2331" s="8">
        <v>1330227.8038995101</v>
      </c>
      <c r="K2331" s="8">
        <f>I2331/1000000</f>
        <v>1.376785777</v>
      </c>
      <c r="L2331" s="8">
        <f>J2331/1000000</f>
        <v>1.3302278038995101</v>
      </c>
      <c r="M2331" t="s">
        <v>19</v>
      </c>
    </row>
    <row r="2332" spans="2:13" x14ac:dyDescent="0.25">
      <c r="B2332" t="s">
        <v>13</v>
      </c>
      <c r="C2332" t="s">
        <v>46</v>
      </c>
      <c r="D2332" t="s">
        <v>100</v>
      </c>
      <c r="E2332">
        <v>2029</v>
      </c>
      <c r="F2332" t="s">
        <v>93</v>
      </c>
      <c r="G2332" t="s">
        <v>17</v>
      </c>
      <c r="H2332" t="s">
        <v>18</v>
      </c>
      <c r="I2332" s="8">
        <v>1348067.3361</v>
      </c>
      <c r="J2332" s="8">
        <v>1302480.51801795</v>
      </c>
      <c r="K2332" s="8">
        <f>I2332/1000000</f>
        <v>1.3480673361</v>
      </c>
      <c r="L2332" s="8">
        <f>J2332/1000000</f>
        <v>1.30248051801795</v>
      </c>
      <c r="M2332" t="s">
        <v>19</v>
      </c>
    </row>
    <row r="2333" spans="2:13" x14ac:dyDescent="0.25">
      <c r="B2333" t="s">
        <v>13</v>
      </c>
      <c r="C2333" t="s">
        <v>46</v>
      </c>
      <c r="D2333" t="s">
        <v>72</v>
      </c>
      <c r="E2333">
        <v>2026</v>
      </c>
      <c r="F2333" t="s">
        <v>93</v>
      </c>
      <c r="G2333" t="s">
        <v>17</v>
      </c>
      <c r="H2333" t="s">
        <v>18</v>
      </c>
      <c r="I2333" s="8">
        <v>3661118.4994000001</v>
      </c>
      <c r="J2333" s="8">
        <v>1284000</v>
      </c>
      <c r="K2333" s="8">
        <f>I2333/1000000</f>
        <v>3.6611184994000001</v>
      </c>
      <c r="L2333" s="8">
        <f>J2333/1000000</f>
        <v>1.284</v>
      </c>
      <c r="M2333" t="s">
        <v>19</v>
      </c>
    </row>
    <row r="2334" spans="2:13" x14ac:dyDescent="0.25">
      <c r="B2334" t="s">
        <v>13</v>
      </c>
      <c r="C2334" t="s">
        <v>46</v>
      </c>
      <c r="D2334" t="s">
        <v>72</v>
      </c>
      <c r="E2334">
        <v>2029</v>
      </c>
      <c r="F2334" t="s">
        <v>93</v>
      </c>
      <c r="G2334" t="s">
        <v>17</v>
      </c>
      <c r="H2334" t="s">
        <v>18</v>
      </c>
      <c r="I2334" s="8">
        <v>2554181.1139000002</v>
      </c>
      <c r="J2334" s="8">
        <v>1223199.09518207</v>
      </c>
      <c r="K2334" s="8">
        <f>I2334/1000000</f>
        <v>2.5541811139000004</v>
      </c>
      <c r="L2334" s="8">
        <f>J2334/1000000</f>
        <v>1.2231990951820702</v>
      </c>
      <c r="M2334" t="s">
        <v>19</v>
      </c>
    </row>
    <row r="2335" spans="2:13" x14ac:dyDescent="0.25">
      <c r="B2335" t="s">
        <v>13</v>
      </c>
      <c r="C2335" t="s">
        <v>46</v>
      </c>
      <c r="D2335" t="s">
        <v>72</v>
      </c>
      <c r="E2335">
        <v>2030</v>
      </c>
      <c r="F2335" t="s">
        <v>93</v>
      </c>
      <c r="G2335" t="s">
        <v>17</v>
      </c>
      <c r="H2335" t="s">
        <v>18</v>
      </c>
      <c r="I2335" s="8">
        <v>2482004.4882999999</v>
      </c>
      <c r="J2335" s="8">
        <v>1188633.65948803</v>
      </c>
      <c r="K2335" s="8">
        <f>I2335/1000000</f>
        <v>2.4820044882999999</v>
      </c>
      <c r="L2335" s="8">
        <f>J2335/1000000</f>
        <v>1.18863365948803</v>
      </c>
      <c r="M2335" t="s">
        <v>19</v>
      </c>
    </row>
    <row r="2336" spans="2:13" x14ac:dyDescent="0.25">
      <c r="B2336" t="s">
        <v>13</v>
      </c>
      <c r="C2336" t="s">
        <v>46</v>
      </c>
      <c r="D2336" t="s">
        <v>72</v>
      </c>
      <c r="E2336">
        <v>2027</v>
      </c>
      <c r="F2336" t="s">
        <v>93</v>
      </c>
      <c r="G2336" t="s">
        <v>17</v>
      </c>
      <c r="H2336" t="s">
        <v>18</v>
      </c>
      <c r="I2336" s="8">
        <v>3104327.5737000001</v>
      </c>
      <c r="J2336" s="8">
        <v>1266380.74941102</v>
      </c>
      <c r="K2336" s="8">
        <f>I2336/1000000</f>
        <v>3.1043275737</v>
      </c>
      <c r="L2336" s="8">
        <f>J2336/1000000</f>
        <v>1.26638074941102</v>
      </c>
      <c r="M2336" t="s">
        <v>19</v>
      </c>
    </row>
    <row r="2337" spans="2:13" x14ac:dyDescent="0.25">
      <c r="B2337" t="s">
        <v>13</v>
      </c>
      <c r="C2337" t="s">
        <v>46</v>
      </c>
      <c r="D2337" t="s">
        <v>72</v>
      </c>
      <c r="E2337">
        <v>2028</v>
      </c>
      <c r="F2337" t="s">
        <v>93</v>
      </c>
      <c r="G2337" t="s">
        <v>17</v>
      </c>
      <c r="H2337" t="s">
        <v>18</v>
      </c>
      <c r="I2337" s="8">
        <v>3045833.9953000001</v>
      </c>
      <c r="J2337" s="8">
        <v>1249257.41583606</v>
      </c>
      <c r="K2337" s="8">
        <f>I2337/1000000</f>
        <v>3.0458339953000002</v>
      </c>
      <c r="L2337" s="8">
        <f>J2337/1000000</f>
        <v>1.2492574158360599</v>
      </c>
      <c r="M2337" t="s">
        <v>19</v>
      </c>
    </row>
    <row r="2338" spans="2:13" x14ac:dyDescent="0.25">
      <c r="B2338" t="s">
        <v>13</v>
      </c>
      <c r="C2338" t="s">
        <v>46</v>
      </c>
      <c r="D2338" t="s">
        <v>102</v>
      </c>
      <c r="E2338">
        <v>2029</v>
      </c>
      <c r="F2338" t="s">
        <v>93</v>
      </c>
      <c r="G2338" t="s">
        <v>17</v>
      </c>
      <c r="H2338" t="s">
        <v>18</v>
      </c>
      <c r="I2338" s="8">
        <v>59269.732600000003</v>
      </c>
      <c r="J2338" s="8">
        <v>175227.68870733201</v>
      </c>
      <c r="K2338" s="8">
        <f>I2338/1000000</f>
        <v>5.92697326E-2</v>
      </c>
      <c r="L2338" s="8">
        <f>J2338/1000000</f>
        <v>0.17522768870733202</v>
      </c>
      <c r="M2338" t="s">
        <v>19</v>
      </c>
    </row>
    <row r="2339" spans="2:13" x14ac:dyDescent="0.25">
      <c r="B2339" t="s">
        <v>13</v>
      </c>
      <c r="C2339" t="s">
        <v>46</v>
      </c>
      <c r="D2339" t="s">
        <v>102</v>
      </c>
      <c r="E2339">
        <v>2030</v>
      </c>
      <c r="F2339" t="s">
        <v>93</v>
      </c>
      <c r="G2339" t="s">
        <v>17</v>
      </c>
      <c r="H2339" t="s">
        <v>18</v>
      </c>
      <c r="I2339" s="8">
        <v>49563.940300000002</v>
      </c>
      <c r="J2339" s="8">
        <v>146533.050033206</v>
      </c>
      <c r="K2339" s="8">
        <f>I2339/1000000</f>
        <v>4.9563940300000005E-2</v>
      </c>
      <c r="L2339" s="8">
        <f>J2339/1000000</f>
        <v>0.14653305003320599</v>
      </c>
      <c r="M2339" t="s">
        <v>19</v>
      </c>
    </row>
    <row r="2340" spans="2:13" x14ac:dyDescent="0.25">
      <c r="B2340" t="s">
        <v>13</v>
      </c>
      <c r="C2340" t="s">
        <v>46</v>
      </c>
      <c r="D2340" t="s">
        <v>15</v>
      </c>
      <c r="E2340">
        <v>2028</v>
      </c>
      <c r="F2340" t="s">
        <v>93</v>
      </c>
      <c r="G2340" t="s">
        <v>17</v>
      </c>
      <c r="H2340" t="s">
        <v>18</v>
      </c>
      <c r="I2340" s="8">
        <v>538471.79390000005</v>
      </c>
      <c r="J2340" s="8">
        <v>179192.43637894699</v>
      </c>
      <c r="K2340" s="8">
        <f>I2340/1000000</f>
        <v>0.5384717939</v>
      </c>
      <c r="L2340" s="8">
        <f>J2340/1000000</f>
        <v>0.179192436378947</v>
      </c>
      <c r="M2340" t="s">
        <v>19</v>
      </c>
    </row>
    <row r="2341" spans="2:13" x14ac:dyDescent="0.25">
      <c r="B2341" t="s">
        <v>13</v>
      </c>
      <c r="C2341" t="s">
        <v>46</v>
      </c>
      <c r="D2341" t="s">
        <v>102</v>
      </c>
      <c r="E2341">
        <v>2028</v>
      </c>
      <c r="F2341" t="s">
        <v>93</v>
      </c>
      <c r="G2341" t="s">
        <v>17</v>
      </c>
      <c r="H2341" t="s">
        <v>18</v>
      </c>
      <c r="I2341" s="8">
        <v>4909.6679999999997</v>
      </c>
      <c r="J2341" s="8">
        <v>14515.1622097907</v>
      </c>
      <c r="K2341" s="8">
        <f>I2341/1000000</f>
        <v>4.9096679999999998E-3</v>
      </c>
      <c r="L2341" s="8">
        <f>J2341/1000000</f>
        <v>1.45151622097907E-2</v>
      </c>
      <c r="M2341" t="s">
        <v>19</v>
      </c>
    </row>
    <row r="2342" spans="2:13" x14ac:dyDescent="0.25">
      <c r="B2342" t="s">
        <v>13</v>
      </c>
      <c r="C2342" t="s">
        <v>14</v>
      </c>
      <c r="D2342" t="s">
        <v>52</v>
      </c>
      <c r="E2342">
        <v>2029</v>
      </c>
      <c r="F2342" t="s">
        <v>93</v>
      </c>
      <c r="G2342" t="s">
        <v>17</v>
      </c>
      <c r="H2342" t="s">
        <v>18</v>
      </c>
      <c r="I2342" s="8">
        <v>2481801.3665</v>
      </c>
      <c r="J2342" s="8">
        <v>2152467.7762500001</v>
      </c>
      <c r="K2342" s="8">
        <f>I2342/1000000</f>
        <v>2.4818013665000001</v>
      </c>
      <c r="L2342" s="8">
        <f>J2342/1000000</f>
        <v>2.15246777625</v>
      </c>
      <c r="M2342" t="s">
        <v>19</v>
      </c>
    </row>
    <row r="2343" spans="2:13" x14ac:dyDescent="0.25">
      <c r="B2343" t="s">
        <v>13</v>
      </c>
      <c r="C2343" t="s">
        <v>46</v>
      </c>
      <c r="D2343" t="s">
        <v>101</v>
      </c>
      <c r="E2343">
        <v>2026</v>
      </c>
      <c r="F2343" t="s">
        <v>93</v>
      </c>
      <c r="G2343" t="s">
        <v>17</v>
      </c>
      <c r="H2343" t="s">
        <v>18</v>
      </c>
      <c r="I2343" s="8">
        <v>449493.59029999998</v>
      </c>
      <c r="J2343" s="8">
        <v>407000</v>
      </c>
      <c r="K2343" s="8">
        <f>I2343/1000000</f>
        <v>0.44949359029999997</v>
      </c>
      <c r="L2343" s="8">
        <f>J2343/1000000</f>
        <v>0.40699999999999997</v>
      </c>
      <c r="M2343" t="s">
        <v>39</v>
      </c>
    </row>
    <row r="2344" spans="2:13" x14ac:dyDescent="0.25">
      <c r="B2344" t="s">
        <v>13</v>
      </c>
      <c r="C2344" t="s">
        <v>46</v>
      </c>
      <c r="D2344" t="s">
        <v>101</v>
      </c>
      <c r="E2344">
        <v>2027</v>
      </c>
      <c r="F2344" t="s">
        <v>93</v>
      </c>
      <c r="G2344" t="s">
        <v>17</v>
      </c>
      <c r="H2344" t="s">
        <v>18</v>
      </c>
      <c r="I2344" s="8">
        <v>444280.4693</v>
      </c>
      <c r="J2344" s="8">
        <v>402279.75586399599</v>
      </c>
      <c r="K2344" s="8">
        <f>I2344/1000000</f>
        <v>0.44428046929999998</v>
      </c>
      <c r="L2344" s="8">
        <f>J2344/1000000</f>
        <v>0.402279755863996</v>
      </c>
      <c r="M2344" t="s">
        <v>39</v>
      </c>
    </row>
    <row r="2345" spans="2:13" x14ac:dyDescent="0.25">
      <c r="B2345" t="s">
        <v>13</v>
      </c>
      <c r="C2345" t="s">
        <v>46</v>
      </c>
      <c r="D2345" t="s">
        <v>101</v>
      </c>
      <c r="E2345">
        <v>2028</v>
      </c>
      <c r="F2345" t="s">
        <v>93</v>
      </c>
      <c r="G2345" t="s">
        <v>17</v>
      </c>
      <c r="H2345" t="s">
        <v>18</v>
      </c>
      <c r="I2345" s="8">
        <v>434346.54060000001</v>
      </c>
      <c r="J2345" s="8">
        <v>396126.50217258401</v>
      </c>
      <c r="K2345" s="8">
        <f>I2345/1000000</f>
        <v>0.4343465406</v>
      </c>
      <c r="L2345" s="8">
        <f>J2345/1000000</f>
        <v>0.39612650217258399</v>
      </c>
      <c r="M2345" t="s">
        <v>39</v>
      </c>
    </row>
    <row r="2346" spans="2:13" x14ac:dyDescent="0.25">
      <c r="B2346" t="s">
        <v>13</v>
      </c>
      <c r="C2346" t="s">
        <v>46</v>
      </c>
      <c r="D2346" t="s">
        <v>101</v>
      </c>
      <c r="E2346">
        <v>2029</v>
      </c>
      <c r="F2346" t="s">
        <v>93</v>
      </c>
      <c r="G2346" t="s">
        <v>17</v>
      </c>
      <c r="H2346" t="s">
        <v>18</v>
      </c>
      <c r="I2346" s="8">
        <v>425000.9792</v>
      </c>
      <c r="J2346" s="8">
        <v>387603.29733581602</v>
      </c>
      <c r="K2346" s="8">
        <f>I2346/1000000</f>
        <v>0.42500097920000002</v>
      </c>
      <c r="L2346" s="8">
        <f>J2346/1000000</f>
        <v>0.387603297335816</v>
      </c>
      <c r="M2346" t="s">
        <v>39</v>
      </c>
    </row>
    <row r="2347" spans="2:13" x14ac:dyDescent="0.25">
      <c r="B2347" t="s">
        <v>13</v>
      </c>
      <c r="C2347" t="s">
        <v>46</v>
      </c>
      <c r="D2347" t="s">
        <v>101</v>
      </c>
      <c r="E2347">
        <v>2030</v>
      </c>
      <c r="F2347" t="s">
        <v>93</v>
      </c>
      <c r="G2347" t="s">
        <v>17</v>
      </c>
      <c r="H2347" t="s">
        <v>18</v>
      </c>
      <c r="I2347" s="8">
        <v>412653.26189999998</v>
      </c>
      <c r="J2347" s="8">
        <v>376342.109292434</v>
      </c>
      <c r="K2347" s="8">
        <f>I2347/1000000</f>
        <v>0.41265326189999996</v>
      </c>
      <c r="L2347" s="8">
        <f>J2347/1000000</f>
        <v>0.376342109292434</v>
      </c>
      <c r="M2347" t="s">
        <v>39</v>
      </c>
    </row>
  </sheetData>
  <autoFilter ref="B6:M2347" xr:uid="{81C9E528-D3FC-4313-8F44-0135C1F67328}">
    <sortState xmlns:xlrd2="http://schemas.microsoft.com/office/spreadsheetml/2017/richdata2" ref="B7:M2347">
      <sortCondition ref="F6:F2347"/>
    </sortState>
  </autoFilter>
  <pageMargins left="0.7" right="0.7" top="0.75" bottom="0.75" header="0.3" footer="0.3"/>
  <headerFooter>
    <oddHeader>&amp;L&amp;"Aptos"&amp;10&amp;K000000 Classified as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D67C-4DAD-4D11-B979-0441B027F109}">
  <dimension ref="B3:M2572"/>
  <sheetViews>
    <sheetView tabSelected="1" workbookViewId="0">
      <selection activeCell="N13" sqref="N13"/>
    </sheetView>
  </sheetViews>
  <sheetFormatPr defaultRowHeight="15" x14ac:dyDescent="0.25"/>
  <cols>
    <col min="1" max="1" width="3.85546875" customWidth="1"/>
    <col min="2" max="2" width="7.42578125" bestFit="1" customWidth="1"/>
    <col min="3" max="3" width="16" bestFit="1" customWidth="1"/>
    <col min="4" max="4" width="23.140625" bestFit="1" customWidth="1"/>
    <col min="5" max="5" width="11.140625" bestFit="1" customWidth="1"/>
    <col min="6" max="6" width="7.28515625" bestFit="1" customWidth="1"/>
    <col min="7" max="7" width="13" bestFit="1" customWidth="1"/>
    <col min="8" max="11" width="11.28515625" bestFit="1" customWidth="1"/>
    <col min="12" max="12" width="11.85546875" bestFit="1" customWidth="1"/>
    <col min="13" max="13" width="13.140625" bestFit="1" customWidth="1"/>
  </cols>
  <sheetData>
    <row r="3" spans="2:13" ht="45" x14ac:dyDescent="0.25">
      <c r="B3" s="17" t="s">
        <v>127</v>
      </c>
      <c r="C3" s="17" t="s">
        <v>128</v>
      </c>
      <c r="D3" s="17" t="s">
        <v>129</v>
      </c>
      <c r="E3" s="17" t="s">
        <v>130</v>
      </c>
      <c r="F3" s="17" t="s">
        <v>4</v>
      </c>
      <c r="G3" s="17" t="s">
        <v>216</v>
      </c>
      <c r="H3" s="17" t="s">
        <v>217</v>
      </c>
      <c r="I3" s="17" t="s">
        <v>218</v>
      </c>
      <c r="J3" s="17" t="s">
        <v>219</v>
      </c>
      <c r="K3" s="17" t="s">
        <v>220</v>
      </c>
      <c r="L3" s="17" t="s">
        <v>221</v>
      </c>
      <c r="M3" s="17" t="s">
        <v>222</v>
      </c>
    </row>
    <row r="4" spans="2:13" x14ac:dyDescent="0.25">
      <c r="B4" s="14" t="s">
        <v>131</v>
      </c>
      <c r="C4" s="14" t="s">
        <v>132</v>
      </c>
      <c r="D4" t="s">
        <v>46</v>
      </c>
      <c r="E4" s="16" t="s">
        <v>133</v>
      </c>
      <c r="F4">
        <v>2026</v>
      </c>
      <c r="G4" s="12">
        <v>1792397</v>
      </c>
      <c r="H4" s="13">
        <v>0.87</v>
      </c>
      <c r="I4" s="13">
        <v>0.76</v>
      </c>
      <c r="J4" s="13">
        <v>0.76</v>
      </c>
      <c r="K4" s="13">
        <v>0</v>
      </c>
      <c r="L4" s="13">
        <v>0.12</v>
      </c>
      <c r="M4" s="13">
        <v>0.25</v>
      </c>
    </row>
    <row r="5" spans="2:13" x14ac:dyDescent="0.25">
      <c r="B5" s="14" t="s">
        <v>131</v>
      </c>
      <c r="C5" s="14" t="s">
        <v>132</v>
      </c>
      <c r="D5" t="s">
        <v>46</v>
      </c>
      <c r="E5" s="16" t="s">
        <v>133</v>
      </c>
      <c r="F5">
        <v>2027</v>
      </c>
      <c r="G5" s="12">
        <v>1835414</v>
      </c>
      <c r="H5" s="13">
        <v>0.95</v>
      </c>
      <c r="I5" s="13">
        <v>0.93</v>
      </c>
      <c r="J5" s="13">
        <v>0.9</v>
      </c>
      <c r="K5" s="13">
        <v>0</v>
      </c>
      <c r="L5" s="13">
        <v>0.12</v>
      </c>
      <c r="M5" s="13">
        <v>0.25</v>
      </c>
    </row>
    <row r="6" spans="2:13" x14ac:dyDescent="0.25">
      <c r="B6" s="14" t="s">
        <v>131</v>
      </c>
      <c r="C6" s="14" t="s">
        <v>132</v>
      </c>
      <c r="D6" t="s">
        <v>46</v>
      </c>
      <c r="E6" s="16" t="s">
        <v>133</v>
      </c>
      <c r="F6">
        <v>2028</v>
      </c>
      <c r="G6" s="12">
        <v>1855064</v>
      </c>
      <c r="H6" s="13">
        <v>0.39583333329999998</v>
      </c>
      <c r="I6" s="13">
        <v>0.38750000000000001</v>
      </c>
      <c r="J6" s="13">
        <v>0.375</v>
      </c>
      <c r="K6" s="13">
        <v>0</v>
      </c>
      <c r="L6" s="13">
        <v>0.12</v>
      </c>
      <c r="M6" s="13">
        <v>0.25</v>
      </c>
    </row>
    <row r="7" spans="2:13" x14ac:dyDescent="0.25">
      <c r="B7" s="14" t="s">
        <v>131</v>
      </c>
      <c r="C7" s="14" t="s">
        <v>132</v>
      </c>
      <c r="D7" t="s">
        <v>46</v>
      </c>
      <c r="E7" s="16" t="s">
        <v>133</v>
      </c>
      <c r="F7">
        <v>2029</v>
      </c>
      <c r="G7" s="12">
        <v>1844721.18516764</v>
      </c>
      <c r="H7" s="13">
        <v>0</v>
      </c>
      <c r="I7" s="13">
        <v>0</v>
      </c>
      <c r="J7" s="13">
        <v>0</v>
      </c>
      <c r="K7" s="13">
        <v>0</v>
      </c>
      <c r="L7" s="13">
        <v>0.12</v>
      </c>
      <c r="M7" s="13">
        <v>0.25</v>
      </c>
    </row>
    <row r="8" spans="2:13" x14ac:dyDescent="0.25">
      <c r="B8" s="14" t="s">
        <v>131</v>
      </c>
      <c r="C8" s="14" t="s">
        <v>70</v>
      </c>
      <c r="D8" t="s">
        <v>46</v>
      </c>
      <c r="E8" s="16" t="s">
        <v>133</v>
      </c>
      <c r="F8">
        <v>2026</v>
      </c>
      <c r="G8" s="12">
        <v>1792397</v>
      </c>
      <c r="H8" s="13">
        <v>0.9</v>
      </c>
      <c r="I8" s="13">
        <v>0.85</v>
      </c>
      <c r="J8" s="13">
        <v>0</v>
      </c>
      <c r="K8" s="13">
        <v>0</v>
      </c>
      <c r="L8" s="13">
        <v>0.15</v>
      </c>
      <c r="M8" s="13">
        <v>0.25</v>
      </c>
    </row>
    <row r="9" spans="2:13" x14ac:dyDescent="0.25">
      <c r="B9" s="14" t="s">
        <v>131</v>
      </c>
      <c r="C9" s="14" t="s">
        <v>70</v>
      </c>
      <c r="D9" t="s">
        <v>46</v>
      </c>
      <c r="E9" s="16" t="s">
        <v>133</v>
      </c>
      <c r="F9">
        <v>2027</v>
      </c>
      <c r="G9" s="12">
        <v>1835414</v>
      </c>
      <c r="H9" s="13">
        <v>0.9</v>
      </c>
      <c r="I9" s="13">
        <v>0.85</v>
      </c>
      <c r="J9" s="13">
        <v>0</v>
      </c>
      <c r="K9" s="13">
        <v>0</v>
      </c>
      <c r="L9" s="13">
        <v>0.15</v>
      </c>
      <c r="M9" s="13">
        <v>0.25</v>
      </c>
    </row>
    <row r="10" spans="2:13" x14ac:dyDescent="0.25">
      <c r="B10" s="14" t="s">
        <v>131</v>
      </c>
      <c r="C10" s="14" t="s">
        <v>70</v>
      </c>
      <c r="D10" t="s">
        <v>46</v>
      </c>
      <c r="E10" s="16" t="s">
        <v>133</v>
      </c>
      <c r="F10">
        <v>2028</v>
      </c>
      <c r="G10" s="12">
        <v>1855064</v>
      </c>
      <c r="H10" s="13">
        <v>0.375</v>
      </c>
      <c r="I10" s="13">
        <v>0.35416666670000002</v>
      </c>
      <c r="J10" s="13">
        <v>0</v>
      </c>
      <c r="K10" s="13">
        <v>0</v>
      </c>
      <c r="L10" s="13">
        <v>0.15</v>
      </c>
      <c r="M10" s="13">
        <v>0.25</v>
      </c>
    </row>
    <row r="11" spans="2:13" x14ac:dyDescent="0.25">
      <c r="B11" s="14" t="s">
        <v>131</v>
      </c>
      <c r="C11" s="14" t="s">
        <v>70</v>
      </c>
      <c r="D11" t="s">
        <v>46</v>
      </c>
      <c r="E11" s="16" t="s">
        <v>133</v>
      </c>
      <c r="F11">
        <v>2029</v>
      </c>
      <c r="G11" s="12">
        <v>1844721.18516764</v>
      </c>
      <c r="H11" s="13">
        <v>0</v>
      </c>
      <c r="I11" s="13">
        <v>0</v>
      </c>
      <c r="J11" s="13">
        <v>0</v>
      </c>
      <c r="K11" s="13">
        <v>0</v>
      </c>
      <c r="L11" s="13">
        <v>0.15</v>
      </c>
      <c r="M11" s="13">
        <v>0.25</v>
      </c>
    </row>
    <row r="12" spans="2:13" x14ac:dyDescent="0.25">
      <c r="B12" s="14" t="s">
        <v>131</v>
      </c>
      <c r="C12" s="14" t="s">
        <v>134</v>
      </c>
      <c r="D12" t="s">
        <v>46</v>
      </c>
      <c r="E12" s="16" t="s">
        <v>133</v>
      </c>
      <c r="F12">
        <v>2027</v>
      </c>
      <c r="G12" s="12">
        <v>1816477.56655663</v>
      </c>
      <c r="H12" s="13">
        <v>0</v>
      </c>
      <c r="I12" s="13">
        <v>0</v>
      </c>
      <c r="J12" s="13">
        <v>0</v>
      </c>
      <c r="K12" s="13">
        <v>0</v>
      </c>
      <c r="L12" s="13">
        <v>7.0000000000000007E-2</v>
      </c>
      <c r="M12" s="13">
        <v>0.25</v>
      </c>
    </row>
    <row r="13" spans="2:13" x14ac:dyDescent="0.25">
      <c r="B13" s="14" t="s">
        <v>131</v>
      </c>
      <c r="C13" s="14" t="s">
        <v>134</v>
      </c>
      <c r="D13" t="s">
        <v>46</v>
      </c>
      <c r="E13" s="16" t="s">
        <v>133</v>
      </c>
      <c r="F13">
        <v>2028</v>
      </c>
      <c r="G13" s="12">
        <v>1855064</v>
      </c>
      <c r="H13" s="13">
        <v>0.51519999999999999</v>
      </c>
      <c r="I13" s="13">
        <v>0.4888916667</v>
      </c>
      <c r="J13" s="13">
        <v>0.45103333330000001</v>
      </c>
      <c r="K13" s="13">
        <v>0</v>
      </c>
      <c r="L13" s="13">
        <v>7.0000000000000007E-2</v>
      </c>
      <c r="M13" s="13">
        <v>0.25</v>
      </c>
    </row>
    <row r="14" spans="2:13" x14ac:dyDescent="0.25">
      <c r="B14" s="14" t="s">
        <v>131</v>
      </c>
      <c r="C14" s="14" t="s">
        <v>134</v>
      </c>
      <c r="D14" t="s">
        <v>46</v>
      </c>
      <c r="E14" s="16" t="s">
        <v>133</v>
      </c>
      <c r="F14">
        <v>2029</v>
      </c>
      <c r="G14" s="12">
        <v>1844721.18516764</v>
      </c>
      <c r="H14" s="13">
        <v>0.88980000000000004</v>
      </c>
      <c r="I14" s="13">
        <v>0.84470000000000001</v>
      </c>
      <c r="J14" s="13">
        <v>0.77980000000000005</v>
      </c>
      <c r="K14" s="13">
        <v>0</v>
      </c>
      <c r="L14" s="13">
        <v>7.0000000000000007E-2</v>
      </c>
      <c r="M14" s="13">
        <v>0.25</v>
      </c>
    </row>
    <row r="15" spans="2:13" x14ac:dyDescent="0.25">
      <c r="B15" s="14" t="s">
        <v>131</v>
      </c>
      <c r="C15" s="14" t="s">
        <v>134</v>
      </c>
      <c r="D15" t="s">
        <v>46</v>
      </c>
      <c r="E15" s="16" t="s">
        <v>133</v>
      </c>
      <c r="F15">
        <v>2030</v>
      </c>
      <c r="G15" s="12">
        <v>1864902.1685370801</v>
      </c>
      <c r="H15" s="13">
        <v>0.89639999999999997</v>
      </c>
      <c r="I15" s="13">
        <v>0.85129999999999995</v>
      </c>
      <c r="J15" s="13">
        <v>0.78639999999999999</v>
      </c>
      <c r="K15" s="13">
        <v>0</v>
      </c>
      <c r="L15" s="13">
        <v>7.0000000000000007E-2</v>
      </c>
      <c r="M15" s="13">
        <v>0.25</v>
      </c>
    </row>
    <row r="16" spans="2:13" x14ac:dyDescent="0.25">
      <c r="B16" s="14" t="s">
        <v>131</v>
      </c>
      <c r="C16" s="14" t="s">
        <v>72</v>
      </c>
      <c r="D16" t="s">
        <v>46</v>
      </c>
      <c r="E16" s="16" t="s">
        <v>133</v>
      </c>
      <c r="F16">
        <v>2026</v>
      </c>
      <c r="G16" s="12">
        <v>1792397</v>
      </c>
      <c r="H16" s="13">
        <v>0.9</v>
      </c>
      <c r="I16" s="13">
        <v>0.88</v>
      </c>
      <c r="J16" s="13">
        <v>0.85</v>
      </c>
      <c r="K16" s="13"/>
      <c r="L16" s="13">
        <v>0.1</v>
      </c>
      <c r="M16" s="13">
        <v>0.25</v>
      </c>
    </row>
    <row r="17" spans="2:13" x14ac:dyDescent="0.25">
      <c r="B17" s="14" t="s">
        <v>131</v>
      </c>
      <c r="C17" s="14" t="s">
        <v>72</v>
      </c>
      <c r="D17" t="s">
        <v>46</v>
      </c>
      <c r="E17" s="16" t="s">
        <v>133</v>
      </c>
      <c r="F17">
        <v>2027</v>
      </c>
      <c r="G17" s="12">
        <v>1835414</v>
      </c>
      <c r="H17" s="13">
        <v>0.9</v>
      </c>
      <c r="I17" s="13">
        <v>0.88</v>
      </c>
      <c r="J17" s="13">
        <v>0.85</v>
      </c>
      <c r="K17" s="13"/>
      <c r="L17" s="13">
        <v>0.1</v>
      </c>
      <c r="M17" s="13">
        <v>0.25</v>
      </c>
    </row>
    <row r="18" spans="2:13" x14ac:dyDescent="0.25">
      <c r="B18" s="14" t="s">
        <v>131</v>
      </c>
      <c r="C18" s="14" t="s">
        <v>72</v>
      </c>
      <c r="D18" t="s">
        <v>46</v>
      </c>
      <c r="E18" s="16" t="s">
        <v>133</v>
      </c>
      <c r="F18">
        <v>2028</v>
      </c>
      <c r="G18" s="12">
        <v>1855064</v>
      </c>
      <c r="H18" s="13">
        <v>0.9</v>
      </c>
      <c r="I18" s="13">
        <v>0.88</v>
      </c>
      <c r="J18" s="13">
        <v>0.85</v>
      </c>
      <c r="K18" s="13"/>
      <c r="L18" s="13">
        <v>0.1</v>
      </c>
      <c r="M18" s="13">
        <v>0.25</v>
      </c>
    </row>
    <row r="19" spans="2:13" x14ac:dyDescent="0.25">
      <c r="B19" s="14" t="s">
        <v>131</v>
      </c>
      <c r="C19" s="14" t="s">
        <v>72</v>
      </c>
      <c r="D19" t="s">
        <v>46</v>
      </c>
      <c r="E19" s="16" t="s">
        <v>133</v>
      </c>
      <c r="F19">
        <v>2029</v>
      </c>
      <c r="G19" s="12">
        <v>1844721.18516764</v>
      </c>
      <c r="H19" s="13">
        <v>0.91979999999999995</v>
      </c>
      <c r="I19" s="13">
        <v>0.89929999999999999</v>
      </c>
      <c r="J19" s="13">
        <v>0.86980000000000002</v>
      </c>
      <c r="K19" s="13"/>
      <c r="L19" s="13">
        <v>0.1</v>
      </c>
      <c r="M19" s="13">
        <v>0.25</v>
      </c>
    </row>
    <row r="20" spans="2:13" x14ac:dyDescent="0.25">
      <c r="B20" s="14" t="s">
        <v>131</v>
      </c>
      <c r="C20" s="14" t="s">
        <v>72</v>
      </c>
      <c r="D20" t="s">
        <v>46</v>
      </c>
      <c r="E20" s="16" t="s">
        <v>133</v>
      </c>
      <c r="F20">
        <v>2030</v>
      </c>
      <c r="G20" s="12">
        <v>1864902.1685370801</v>
      </c>
      <c r="H20" s="13">
        <v>0.9264</v>
      </c>
      <c r="I20" s="13">
        <v>0.90590000000000004</v>
      </c>
      <c r="J20" s="13">
        <v>0.87639999999999996</v>
      </c>
      <c r="K20" s="13"/>
      <c r="L20" s="13">
        <v>0.1</v>
      </c>
      <c r="M20" s="13">
        <v>0.25</v>
      </c>
    </row>
    <row r="21" spans="2:13" x14ac:dyDescent="0.25">
      <c r="B21" s="14" t="s">
        <v>131</v>
      </c>
      <c r="C21" s="14" t="s">
        <v>135</v>
      </c>
      <c r="D21" t="s">
        <v>46</v>
      </c>
      <c r="E21" s="16" t="s">
        <v>133</v>
      </c>
      <c r="F21">
        <v>2027</v>
      </c>
      <c r="G21" s="12">
        <v>1816477.56655663</v>
      </c>
      <c r="H21" s="13">
        <v>0</v>
      </c>
      <c r="I21" s="13">
        <v>0</v>
      </c>
      <c r="J21" s="13">
        <v>0</v>
      </c>
      <c r="K21" s="13">
        <v>0</v>
      </c>
      <c r="L21" s="13">
        <v>0.15</v>
      </c>
      <c r="M21" s="13">
        <v>0.25</v>
      </c>
    </row>
    <row r="22" spans="2:13" x14ac:dyDescent="0.25">
      <c r="B22" s="14" t="s">
        <v>131</v>
      </c>
      <c r="C22" s="14" t="s">
        <v>135</v>
      </c>
      <c r="D22" t="s">
        <v>46</v>
      </c>
      <c r="E22" s="16" t="s">
        <v>133</v>
      </c>
      <c r="F22">
        <v>2028</v>
      </c>
      <c r="G22" s="12">
        <v>1835924.25243507</v>
      </c>
      <c r="H22" s="13">
        <v>0.33660000000000001</v>
      </c>
      <c r="I22" s="13">
        <v>6.6E-3</v>
      </c>
      <c r="J22" s="13">
        <v>6.6E-3</v>
      </c>
      <c r="K22" s="13">
        <v>0</v>
      </c>
      <c r="L22" s="13">
        <v>0.15</v>
      </c>
      <c r="M22" s="13">
        <v>0.25</v>
      </c>
    </row>
    <row r="23" spans="2:13" x14ac:dyDescent="0.25">
      <c r="B23" s="14" t="s">
        <v>131</v>
      </c>
      <c r="C23" s="14" t="s">
        <v>135</v>
      </c>
      <c r="D23" t="s">
        <v>46</v>
      </c>
      <c r="E23" s="16" t="s">
        <v>133</v>
      </c>
      <c r="F23">
        <v>2029</v>
      </c>
      <c r="G23" s="12">
        <v>1844721.18516764</v>
      </c>
      <c r="H23" s="13">
        <v>0.67979999999999996</v>
      </c>
      <c r="I23" s="13">
        <v>1.9800000000000002E-2</v>
      </c>
      <c r="J23" s="13">
        <v>1.9800000000000002E-2</v>
      </c>
      <c r="K23" s="13">
        <v>0</v>
      </c>
      <c r="L23" s="13">
        <v>0.15</v>
      </c>
      <c r="M23" s="13">
        <v>0.25</v>
      </c>
    </row>
    <row r="24" spans="2:13" x14ac:dyDescent="0.25">
      <c r="B24" s="14" t="s">
        <v>131</v>
      </c>
      <c r="C24" s="14" t="s">
        <v>135</v>
      </c>
      <c r="D24" t="s">
        <v>46</v>
      </c>
      <c r="E24" s="16" t="s">
        <v>133</v>
      </c>
      <c r="F24">
        <v>2030</v>
      </c>
      <c r="G24" s="12">
        <v>1864902.1685370801</v>
      </c>
      <c r="H24" s="13">
        <v>0.68640000000000001</v>
      </c>
      <c r="I24" s="13">
        <v>2.64E-2</v>
      </c>
      <c r="J24" s="13">
        <v>2.64E-2</v>
      </c>
      <c r="K24" s="13">
        <v>0</v>
      </c>
      <c r="L24" s="13">
        <v>0.15</v>
      </c>
      <c r="M24" s="13">
        <v>0.25</v>
      </c>
    </row>
    <row r="25" spans="2:13" x14ac:dyDescent="0.25">
      <c r="B25" s="14" t="s">
        <v>131</v>
      </c>
      <c r="C25" s="14" t="s">
        <v>15</v>
      </c>
      <c r="D25" t="s">
        <v>136</v>
      </c>
      <c r="E25" s="16" t="s">
        <v>133</v>
      </c>
      <c r="F25">
        <v>2028</v>
      </c>
      <c r="G25" s="12">
        <v>0</v>
      </c>
      <c r="H25" s="13">
        <v>0</v>
      </c>
      <c r="I25" s="13"/>
      <c r="J25" s="13"/>
      <c r="K25" s="13"/>
      <c r="L25" s="13">
        <v>0.05</v>
      </c>
      <c r="M25" s="13">
        <v>0.25</v>
      </c>
    </row>
    <row r="26" spans="2:13" x14ac:dyDescent="0.25">
      <c r="B26" s="14" t="s">
        <v>131</v>
      </c>
      <c r="C26" s="14" t="s">
        <v>15</v>
      </c>
      <c r="D26" t="s">
        <v>136</v>
      </c>
      <c r="E26" s="16" t="s">
        <v>133</v>
      </c>
      <c r="F26">
        <v>2029</v>
      </c>
      <c r="G26" s="12">
        <v>2957418</v>
      </c>
      <c r="H26" s="13">
        <v>0.8</v>
      </c>
      <c r="I26" s="13"/>
      <c r="J26" s="13"/>
      <c r="K26" s="13"/>
      <c r="L26" s="13">
        <v>0.05</v>
      </c>
      <c r="M26" s="13">
        <v>0.25</v>
      </c>
    </row>
    <row r="27" spans="2:13" x14ac:dyDescent="0.25">
      <c r="B27" s="14" t="s">
        <v>131</v>
      </c>
      <c r="C27" s="14" t="s">
        <v>15</v>
      </c>
      <c r="D27" t="s">
        <v>136</v>
      </c>
      <c r="E27" s="16" t="s">
        <v>133</v>
      </c>
      <c r="F27">
        <v>2030</v>
      </c>
      <c r="G27" s="12">
        <v>0</v>
      </c>
      <c r="H27" s="13">
        <v>0</v>
      </c>
      <c r="I27" s="13"/>
      <c r="J27" s="13"/>
      <c r="K27" s="13"/>
      <c r="L27" s="13">
        <v>0.05</v>
      </c>
      <c r="M27" s="13">
        <v>0.25</v>
      </c>
    </row>
    <row r="28" spans="2:13" x14ac:dyDescent="0.25">
      <c r="B28" s="14" t="s">
        <v>131</v>
      </c>
      <c r="C28" s="14" t="s">
        <v>15</v>
      </c>
      <c r="D28" t="s">
        <v>46</v>
      </c>
      <c r="E28" s="16" t="s">
        <v>133</v>
      </c>
      <c r="F28">
        <v>2028</v>
      </c>
      <c r="G28" s="12">
        <v>616985.5</v>
      </c>
      <c r="H28" s="13">
        <v>0</v>
      </c>
      <c r="I28" s="13"/>
      <c r="J28" s="13"/>
      <c r="K28" s="13"/>
      <c r="L28" s="13">
        <v>0.05</v>
      </c>
      <c r="M28" s="13">
        <v>0.25</v>
      </c>
    </row>
    <row r="29" spans="2:13" x14ac:dyDescent="0.25">
      <c r="B29" s="14" t="s">
        <v>131</v>
      </c>
      <c r="C29" s="14" t="s">
        <v>15</v>
      </c>
      <c r="D29" t="s">
        <v>46</v>
      </c>
      <c r="E29" s="16" t="s">
        <v>133</v>
      </c>
      <c r="F29">
        <v>2029</v>
      </c>
      <c r="G29" s="12">
        <v>628800</v>
      </c>
      <c r="H29" s="13">
        <v>0.43745250720000001</v>
      </c>
      <c r="I29" s="13"/>
      <c r="J29" s="13"/>
      <c r="K29" s="13"/>
      <c r="L29" s="13">
        <v>0.05</v>
      </c>
      <c r="M29" s="13">
        <v>0.25</v>
      </c>
    </row>
    <row r="30" spans="2:13" x14ac:dyDescent="0.25">
      <c r="B30" s="14" t="s">
        <v>131</v>
      </c>
      <c r="C30" s="14" t="s">
        <v>15</v>
      </c>
      <c r="D30" t="s">
        <v>46</v>
      </c>
      <c r="E30" s="16" t="s">
        <v>133</v>
      </c>
      <c r="F30">
        <v>2030</v>
      </c>
      <c r="G30" s="12">
        <v>639452</v>
      </c>
      <c r="H30" s="13">
        <v>0.43745250720000001</v>
      </c>
      <c r="I30" s="13"/>
      <c r="J30" s="13"/>
      <c r="K30" s="13"/>
      <c r="L30" s="13">
        <v>0.05</v>
      </c>
      <c r="M30" s="13">
        <v>0.25</v>
      </c>
    </row>
    <row r="31" spans="2:13" x14ac:dyDescent="0.25">
      <c r="B31" s="14" t="s">
        <v>131</v>
      </c>
      <c r="C31" s="14" t="s">
        <v>52</v>
      </c>
      <c r="D31" t="s">
        <v>137</v>
      </c>
      <c r="E31" s="16" t="s">
        <v>133</v>
      </c>
      <c r="F31">
        <v>2028</v>
      </c>
      <c r="G31" s="12">
        <v>14325794.3181818</v>
      </c>
      <c r="H31" s="13">
        <v>0.85</v>
      </c>
      <c r="I31" s="13"/>
      <c r="J31" s="13"/>
      <c r="K31" s="13"/>
      <c r="L31" s="13"/>
      <c r="M31" s="13"/>
    </row>
    <row r="32" spans="2:13" x14ac:dyDescent="0.25">
      <c r="B32" s="14" t="s">
        <v>131</v>
      </c>
      <c r="C32" s="14" t="s">
        <v>52</v>
      </c>
      <c r="D32" t="s">
        <v>138</v>
      </c>
      <c r="E32" s="16" t="s">
        <v>133</v>
      </c>
      <c r="F32">
        <v>2028</v>
      </c>
      <c r="G32" s="12">
        <v>1505148</v>
      </c>
      <c r="H32" s="13">
        <v>0.57640000000000002</v>
      </c>
      <c r="I32" s="13">
        <v>0.48272399999999999</v>
      </c>
      <c r="J32" s="13"/>
      <c r="K32" s="13"/>
      <c r="L32" s="13"/>
      <c r="M32" s="13"/>
    </row>
    <row r="33" spans="2:13" x14ac:dyDescent="0.25">
      <c r="B33" s="14" t="s">
        <v>131</v>
      </c>
      <c r="C33" s="14" t="s">
        <v>52</v>
      </c>
      <c r="D33" t="s">
        <v>138</v>
      </c>
      <c r="E33" s="16" t="s">
        <v>133</v>
      </c>
      <c r="F33">
        <v>2029</v>
      </c>
      <c r="G33" s="12">
        <v>1512360</v>
      </c>
      <c r="H33" s="13">
        <v>0.58299999999999996</v>
      </c>
      <c r="I33" s="13">
        <v>0.48955500000000002</v>
      </c>
      <c r="J33" s="13"/>
      <c r="K33" s="13"/>
      <c r="L33" s="13"/>
      <c r="M33" s="13"/>
    </row>
    <row r="34" spans="2:13" x14ac:dyDescent="0.25">
      <c r="B34" s="14" t="s">
        <v>131</v>
      </c>
      <c r="C34" s="14" t="s">
        <v>52</v>
      </c>
      <c r="D34" t="s">
        <v>138</v>
      </c>
      <c r="E34" s="16" t="s">
        <v>133</v>
      </c>
      <c r="F34">
        <v>2030</v>
      </c>
      <c r="G34" s="12">
        <v>1528905</v>
      </c>
      <c r="H34" s="13">
        <v>0.58960000000000001</v>
      </c>
      <c r="I34" s="13">
        <v>0.49638599999999999</v>
      </c>
      <c r="J34" s="13"/>
      <c r="K34" s="13"/>
      <c r="L34" s="13"/>
      <c r="M34" s="13"/>
    </row>
    <row r="35" spans="2:13" x14ac:dyDescent="0.25">
      <c r="B35" s="14" t="s">
        <v>131</v>
      </c>
      <c r="C35" s="14" t="s">
        <v>139</v>
      </c>
      <c r="D35" t="s">
        <v>46</v>
      </c>
      <c r="E35" s="16" t="s">
        <v>133</v>
      </c>
      <c r="F35">
        <v>2026</v>
      </c>
      <c r="G35" s="12">
        <v>1792397</v>
      </c>
      <c r="H35" s="13">
        <v>0.82</v>
      </c>
      <c r="I35" s="13">
        <v>0.78</v>
      </c>
      <c r="J35" s="13">
        <v>0</v>
      </c>
      <c r="K35" s="13"/>
      <c r="L35" s="13">
        <v>7.0000000000000007E-2</v>
      </c>
      <c r="M35" s="13">
        <v>0.25</v>
      </c>
    </row>
    <row r="36" spans="2:13" x14ac:dyDescent="0.25">
      <c r="B36" s="14" t="s">
        <v>131</v>
      </c>
      <c r="C36" s="14" t="s">
        <v>139</v>
      </c>
      <c r="D36" t="s">
        <v>46</v>
      </c>
      <c r="E36" s="16" t="s">
        <v>133</v>
      </c>
      <c r="F36">
        <v>2027</v>
      </c>
      <c r="G36" s="12">
        <v>1835414</v>
      </c>
      <c r="H36" s="13">
        <v>0.82</v>
      </c>
      <c r="I36" s="13">
        <v>0.78</v>
      </c>
      <c r="J36" s="13">
        <v>0</v>
      </c>
      <c r="K36" s="13"/>
      <c r="L36" s="13">
        <v>7.0000000000000007E-2</v>
      </c>
      <c r="M36" s="13">
        <v>0.25</v>
      </c>
    </row>
    <row r="37" spans="2:13" x14ac:dyDescent="0.25">
      <c r="B37" s="14" t="s">
        <v>131</v>
      </c>
      <c r="C37" s="14" t="s">
        <v>139</v>
      </c>
      <c r="D37" t="s">
        <v>46</v>
      </c>
      <c r="E37" s="16" t="s">
        <v>133</v>
      </c>
      <c r="F37">
        <v>2028</v>
      </c>
      <c r="G37" s="12">
        <v>1855064</v>
      </c>
      <c r="H37" s="13">
        <v>0.82</v>
      </c>
      <c r="I37" s="13">
        <v>0.78</v>
      </c>
      <c r="J37" s="13">
        <v>0</v>
      </c>
      <c r="K37" s="13"/>
      <c r="L37" s="13">
        <v>7.0000000000000007E-2</v>
      </c>
      <c r="M37" s="13">
        <v>0.25</v>
      </c>
    </row>
    <row r="38" spans="2:13" x14ac:dyDescent="0.25">
      <c r="B38" s="14" t="s">
        <v>131</v>
      </c>
      <c r="C38" s="14" t="s">
        <v>139</v>
      </c>
      <c r="D38" t="s">
        <v>46</v>
      </c>
      <c r="E38" s="16" t="s">
        <v>133</v>
      </c>
      <c r="F38">
        <v>2029</v>
      </c>
      <c r="G38" s="12">
        <v>1844721.18516764</v>
      </c>
      <c r="H38" s="13">
        <v>0.83979999999999999</v>
      </c>
      <c r="I38" s="13">
        <v>0.79979999999999996</v>
      </c>
      <c r="J38" s="13">
        <v>0</v>
      </c>
      <c r="K38" s="13"/>
      <c r="L38" s="13">
        <v>7.0000000000000007E-2</v>
      </c>
      <c r="M38" s="13">
        <v>0.25</v>
      </c>
    </row>
    <row r="39" spans="2:13" x14ac:dyDescent="0.25">
      <c r="B39" s="15" t="s">
        <v>131</v>
      </c>
      <c r="C39" s="14" t="s">
        <v>139</v>
      </c>
      <c r="D39" t="s">
        <v>46</v>
      </c>
      <c r="E39" s="16" t="s">
        <v>133</v>
      </c>
      <c r="F39">
        <v>2030</v>
      </c>
      <c r="G39" s="12">
        <v>1864902.1685370801</v>
      </c>
      <c r="H39" s="13">
        <v>0.84640000000000004</v>
      </c>
      <c r="I39" s="13">
        <v>0.80640000000000001</v>
      </c>
      <c r="J39" s="13">
        <v>0</v>
      </c>
      <c r="K39" s="13"/>
      <c r="L39" s="13">
        <v>7.0000000000000007E-2</v>
      </c>
      <c r="M39" s="13">
        <v>0.25</v>
      </c>
    </row>
    <row r="40" spans="2:13" x14ac:dyDescent="0.25">
      <c r="B40" s="14" t="s">
        <v>140</v>
      </c>
      <c r="C40" s="14" t="s">
        <v>132</v>
      </c>
      <c r="D40" t="s">
        <v>46</v>
      </c>
      <c r="E40" s="16" t="s">
        <v>133</v>
      </c>
      <c r="F40">
        <v>2026</v>
      </c>
      <c r="G40" s="12">
        <v>1406377</v>
      </c>
      <c r="H40" s="13">
        <v>0.72</v>
      </c>
      <c r="I40" s="13">
        <v>0.69540000000000002</v>
      </c>
      <c r="J40" s="13">
        <v>0.66</v>
      </c>
      <c r="K40" s="13">
        <v>0</v>
      </c>
      <c r="L40" s="13">
        <v>7.0000000000000007E-2</v>
      </c>
      <c r="M40" s="13">
        <v>0.25</v>
      </c>
    </row>
    <row r="41" spans="2:13" x14ac:dyDescent="0.25">
      <c r="B41" s="14" t="s">
        <v>140</v>
      </c>
      <c r="C41" s="14" t="s">
        <v>132</v>
      </c>
      <c r="D41" t="s">
        <v>46</v>
      </c>
      <c r="E41" s="16" t="s">
        <v>133</v>
      </c>
      <c r="F41">
        <v>2027</v>
      </c>
      <c r="G41" s="12">
        <v>1433179</v>
      </c>
      <c r="H41" s="13">
        <v>0.73</v>
      </c>
      <c r="I41" s="13">
        <v>0.70540000000000003</v>
      </c>
      <c r="J41" s="13">
        <v>0.67</v>
      </c>
      <c r="K41" s="13">
        <v>0</v>
      </c>
      <c r="L41" s="13">
        <v>7.0000000000000007E-2</v>
      </c>
      <c r="M41" s="13">
        <v>0.25</v>
      </c>
    </row>
    <row r="42" spans="2:13" x14ac:dyDescent="0.25">
      <c r="B42" s="14" t="s">
        <v>140</v>
      </c>
      <c r="C42" s="14" t="s">
        <v>132</v>
      </c>
      <c r="D42" t="s">
        <v>46</v>
      </c>
      <c r="E42" s="16" t="s">
        <v>133</v>
      </c>
      <c r="F42">
        <v>2028</v>
      </c>
      <c r="G42" s="12">
        <v>1464310</v>
      </c>
      <c r="H42" s="13">
        <v>0.30833333330000001</v>
      </c>
      <c r="I42" s="13">
        <v>0.29808333329999998</v>
      </c>
      <c r="J42" s="13">
        <v>0.28333333329999999</v>
      </c>
      <c r="K42" s="13">
        <v>0</v>
      </c>
      <c r="L42" s="13">
        <v>7.0000000000000007E-2</v>
      </c>
      <c r="M42" s="13">
        <v>0.25</v>
      </c>
    </row>
    <row r="43" spans="2:13" x14ac:dyDescent="0.25">
      <c r="B43" s="14" t="s">
        <v>140</v>
      </c>
      <c r="C43" s="14" t="s">
        <v>132</v>
      </c>
      <c r="D43" t="s">
        <v>46</v>
      </c>
      <c r="E43" s="16" t="s">
        <v>133</v>
      </c>
      <c r="F43">
        <v>2029</v>
      </c>
      <c r="G43" s="12">
        <v>1211942.60730373</v>
      </c>
      <c r="H43" s="13">
        <v>0</v>
      </c>
      <c r="I43" s="13">
        <v>0</v>
      </c>
      <c r="J43" s="13">
        <v>0</v>
      </c>
      <c r="K43" s="13">
        <v>0</v>
      </c>
      <c r="L43" s="13">
        <v>7.0000000000000007E-2</v>
      </c>
      <c r="M43" s="13">
        <v>0.25</v>
      </c>
    </row>
    <row r="44" spans="2:13" x14ac:dyDescent="0.25">
      <c r="B44" s="14" t="s">
        <v>140</v>
      </c>
      <c r="C44" s="14" t="s">
        <v>70</v>
      </c>
      <c r="D44" t="s">
        <v>46</v>
      </c>
      <c r="E44" s="16" t="s">
        <v>133</v>
      </c>
      <c r="F44">
        <v>2026</v>
      </c>
      <c r="G44" s="12">
        <v>1406377</v>
      </c>
      <c r="H44" s="13">
        <v>0.66</v>
      </c>
      <c r="I44" s="13">
        <v>0.55000000000000004</v>
      </c>
      <c r="J44" s="13">
        <v>0</v>
      </c>
      <c r="K44" s="13">
        <v>0</v>
      </c>
      <c r="L44" s="13">
        <v>7.0000000000000007E-2</v>
      </c>
      <c r="M44" s="13">
        <v>0.25</v>
      </c>
    </row>
    <row r="45" spans="2:13" x14ac:dyDescent="0.25">
      <c r="B45" s="14" t="s">
        <v>140</v>
      </c>
      <c r="C45" s="14" t="s">
        <v>70</v>
      </c>
      <c r="D45" t="s">
        <v>46</v>
      </c>
      <c r="E45" s="16" t="s">
        <v>133</v>
      </c>
      <c r="F45">
        <v>2027</v>
      </c>
      <c r="G45" s="12">
        <v>1433179</v>
      </c>
      <c r="H45" s="13">
        <v>0.67</v>
      </c>
      <c r="I45" s="13">
        <v>0.56000000000000005</v>
      </c>
      <c r="J45" s="13">
        <v>0</v>
      </c>
      <c r="K45" s="13">
        <v>0</v>
      </c>
      <c r="L45" s="13">
        <v>7.0000000000000007E-2</v>
      </c>
      <c r="M45" s="13">
        <v>0.25</v>
      </c>
    </row>
    <row r="46" spans="2:13" x14ac:dyDescent="0.25">
      <c r="B46" s="14" t="s">
        <v>140</v>
      </c>
      <c r="C46" s="14" t="s">
        <v>70</v>
      </c>
      <c r="D46" t="s">
        <v>46</v>
      </c>
      <c r="E46" s="16" t="s">
        <v>133</v>
      </c>
      <c r="F46">
        <v>2028</v>
      </c>
      <c r="G46" s="12">
        <v>1464310</v>
      </c>
      <c r="H46" s="13">
        <v>0.28333333329999999</v>
      </c>
      <c r="I46" s="13">
        <v>0.23749999999999999</v>
      </c>
      <c r="J46" s="13">
        <v>0</v>
      </c>
      <c r="K46" s="13">
        <v>0</v>
      </c>
      <c r="L46" s="13">
        <v>7.0000000000000007E-2</v>
      </c>
      <c r="M46" s="13">
        <v>0.25</v>
      </c>
    </row>
    <row r="47" spans="2:13" x14ac:dyDescent="0.25">
      <c r="B47" s="14" t="s">
        <v>140</v>
      </c>
      <c r="C47" s="14" t="s">
        <v>70</v>
      </c>
      <c r="D47" t="s">
        <v>46</v>
      </c>
      <c r="E47" s="16" t="s">
        <v>133</v>
      </c>
      <c r="F47">
        <v>2029</v>
      </c>
      <c r="G47" s="12">
        <v>1211942.60730373</v>
      </c>
      <c r="H47" s="13">
        <v>0</v>
      </c>
      <c r="I47" s="13">
        <v>0</v>
      </c>
      <c r="J47" s="13">
        <v>0</v>
      </c>
      <c r="K47" s="13">
        <v>0</v>
      </c>
      <c r="L47" s="13">
        <v>7.0000000000000007E-2</v>
      </c>
      <c r="M47" s="13">
        <v>0.25</v>
      </c>
    </row>
    <row r="48" spans="2:13" x14ac:dyDescent="0.25">
      <c r="B48" s="14" t="s">
        <v>140</v>
      </c>
      <c r="C48" s="14" t="s">
        <v>134</v>
      </c>
      <c r="D48" t="s">
        <v>46</v>
      </c>
      <c r="E48" s="16" t="s">
        <v>133</v>
      </c>
      <c r="F48">
        <v>2027</v>
      </c>
      <c r="G48" s="12">
        <v>1162618.22029513</v>
      </c>
      <c r="H48" s="13">
        <v>0</v>
      </c>
      <c r="I48" s="13">
        <v>0</v>
      </c>
      <c r="J48" s="13">
        <v>0</v>
      </c>
      <c r="K48" s="13">
        <v>0</v>
      </c>
      <c r="L48" s="13">
        <v>7.0000000000000007E-2</v>
      </c>
      <c r="M48" s="13">
        <v>0.25</v>
      </c>
    </row>
    <row r="49" spans="2:13" x14ac:dyDescent="0.25">
      <c r="B49" s="14" t="s">
        <v>140</v>
      </c>
      <c r="C49" s="14" t="s">
        <v>134</v>
      </c>
      <c r="D49" t="s">
        <v>46</v>
      </c>
      <c r="E49" s="16" t="s">
        <v>133</v>
      </c>
      <c r="F49">
        <v>2028</v>
      </c>
      <c r="G49" s="12">
        <v>1464310</v>
      </c>
      <c r="H49" s="13">
        <v>0.42770000000000002</v>
      </c>
      <c r="I49" s="13">
        <v>0.41335</v>
      </c>
      <c r="J49" s="13">
        <v>0.39269999999999999</v>
      </c>
      <c r="K49" s="13">
        <v>0</v>
      </c>
      <c r="L49" s="13">
        <v>7.0000000000000007E-2</v>
      </c>
      <c r="M49" s="13">
        <v>0.25</v>
      </c>
    </row>
    <row r="50" spans="2:13" x14ac:dyDescent="0.25">
      <c r="B50" s="14" t="s">
        <v>140</v>
      </c>
      <c r="C50" s="14" t="s">
        <v>134</v>
      </c>
      <c r="D50" t="s">
        <v>46</v>
      </c>
      <c r="E50" s="16" t="s">
        <v>133</v>
      </c>
      <c r="F50">
        <v>2029</v>
      </c>
      <c r="G50" s="12">
        <v>1211942.60730373</v>
      </c>
      <c r="H50" s="13">
        <v>0.86980000000000002</v>
      </c>
      <c r="I50" s="13">
        <v>0.84519999999999995</v>
      </c>
      <c r="J50" s="13">
        <v>0.80979999999999996</v>
      </c>
      <c r="K50" s="13">
        <v>0</v>
      </c>
      <c r="L50" s="13">
        <v>7.0000000000000007E-2</v>
      </c>
      <c r="M50" s="13">
        <v>0.25</v>
      </c>
    </row>
    <row r="51" spans="2:13" x14ac:dyDescent="0.25">
      <c r="B51" s="14" t="s">
        <v>140</v>
      </c>
      <c r="C51" s="14" t="s">
        <v>134</v>
      </c>
      <c r="D51" t="s">
        <v>46</v>
      </c>
      <c r="E51" s="16" t="s">
        <v>133</v>
      </c>
      <c r="F51">
        <v>2030</v>
      </c>
      <c r="G51" s="12">
        <v>1228818.3407862899</v>
      </c>
      <c r="H51" s="13">
        <v>0.87639999999999996</v>
      </c>
      <c r="I51" s="13">
        <v>0.8518</v>
      </c>
      <c r="J51" s="13">
        <v>0.81640000000000001</v>
      </c>
      <c r="K51" s="13">
        <v>0</v>
      </c>
      <c r="L51" s="13">
        <v>7.0000000000000007E-2</v>
      </c>
      <c r="M51" s="13">
        <v>0.25</v>
      </c>
    </row>
    <row r="52" spans="2:13" x14ac:dyDescent="0.25">
      <c r="B52" s="14" t="s">
        <v>140</v>
      </c>
      <c r="C52" s="14" t="s">
        <v>72</v>
      </c>
      <c r="D52" t="s">
        <v>46</v>
      </c>
      <c r="E52" s="16" t="s">
        <v>133</v>
      </c>
      <c r="F52">
        <v>2026</v>
      </c>
      <c r="G52" s="12">
        <v>1406377</v>
      </c>
      <c r="H52" s="13">
        <v>0.72</v>
      </c>
      <c r="I52" s="13">
        <v>0.68720000000000003</v>
      </c>
      <c r="J52" s="13">
        <v>0.64</v>
      </c>
      <c r="K52" s="13"/>
      <c r="L52" s="13">
        <v>7.0000000000000007E-2</v>
      </c>
      <c r="M52" s="13">
        <v>0.25</v>
      </c>
    </row>
    <row r="53" spans="2:13" x14ac:dyDescent="0.25">
      <c r="B53" s="14" t="s">
        <v>140</v>
      </c>
      <c r="C53" s="14" t="s">
        <v>72</v>
      </c>
      <c r="D53" t="s">
        <v>46</v>
      </c>
      <c r="E53" s="16" t="s">
        <v>133</v>
      </c>
      <c r="F53">
        <v>2027</v>
      </c>
      <c r="G53" s="12">
        <v>1433179</v>
      </c>
      <c r="H53" s="13">
        <v>0.73</v>
      </c>
      <c r="I53" s="13">
        <v>0.69720000000000004</v>
      </c>
      <c r="J53" s="13">
        <v>0.65</v>
      </c>
      <c r="K53" s="13"/>
      <c r="L53" s="13">
        <v>7.0000000000000007E-2</v>
      </c>
      <c r="M53" s="13">
        <v>0.25</v>
      </c>
    </row>
    <row r="54" spans="2:13" x14ac:dyDescent="0.25">
      <c r="B54" s="14" t="s">
        <v>140</v>
      </c>
      <c r="C54" s="14" t="s">
        <v>72</v>
      </c>
      <c r="D54" t="s">
        <v>46</v>
      </c>
      <c r="E54" s="16" t="s">
        <v>133</v>
      </c>
      <c r="F54">
        <v>2028</v>
      </c>
      <c r="G54" s="12">
        <v>1464310</v>
      </c>
      <c r="H54" s="13">
        <v>0.74</v>
      </c>
      <c r="I54" s="13">
        <v>0.70720000000000005</v>
      </c>
      <c r="J54" s="13">
        <v>0.66</v>
      </c>
      <c r="K54" s="13"/>
      <c r="L54" s="13">
        <v>7.0000000000000007E-2</v>
      </c>
      <c r="M54" s="13">
        <v>0.25</v>
      </c>
    </row>
    <row r="55" spans="2:13" x14ac:dyDescent="0.25">
      <c r="B55" s="14" t="s">
        <v>140</v>
      </c>
      <c r="C55" s="14" t="s">
        <v>72</v>
      </c>
      <c r="D55" t="s">
        <v>46</v>
      </c>
      <c r="E55" s="16" t="s">
        <v>133</v>
      </c>
      <c r="F55">
        <v>2029</v>
      </c>
      <c r="G55" s="12">
        <v>1211942.60730373</v>
      </c>
      <c r="H55" s="13">
        <v>0.8498</v>
      </c>
      <c r="I55" s="13">
        <v>0.82520000000000004</v>
      </c>
      <c r="J55" s="13">
        <v>0.78979999999999995</v>
      </c>
      <c r="K55" s="13"/>
      <c r="L55" s="13">
        <v>7.0000000000000007E-2</v>
      </c>
      <c r="M55" s="13">
        <v>0.25</v>
      </c>
    </row>
    <row r="56" spans="2:13" x14ac:dyDescent="0.25">
      <c r="B56" s="14" t="s">
        <v>140</v>
      </c>
      <c r="C56" s="14" t="s">
        <v>72</v>
      </c>
      <c r="D56" t="s">
        <v>46</v>
      </c>
      <c r="E56" s="16" t="s">
        <v>133</v>
      </c>
      <c r="F56">
        <v>2030</v>
      </c>
      <c r="G56" s="12">
        <v>1228818.3407862899</v>
      </c>
      <c r="H56" s="13">
        <v>0.85640000000000005</v>
      </c>
      <c r="I56" s="13">
        <v>0.83179999999999998</v>
      </c>
      <c r="J56" s="13">
        <v>0.7964</v>
      </c>
      <c r="K56" s="13"/>
      <c r="L56" s="13">
        <v>7.0000000000000007E-2</v>
      </c>
      <c r="M56" s="13">
        <v>0.25</v>
      </c>
    </row>
    <row r="57" spans="2:13" x14ac:dyDescent="0.25">
      <c r="B57" s="14" t="s">
        <v>140</v>
      </c>
      <c r="C57" s="14" t="s">
        <v>15</v>
      </c>
      <c r="D57" t="s">
        <v>46</v>
      </c>
      <c r="E57" s="16" t="s">
        <v>133</v>
      </c>
      <c r="F57">
        <v>2026</v>
      </c>
      <c r="G57" s="12">
        <v>490958</v>
      </c>
      <c r="H57" s="13">
        <v>1</v>
      </c>
      <c r="I57" s="13"/>
      <c r="J57" s="13"/>
      <c r="K57" s="13"/>
      <c r="L57" s="13">
        <v>0.05</v>
      </c>
      <c r="M57" s="13">
        <v>0.25</v>
      </c>
    </row>
    <row r="58" spans="2:13" x14ac:dyDescent="0.25">
      <c r="B58" s="14" t="s">
        <v>140</v>
      </c>
      <c r="C58" s="14" t="s">
        <v>15</v>
      </c>
      <c r="D58" t="s">
        <v>46</v>
      </c>
      <c r="E58" s="16" t="s">
        <v>133</v>
      </c>
      <c r="F58">
        <v>2027</v>
      </c>
      <c r="G58" s="12">
        <v>502504</v>
      </c>
      <c r="H58" s="13">
        <v>0.82</v>
      </c>
      <c r="I58" s="13"/>
      <c r="J58" s="13"/>
      <c r="K58" s="13"/>
      <c r="L58" s="13">
        <v>0.05</v>
      </c>
      <c r="M58" s="13">
        <v>0.25</v>
      </c>
    </row>
    <row r="59" spans="2:13" x14ac:dyDescent="0.25">
      <c r="B59" s="14" t="s">
        <v>140</v>
      </c>
      <c r="C59" s="14" t="s">
        <v>15</v>
      </c>
      <c r="D59" t="s">
        <v>46</v>
      </c>
      <c r="E59" s="16" t="s">
        <v>133</v>
      </c>
      <c r="F59">
        <v>2028</v>
      </c>
      <c r="G59" s="12">
        <v>514183</v>
      </c>
      <c r="H59" s="13">
        <v>0.82</v>
      </c>
      <c r="I59" s="13"/>
      <c r="J59" s="13"/>
      <c r="K59" s="13"/>
      <c r="L59" s="13">
        <v>0.05</v>
      </c>
      <c r="M59" s="13">
        <v>0.25</v>
      </c>
    </row>
    <row r="60" spans="2:13" x14ac:dyDescent="0.25">
      <c r="B60" s="14" t="s">
        <v>140</v>
      </c>
      <c r="C60" s="14" t="s">
        <v>15</v>
      </c>
      <c r="D60" t="s">
        <v>46</v>
      </c>
      <c r="E60" s="16" t="s">
        <v>133</v>
      </c>
      <c r="F60">
        <v>2029</v>
      </c>
      <c r="G60" s="12">
        <v>526305</v>
      </c>
      <c r="H60" s="13">
        <v>0.58657190680000004</v>
      </c>
      <c r="I60" s="13"/>
      <c r="J60" s="13"/>
      <c r="K60" s="13"/>
      <c r="L60" s="13">
        <v>0.05</v>
      </c>
      <c r="M60" s="13">
        <v>0.25</v>
      </c>
    </row>
    <row r="61" spans="2:13" x14ac:dyDescent="0.25">
      <c r="B61" s="14" t="s">
        <v>140</v>
      </c>
      <c r="C61" s="14" t="s">
        <v>15</v>
      </c>
      <c r="D61" t="s">
        <v>46</v>
      </c>
      <c r="E61" s="16" t="s">
        <v>133</v>
      </c>
      <c r="F61">
        <v>2030</v>
      </c>
      <c r="G61" s="12">
        <v>538548</v>
      </c>
      <c r="H61" s="13">
        <v>0.58657190680000004</v>
      </c>
      <c r="I61" s="13"/>
      <c r="J61" s="13"/>
      <c r="K61" s="13"/>
      <c r="L61" s="13">
        <v>0.05</v>
      </c>
      <c r="M61" s="13">
        <v>0.25</v>
      </c>
    </row>
    <row r="62" spans="2:13" x14ac:dyDescent="0.25">
      <c r="B62" s="14" t="s">
        <v>140</v>
      </c>
      <c r="C62" s="14" t="s">
        <v>52</v>
      </c>
      <c r="D62" t="s">
        <v>141</v>
      </c>
      <c r="E62" s="16" t="s">
        <v>133</v>
      </c>
      <c r="F62">
        <v>2028</v>
      </c>
      <c r="G62" s="12">
        <v>6091076.25</v>
      </c>
      <c r="H62" s="13">
        <v>1</v>
      </c>
      <c r="I62" s="13"/>
      <c r="J62" s="13"/>
      <c r="K62" s="13"/>
      <c r="L62" s="13"/>
      <c r="M62" s="13"/>
    </row>
    <row r="63" spans="2:13" x14ac:dyDescent="0.25">
      <c r="B63" s="14" t="s">
        <v>140</v>
      </c>
      <c r="C63" s="14" t="s">
        <v>52</v>
      </c>
      <c r="D63" t="s">
        <v>141</v>
      </c>
      <c r="E63" s="16" t="s">
        <v>133</v>
      </c>
      <c r="F63">
        <v>2030</v>
      </c>
      <c r="G63" s="12">
        <v>6343965.5625</v>
      </c>
      <c r="H63" s="13">
        <v>1</v>
      </c>
      <c r="I63" s="13"/>
      <c r="J63" s="13"/>
      <c r="K63" s="13"/>
      <c r="L63" s="13"/>
      <c r="M63" s="13"/>
    </row>
    <row r="64" spans="2:13" x14ac:dyDescent="0.25">
      <c r="B64" s="14" t="s">
        <v>140</v>
      </c>
      <c r="C64" s="14" t="s">
        <v>139</v>
      </c>
      <c r="D64" t="s">
        <v>46</v>
      </c>
      <c r="E64" s="16" t="s">
        <v>133</v>
      </c>
      <c r="F64">
        <v>2026</v>
      </c>
      <c r="G64" s="12">
        <v>1406377</v>
      </c>
      <c r="H64" s="13">
        <v>0.72</v>
      </c>
      <c r="I64" s="13">
        <v>0.38</v>
      </c>
      <c r="J64" s="13">
        <v>0</v>
      </c>
      <c r="K64" s="13"/>
      <c r="L64" s="13">
        <v>0.04</v>
      </c>
      <c r="M64" s="13">
        <v>0.25</v>
      </c>
    </row>
    <row r="65" spans="2:13" x14ac:dyDescent="0.25">
      <c r="B65" s="14" t="s">
        <v>140</v>
      </c>
      <c r="C65" s="14" t="s">
        <v>139</v>
      </c>
      <c r="D65" t="s">
        <v>46</v>
      </c>
      <c r="E65" s="16" t="s">
        <v>133</v>
      </c>
      <c r="F65">
        <v>2027</v>
      </c>
      <c r="G65" s="12">
        <v>1433179</v>
      </c>
      <c r="H65" s="13">
        <v>0.73</v>
      </c>
      <c r="I65" s="13">
        <v>0.39</v>
      </c>
      <c r="J65" s="13">
        <v>0</v>
      </c>
      <c r="K65" s="13"/>
      <c r="L65" s="13">
        <v>0.04</v>
      </c>
      <c r="M65" s="13">
        <v>0.25</v>
      </c>
    </row>
    <row r="66" spans="2:13" x14ac:dyDescent="0.25">
      <c r="B66" s="14" t="s">
        <v>140</v>
      </c>
      <c r="C66" s="14" t="s">
        <v>139</v>
      </c>
      <c r="D66" t="s">
        <v>46</v>
      </c>
      <c r="E66" s="16" t="s">
        <v>133</v>
      </c>
      <c r="F66">
        <v>2028</v>
      </c>
      <c r="G66" s="12">
        <v>1464310</v>
      </c>
      <c r="H66" s="13">
        <v>0.74</v>
      </c>
      <c r="I66" s="13">
        <v>0.4</v>
      </c>
      <c r="J66" s="13">
        <v>0</v>
      </c>
      <c r="K66" s="13"/>
      <c r="L66" s="13">
        <v>0.04</v>
      </c>
      <c r="M66" s="13">
        <v>0.25</v>
      </c>
    </row>
    <row r="67" spans="2:13" x14ac:dyDescent="0.25">
      <c r="B67" s="14" t="s">
        <v>140</v>
      </c>
      <c r="C67" s="14" t="s">
        <v>139</v>
      </c>
      <c r="D67" t="s">
        <v>46</v>
      </c>
      <c r="E67" s="16" t="s">
        <v>133</v>
      </c>
      <c r="F67">
        <v>2029</v>
      </c>
      <c r="G67" s="12">
        <v>1211942.60730373</v>
      </c>
      <c r="H67" s="13">
        <v>0.56979999999999997</v>
      </c>
      <c r="I67" s="13">
        <v>0.52980000000000005</v>
      </c>
      <c r="J67" s="13">
        <v>0</v>
      </c>
      <c r="K67" s="13"/>
      <c r="L67" s="13">
        <v>0.04</v>
      </c>
      <c r="M67" s="13">
        <v>0.25</v>
      </c>
    </row>
    <row r="68" spans="2:13" x14ac:dyDescent="0.25">
      <c r="B68" s="14" t="s">
        <v>140</v>
      </c>
      <c r="C68" s="14" t="s">
        <v>139</v>
      </c>
      <c r="D68" t="s">
        <v>46</v>
      </c>
      <c r="E68" s="16" t="s">
        <v>133</v>
      </c>
      <c r="F68">
        <v>2030</v>
      </c>
      <c r="G68" s="12">
        <v>1228818.3407862899</v>
      </c>
      <c r="H68" s="13">
        <v>0.57640000000000002</v>
      </c>
      <c r="I68" s="13">
        <v>0.53639999999999999</v>
      </c>
      <c r="J68" s="13">
        <v>0</v>
      </c>
      <c r="K68" s="13"/>
      <c r="L68" s="13">
        <v>0.04</v>
      </c>
      <c r="M68" s="13">
        <v>0.25</v>
      </c>
    </row>
    <row r="69" spans="2:13" x14ac:dyDescent="0.25">
      <c r="B69" s="14" t="s">
        <v>140</v>
      </c>
      <c r="C69" s="14" t="s">
        <v>74</v>
      </c>
      <c r="D69" t="s">
        <v>142</v>
      </c>
      <c r="E69" s="16" t="s">
        <v>133</v>
      </c>
      <c r="F69">
        <v>2028</v>
      </c>
      <c r="G69" s="12">
        <v>13000000</v>
      </c>
      <c r="H69" s="13">
        <v>0.9</v>
      </c>
      <c r="I69" s="13"/>
      <c r="J69" s="13"/>
      <c r="K69" s="13"/>
      <c r="L69" s="13">
        <v>0.1</v>
      </c>
      <c r="M69" s="13">
        <v>0</v>
      </c>
    </row>
    <row r="70" spans="2:13" x14ac:dyDescent="0.25">
      <c r="B70" s="14" t="s">
        <v>140</v>
      </c>
      <c r="C70" s="14" t="s">
        <v>74</v>
      </c>
      <c r="D70" t="s">
        <v>142</v>
      </c>
      <c r="E70" s="16" t="s">
        <v>133</v>
      </c>
      <c r="F70">
        <v>2029</v>
      </c>
      <c r="G70" s="12">
        <v>13000000</v>
      </c>
      <c r="H70" s="13">
        <v>0.9</v>
      </c>
      <c r="I70" s="13"/>
      <c r="J70" s="13"/>
      <c r="K70" s="13"/>
      <c r="L70" s="13">
        <v>0.1</v>
      </c>
      <c r="M70" s="13">
        <v>0</v>
      </c>
    </row>
    <row r="71" spans="2:13" x14ac:dyDescent="0.25">
      <c r="B71" s="15" t="s">
        <v>140</v>
      </c>
      <c r="C71" s="14" t="s">
        <v>74</v>
      </c>
      <c r="D71" t="s">
        <v>142</v>
      </c>
      <c r="E71" s="16" t="s">
        <v>133</v>
      </c>
      <c r="F71">
        <v>2030</v>
      </c>
      <c r="G71" s="12">
        <v>13000000</v>
      </c>
      <c r="H71" s="13">
        <v>0.9</v>
      </c>
      <c r="I71" s="13"/>
      <c r="J71" s="13"/>
      <c r="K71" s="13"/>
      <c r="L71" s="13">
        <v>0.1</v>
      </c>
      <c r="M71" s="13">
        <v>0</v>
      </c>
    </row>
    <row r="72" spans="2:13" x14ac:dyDescent="0.25">
      <c r="B72" s="14" t="s">
        <v>143</v>
      </c>
      <c r="C72" s="14" t="s">
        <v>132</v>
      </c>
      <c r="D72" t="s">
        <v>46</v>
      </c>
      <c r="E72" s="16" t="s">
        <v>144</v>
      </c>
      <c r="F72">
        <v>2027</v>
      </c>
      <c r="G72" s="12">
        <v>8618.6852347696004</v>
      </c>
      <c r="H72" s="13">
        <v>0</v>
      </c>
      <c r="I72" s="13">
        <v>0</v>
      </c>
      <c r="J72" s="13">
        <v>0</v>
      </c>
      <c r="K72" s="13">
        <v>0</v>
      </c>
      <c r="L72" s="13">
        <v>7.0000000000000007E-2</v>
      </c>
      <c r="M72" s="13">
        <v>0.25</v>
      </c>
    </row>
    <row r="73" spans="2:13" x14ac:dyDescent="0.25">
      <c r="B73" s="14" t="s">
        <v>143</v>
      </c>
      <c r="C73" s="14" t="s">
        <v>132</v>
      </c>
      <c r="D73" t="s">
        <v>46</v>
      </c>
      <c r="E73" s="16" t="s">
        <v>144</v>
      </c>
      <c r="F73">
        <v>2028</v>
      </c>
      <c r="G73" s="12">
        <v>8739.0276677688998</v>
      </c>
      <c r="H73" s="13">
        <v>0</v>
      </c>
      <c r="I73" s="13">
        <v>0</v>
      </c>
      <c r="J73" s="13">
        <v>0</v>
      </c>
      <c r="K73" s="13">
        <v>0</v>
      </c>
      <c r="L73" s="13">
        <v>7.0000000000000007E-2</v>
      </c>
      <c r="M73" s="13">
        <v>0.25</v>
      </c>
    </row>
    <row r="74" spans="2:13" x14ac:dyDescent="0.25">
      <c r="B74" s="14" t="s">
        <v>143</v>
      </c>
      <c r="C74" s="14" t="s">
        <v>132</v>
      </c>
      <c r="D74" t="s">
        <v>46</v>
      </c>
      <c r="E74" s="16" t="s">
        <v>133</v>
      </c>
      <c r="F74">
        <v>2026</v>
      </c>
      <c r="G74" s="12">
        <v>471973</v>
      </c>
      <c r="H74" s="13">
        <v>0.76398759260000004</v>
      </c>
      <c r="I74" s="13">
        <v>0.75449562550000004</v>
      </c>
      <c r="J74" s="13">
        <v>0.74083645340000004</v>
      </c>
      <c r="K74" s="13">
        <v>0</v>
      </c>
      <c r="L74" s="13">
        <v>7.0000000000000007E-2</v>
      </c>
      <c r="M74" s="13">
        <v>0.25</v>
      </c>
    </row>
    <row r="75" spans="2:13" x14ac:dyDescent="0.25">
      <c r="B75" s="14" t="s">
        <v>143</v>
      </c>
      <c r="C75" s="14" t="s">
        <v>132</v>
      </c>
      <c r="D75" t="s">
        <v>46</v>
      </c>
      <c r="E75" s="16" t="s">
        <v>133</v>
      </c>
      <c r="F75">
        <v>2027</v>
      </c>
      <c r="G75" s="12">
        <v>476402.45968300302</v>
      </c>
      <c r="H75" s="13">
        <v>0</v>
      </c>
      <c r="I75" s="13">
        <v>0</v>
      </c>
      <c r="J75" s="13">
        <v>0</v>
      </c>
      <c r="K75" s="13">
        <v>0</v>
      </c>
      <c r="L75" s="13">
        <v>7.0000000000000007E-2</v>
      </c>
      <c r="M75" s="13">
        <v>0.25</v>
      </c>
    </row>
    <row r="76" spans="2:13" x14ac:dyDescent="0.25">
      <c r="B76" s="14" t="s">
        <v>143</v>
      </c>
      <c r="C76" s="14" t="s">
        <v>132</v>
      </c>
      <c r="D76" t="s">
        <v>46</v>
      </c>
      <c r="E76" s="16" t="s">
        <v>133</v>
      </c>
      <c r="F76">
        <v>2028</v>
      </c>
      <c r="G76" s="12">
        <v>483729.571488166</v>
      </c>
      <c r="H76" s="13">
        <v>0</v>
      </c>
      <c r="I76" s="13">
        <v>0</v>
      </c>
      <c r="J76" s="13">
        <v>0</v>
      </c>
      <c r="K76" s="13">
        <v>0</v>
      </c>
      <c r="L76" s="13">
        <v>7.0000000000000007E-2</v>
      </c>
      <c r="M76" s="13">
        <v>0.25</v>
      </c>
    </row>
    <row r="77" spans="2:13" x14ac:dyDescent="0.25">
      <c r="B77" s="14" t="s">
        <v>143</v>
      </c>
      <c r="C77" s="14" t="s">
        <v>70</v>
      </c>
      <c r="D77" t="s">
        <v>46</v>
      </c>
      <c r="E77" s="16" t="s">
        <v>144</v>
      </c>
      <c r="F77">
        <v>2027</v>
      </c>
      <c r="G77" s="12">
        <v>8618.6852347696004</v>
      </c>
      <c r="H77" s="13">
        <v>0</v>
      </c>
      <c r="I77" s="13">
        <v>0</v>
      </c>
      <c r="J77" s="13">
        <v>0</v>
      </c>
      <c r="K77" s="13">
        <v>0</v>
      </c>
      <c r="L77" s="13">
        <v>7.0000000000000007E-2</v>
      </c>
      <c r="M77" s="13">
        <v>0.25</v>
      </c>
    </row>
    <row r="78" spans="2:13" x14ac:dyDescent="0.25">
      <c r="B78" s="14" t="s">
        <v>143</v>
      </c>
      <c r="C78" s="14" t="s">
        <v>70</v>
      </c>
      <c r="D78" t="s">
        <v>46</v>
      </c>
      <c r="E78" s="16" t="s">
        <v>144</v>
      </c>
      <c r="F78">
        <v>2028</v>
      </c>
      <c r="G78" s="12">
        <v>8739.0276677688998</v>
      </c>
      <c r="H78" s="13">
        <v>0</v>
      </c>
      <c r="I78" s="13">
        <v>0</v>
      </c>
      <c r="J78" s="13">
        <v>0</v>
      </c>
      <c r="K78" s="13">
        <v>0</v>
      </c>
      <c r="L78" s="13">
        <v>7.0000000000000007E-2</v>
      </c>
      <c r="M78" s="13">
        <v>0.25</v>
      </c>
    </row>
    <row r="79" spans="2:13" x14ac:dyDescent="0.25">
      <c r="B79" s="14" t="s">
        <v>143</v>
      </c>
      <c r="C79" s="14" t="s">
        <v>70</v>
      </c>
      <c r="D79" t="s">
        <v>46</v>
      </c>
      <c r="E79" s="16" t="s">
        <v>133</v>
      </c>
      <c r="F79">
        <v>2026</v>
      </c>
      <c r="G79" s="12">
        <v>471973</v>
      </c>
      <c r="H79" s="13">
        <v>0.99</v>
      </c>
      <c r="I79" s="13">
        <v>0</v>
      </c>
      <c r="J79" s="13">
        <v>0</v>
      </c>
      <c r="K79" s="13">
        <v>0</v>
      </c>
      <c r="L79" s="13">
        <v>7.0000000000000007E-2</v>
      </c>
      <c r="M79" s="13">
        <v>0.25</v>
      </c>
    </row>
    <row r="80" spans="2:13" x14ac:dyDescent="0.25">
      <c r="B80" s="14" t="s">
        <v>143</v>
      </c>
      <c r="C80" s="14" t="s">
        <v>70</v>
      </c>
      <c r="D80" t="s">
        <v>46</v>
      </c>
      <c r="E80" s="16" t="s">
        <v>133</v>
      </c>
      <c r="F80">
        <v>2027</v>
      </c>
      <c r="G80" s="12">
        <v>476402.45968300302</v>
      </c>
      <c r="H80" s="13">
        <v>0</v>
      </c>
      <c r="I80" s="13">
        <v>0</v>
      </c>
      <c r="J80" s="13">
        <v>0</v>
      </c>
      <c r="K80" s="13">
        <v>0</v>
      </c>
      <c r="L80" s="13">
        <v>7.0000000000000007E-2</v>
      </c>
      <c r="M80" s="13">
        <v>0.25</v>
      </c>
    </row>
    <row r="81" spans="2:13" x14ac:dyDescent="0.25">
      <c r="B81" s="14" t="s">
        <v>143</v>
      </c>
      <c r="C81" s="14" t="s">
        <v>70</v>
      </c>
      <c r="D81" t="s">
        <v>46</v>
      </c>
      <c r="E81" s="16" t="s">
        <v>133</v>
      </c>
      <c r="F81">
        <v>2028</v>
      </c>
      <c r="G81" s="12">
        <v>483729.571488166</v>
      </c>
      <c r="H81" s="13">
        <v>0</v>
      </c>
      <c r="I81" s="13">
        <v>0</v>
      </c>
      <c r="J81" s="13">
        <v>0</v>
      </c>
      <c r="K81" s="13">
        <v>0</v>
      </c>
      <c r="L81" s="13">
        <v>7.0000000000000007E-2</v>
      </c>
      <c r="M81" s="13">
        <v>0.25</v>
      </c>
    </row>
    <row r="82" spans="2:13" x14ac:dyDescent="0.25">
      <c r="B82" s="14" t="s">
        <v>143</v>
      </c>
      <c r="C82" s="14" t="s">
        <v>134</v>
      </c>
      <c r="D82" t="s">
        <v>46</v>
      </c>
      <c r="E82" s="16" t="s">
        <v>144</v>
      </c>
      <c r="F82">
        <v>2027</v>
      </c>
      <c r="G82" s="12">
        <v>8618.6852347696004</v>
      </c>
      <c r="H82" s="13">
        <v>0.77058759259999998</v>
      </c>
      <c r="I82" s="13">
        <v>0.76109562549999998</v>
      </c>
      <c r="J82" s="13">
        <v>0.74743645339999998</v>
      </c>
      <c r="K82" s="13">
        <v>0</v>
      </c>
      <c r="L82" s="13">
        <v>7.0000000000000007E-2</v>
      </c>
      <c r="M82" s="13">
        <v>0.25</v>
      </c>
    </row>
    <row r="83" spans="2:13" x14ac:dyDescent="0.25">
      <c r="B83" s="14" t="s">
        <v>143</v>
      </c>
      <c r="C83" s="14" t="s">
        <v>134</v>
      </c>
      <c r="D83" t="s">
        <v>46</v>
      </c>
      <c r="E83" s="16" t="s">
        <v>144</v>
      </c>
      <c r="F83">
        <v>2028</v>
      </c>
      <c r="G83" s="12">
        <v>8739.0276677688998</v>
      </c>
      <c r="H83" s="13">
        <v>0.77718759260000003</v>
      </c>
      <c r="I83" s="13">
        <v>0.76769562550000003</v>
      </c>
      <c r="J83" s="13">
        <v>0.75403645340000003</v>
      </c>
      <c r="K83" s="13">
        <v>0</v>
      </c>
      <c r="L83" s="13">
        <v>7.0000000000000007E-2</v>
      </c>
      <c r="M83" s="13">
        <v>0.25</v>
      </c>
    </row>
    <row r="84" spans="2:13" x14ac:dyDescent="0.25">
      <c r="B84" s="14" t="s">
        <v>143</v>
      </c>
      <c r="C84" s="14" t="s">
        <v>134</v>
      </c>
      <c r="D84" t="s">
        <v>46</v>
      </c>
      <c r="E84" s="16" t="s">
        <v>133</v>
      </c>
      <c r="F84">
        <v>2026</v>
      </c>
      <c r="G84" s="12">
        <v>471973</v>
      </c>
      <c r="H84" s="13">
        <v>0</v>
      </c>
      <c r="I84" s="13">
        <v>0</v>
      </c>
      <c r="J84" s="13">
        <v>0</v>
      </c>
      <c r="K84" s="13">
        <v>0</v>
      </c>
      <c r="L84" s="13">
        <v>7.0000000000000007E-2</v>
      </c>
      <c r="M84" s="13">
        <v>0.25</v>
      </c>
    </row>
    <row r="85" spans="2:13" x14ac:dyDescent="0.25">
      <c r="B85" s="14" t="s">
        <v>143</v>
      </c>
      <c r="C85" s="14" t="s">
        <v>134</v>
      </c>
      <c r="D85" t="s">
        <v>46</v>
      </c>
      <c r="E85" s="16" t="s">
        <v>133</v>
      </c>
      <c r="F85">
        <v>2027</v>
      </c>
      <c r="G85" s="12">
        <v>476402.45968300302</v>
      </c>
      <c r="H85" s="13">
        <v>0.77058759259999998</v>
      </c>
      <c r="I85" s="13">
        <v>0.76109562549999998</v>
      </c>
      <c r="J85" s="13">
        <v>0.74743645339999998</v>
      </c>
      <c r="K85" s="13">
        <v>0</v>
      </c>
      <c r="L85" s="13">
        <v>7.0000000000000007E-2</v>
      </c>
      <c r="M85" s="13">
        <v>0.25</v>
      </c>
    </row>
    <row r="86" spans="2:13" x14ac:dyDescent="0.25">
      <c r="B86" s="14" t="s">
        <v>143</v>
      </c>
      <c r="C86" s="14" t="s">
        <v>134</v>
      </c>
      <c r="D86" t="s">
        <v>46</v>
      </c>
      <c r="E86" s="16" t="s">
        <v>133</v>
      </c>
      <c r="F86">
        <v>2028</v>
      </c>
      <c r="G86" s="12">
        <v>483729.571488166</v>
      </c>
      <c r="H86" s="13">
        <v>0.77718759260000003</v>
      </c>
      <c r="I86" s="13">
        <v>0.76769562550000003</v>
      </c>
      <c r="J86" s="13">
        <v>0.75403645340000003</v>
      </c>
      <c r="K86" s="13">
        <v>0</v>
      </c>
      <c r="L86" s="13">
        <v>7.0000000000000007E-2</v>
      </c>
      <c r="M86" s="13">
        <v>0.25</v>
      </c>
    </row>
    <row r="87" spans="2:13" x14ac:dyDescent="0.25">
      <c r="B87" s="14" t="s">
        <v>143</v>
      </c>
      <c r="C87" s="14" t="s">
        <v>134</v>
      </c>
      <c r="D87" t="s">
        <v>46</v>
      </c>
      <c r="E87" s="16" t="s">
        <v>133</v>
      </c>
      <c r="F87">
        <v>2029</v>
      </c>
      <c r="G87" s="12">
        <v>492311.198637572</v>
      </c>
      <c r="H87" s="13">
        <v>0.78378759259999997</v>
      </c>
      <c r="I87" s="13">
        <v>0.77429562549999997</v>
      </c>
      <c r="J87" s="13">
        <v>0.76063645339999997</v>
      </c>
      <c r="K87" s="13">
        <v>0</v>
      </c>
      <c r="L87" s="13">
        <v>7.0000000000000007E-2</v>
      </c>
      <c r="M87" s="13">
        <v>0.25</v>
      </c>
    </row>
    <row r="88" spans="2:13" x14ac:dyDescent="0.25">
      <c r="B88" s="14" t="s">
        <v>143</v>
      </c>
      <c r="C88" s="14" t="s">
        <v>134</v>
      </c>
      <c r="D88" t="s">
        <v>46</v>
      </c>
      <c r="E88" s="16" t="s">
        <v>133</v>
      </c>
      <c r="F88">
        <v>2030</v>
      </c>
      <c r="G88" s="12">
        <v>501636.051393551</v>
      </c>
      <c r="H88" s="13">
        <v>0.79038759260000002</v>
      </c>
      <c r="I88" s="13">
        <v>0.78089562550000002</v>
      </c>
      <c r="J88" s="13">
        <v>0.76723645340000002</v>
      </c>
      <c r="K88" s="13">
        <v>0</v>
      </c>
      <c r="L88" s="13">
        <v>7.0000000000000007E-2</v>
      </c>
      <c r="M88" s="13">
        <v>0.25</v>
      </c>
    </row>
    <row r="89" spans="2:13" x14ac:dyDescent="0.25">
      <c r="B89" s="14" t="s">
        <v>143</v>
      </c>
      <c r="C89" s="14" t="s">
        <v>72</v>
      </c>
      <c r="D89" t="s">
        <v>46</v>
      </c>
      <c r="E89" s="16" t="s">
        <v>144</v>
      </c>
      <c r="F89">
        <v>2027</v>
      </c>
      <c r="G89" s="12">
        <v>8542.5</v>
      </c>
      <c r="H89" s="13">
        <v>0.77426901930000003</v>
      </c>
      <c r="I89" s="13">
        <v>0.76473131329999999</v>
      </c>
      <c r="J89" s="13">
        <v>0.75100632180000004</v>
      </c>
      <c r="K89" s="13"/>
      <c r="L89" s="13">
        <v>7.0000000000000007E-2</v>
      </c>
      <c r="M89" s="13">
        <v>0.25</v>
      </c>
    </row>
    <row r="90" spans="2:13" x14ac:dyDescent="0.25">
      <c r="B90" s="14" t="s">
        <v>143</v>
      </c>
      <c r="C90" s="14" t="s">
        <v>72</v>
      </c>
      <c r="D90" t="s">
        <v>46</v>
      </c>
      <c r="E90" s="16" t="s">
        <v>144</v>
      </c>
      <c r="F90">
        <v>2028</v>
      </c>
      <c r="G90" s="12">
        <v>8585.2124999999996</v>
      </c>
      <c r="H90" s="13">
        <v>0.78086901929999997</v>
      </c>
      <c r="I90" s="13">
        <v>0.77133131330000004</v>
      </c>
      <c r="J90" s="13">
        <v>0.75760632179999998</v>
      </c>
      <c r="K90" s="13"/>
      <c r="L90" s="13">
        <v>7.0000000000000007E-2</v>
      </c>
      <c r="M90" s="13">
        <v>0.25</v>
      </c>
    </row>
    <row r="91" spans="2:13" x14ac:dyDescent="0.25">
      <c r="B91" s="14" t="s">
        <v>143</v>
      </c>
      <c r="C91" s="14" t="s">
        <v>72</v>
      </c>
      <c r="D91" t="s">
        <v>46</v>
      </c>
      <c r="E91" s="16" t="s">
        <v>133</v>
      </c>
      <c r="F91">
        <v>2026</v>
      </c>
      <c r="G91" s="12">
        <v>471973</v>
      </c>
      <c r="H91" s="13">
        <v>0.99</v>
      </c>
      <c r="I91" s="13">
        <v>0.97770000000000001</v>
      </c>
      <c r="J91" s="13">
        <v>0.96</v>
      </c>
      <c r="K91" s="13"/>
      <c r="L91" s="13">
        <v>7.0000000000000007E-2</v>
      </c>
      <c r="M91" s="13">
        <v>0.25</v>
      </c>
    </row>
    <row r="92" spans="2:13" x14ac:dyDescent="0.25">
      <c r="B92" s="14" t="s">
        <v>143</v>
      </c>
      <c r="C92" s="14" t="s">
        <v>72</v>
      </c>
      <c r="D92" t="s">
        <v>46</v>
      </c>
      <c r="E92" s="16" t="s">
        <v>133</v>
      </c>
      <c r="F92">
        <v>2027</v>
      </c>
      <c r="G92" s="12">
        <v>476402.45968300302</v>
      </c>
      <c r="H92" s="13">
        <v>0.77426901930000003</v>
      </c>
      <c r="I92" s="13">
        <v>0.76473131329999999</v>
      </c>
      <c r="J92" s="13">
        <v>0.75100632180000004</v>
      </c>
      <c r="K92" s="13"/>
      <c r="L92" s="13">
        <v>7.0000000000000007E-2</v>
      </c>
      <c r="M92" s="13">
        <v>0.25</v>
      </c>
    </row>
    <row r="93" spans="2:13" x14ac:dyDescent="0.25">
      <c r="B93" s="14" t="s">
        <v>143</v>
      </c>
      <c r="C93" s="14" t="s">
        <v>72</v>
      </c>
      <c r="D93" t="s">
        <v>46</v>
      </c>
      <c r="E93" s="16" t="s">
        <v>133</v>
      </c>
      <c r="F93">
        <v>2028</v>
      </c>
      <c r="G93" s="12">
        <v>483729.571488166</v>
      </c>
      <c r="H93" s="13">
        <v>0.78086901929999997</v>
      </c>
      <c r="I93" s="13">
        <v>0.77133131330000004</v>
      </c>
      <c r="J93" s="13">
        <v>0.75760632179999998</v>
      </c>
      <c r="K93" s="13"/>
      <c r="L93" s="13">
        <v>7.0000000000000007E-2</v>
      </c>
      <c r="M93" s="13">
        <v>0.25</v>
      </c>
    </row>
    <row r="94" spans="2:13" x14ac:dyDescent="0.25">
      <c r="B94" s="14" t="s">
        <v>143</v>
      </c>
      <c r="C94" s="14" t="s">
        <v>72</v>
      </c>
      <c r="D94" t="s">
        <v>46</v>
      </c>
      <c r="E94" s="16" t="s">
        <v>133</v>
      </c>
      <c r="F94">
        <v>2029</v>
      </c>
      <c r="G94" s="12">
        <v>492311.198637572</v>
      </c>
      <c r="H94" s="13">
        <v>0.78746901930000002</v>
      </c>
      <c r="I94" s="13">
        <v>0.77793131329999998</v>
      </c>
      <c r="J94" s="13">
        <v>0.76420632180000003</v>
      </c>
      <c r="K94" s="13"/>
      <c r="L94" s="13">
        <v>0.08</v>
      </c>
      <c r="M94" s="13">
        <v>0.25</v>
      </c>
    </row>
    <row r="95" spans="2:13" x14ac:dyDescent="0.25">
      <c r="B95" s="14" t="s">
        <v>143</v>
      </c>
      <c r="C95" s="14" t="s">
        <v>72</v>
      </c>
      <c r="D95" t="s">
        <v>46</v>
      </c>
      <c r="E95" s="16" t="s">
        <v>133</v>
      </c>
      <c r="F95">
        <v>2030</v>
      </c>
      <c r="G95" s="12">
        <v>501636.051393551</v>
      </c>
      <c r="H95" s="13">
        <v>0.79406901929999996</v>
      </c>
      <c r="I95" s="13">
        <v>0.78453131330000003</v>
      </c>
      <c r="J95" s="13">
        <v>0.77080632179999997</v>
      </c>
      <c r="K95" s="13"/>
      <c r="L95" s="13">
        <v>0.08</v>
      </c>
      <c r="M95" s="13">
        <v>0.25</v>
      </c>
    </row>
    <row r="96" spans="2:13" x14ac:dyDescent="0.25">
      <c r="B96" s="14" t="s">
        <v>143</v>
      </c>
      <c r="C96" s="14" t="s">
        <v>102</v>
      </c>
      <c r="D96" t="s">
        <v>46</v>
      </c>
      <c r="E96" s="16" t="s">
        <v>133</v>
      </c>
      <c r="F96">
        <v>2030</v>
      </c>
      <c r="G96" s="12">
        <v>501636.051393551</v>
      </c>
      <c r="H96" s="13">
        <v>0.46603450159999998</v>
      </c>
      <c r="I96" s="13"/>
      <c r="J96" s="13"/>
      <c r="K96" s="13"/>
      <c r="L96" s="13">
        <v>7.0000000000000007E-2</v>
      </c>
      <c r="M96" s="13">
        <v>0.25</v>
      </c>
    </row>
    <row r="97" spans="2:13" x14ac:dyDescent="0.25">
      <c r="B97" s="14" t="s">
        <v>143</v>
      </c>
      <c r="C97" s="14" t="s">
        <v>15</v>
      </c>
      <c r="D97" t="s">
        <v>136</v>
      </c>
      <c r="E97" s="16" t="s">
        <v>133</v>
      </c>
      <c r="F97">
        <v>2026</v>
      </c>
      <c r="G97" s="12">
        <v>864590</v>
      </c>
      <c r="H97" s="13">
        <v>0.8</v>
      </c>
      <c r="I97" s="13"/>
      <c r="J97" s="13"/>
      <c r="K97" s="13"/>
      <c r="L97" s="13">
        <v>0.05</v>
      </c>
      <c r="M97" s="13">
        <v>0.25</v>
      </c>
    </row>
    <row r="98" spans="2:13" x14ac:dyDescent="0.25">
      <c r="B98" s="14" t="s">
        <v>143</v>
      </c>
      <c r="C98" s="14" t="s">
        <v>15</v>
      </c>
      <c r="D98" t="s">
        <v>136</v>
      </c>
      <c r="E98" s="16" t="s">
        <v>133</v>
      </c>
      <c r="F98">
        <v>2027</v>
      </c>
      <c r="G98" s="12">
        <v>0</v>
      </c>
      <c r="H98" s="13">
        <v>0</v>
      </c>
      <c r="I98" s="13"/>
      <c r="J98" s="13"/>
      <c r="K98" s="13"/>
      <c r="L98" s="13">
        <v>0.05</v>
      </c>
      <c r="M98" s="13">
        <v>0.25</v>
      </c>
    </row>
    <row r="99" spans="2:13" x14ac:dyDescent="0.25">
      <c r="B99" s="14" t="s">
        <v>143</v>
      </c>
      <c r="C99" s="14" t="s">
        <v>15</v>
      </c>
      <c r="D99" t="s">
        <v>46</v>
      </c>
      <c r="E99" s="16" t="s">
        <v>133</v>
      </c>
      <c r="F99">
        <v>2026</v>
      </c>
      <c r="G99" s="12">
        <v>168628</v>
      </c>
      <c r="H99" s="13">
        <v>0.76635999730000004</v>
      </c>
      <c r="I99" s="13"/>
      <c r="J99" s="13"/>
      <c r="K99" s="13"/>
      <c r="L99" s="13">
        <v>0.05</v>
      </c>
      <c r="M99" s="13">
        <v>0.25</v>
      </c>
    </row>
    <row r="100" spans="2:13" x14ac:dyDescent="0.25">
      <c r="B100" s="14" t="s">
        <v>143</v>
      </c>
      <c r="C100" s="14" t="s">
        <v>15</v>
      </c>
      <c r="D100" t="s">
        <v>46</v>
      </c>
      <c r="E100" s="16" t="s">
        <v>133</v>
      </c>
      <c r="F100">
        <v>2027</v>
      </c>
      <c r="G100" s="12">
        <v>168826</v>
      </c>
      <c r="H100" s="13">
        <v>0.76635999730000004</v>
      </c>
      <c r="I100" s="13"/>
      <c r="J100" s="13"/>
      <c r="K100" s="13"/>
      <c r="L100" s="13">
        <v>0.05</v>
      </c>
      <c r="M100" s="13">
        <v>0.25</v>
      </c>
    </row>
    <row r="101" spans="2:13" x14ac:dyDescent="0.25">
      <c r="B101" s="14" t="s">
        <v>143</v>
      </c>
      <c r="C101" s="14" t="s">
        <v>15</v>
      </c>
      <c r="D101" t="s">
        <v>46</v>
      </c>
      <c r="E101" s="16" t="s">
        <v>133</v>
      </c>
      <c r="F101">
        <v>2028</v>
      </c>
      <c r="G101" s="12">
        <v>169952</v>
      </c>
      <c r="H101" s="13">
        <v>0.76635999730000004</v>
      </c>
      <c r="I101" s="13"/>
      <c r="J101" s="13"/>
      <c r="K101" s="13"/>
      <c r="L101" s="13">
        <v>0.05</v>
      </c>
      <c r="M101" s="13">
        <v>0.25</v>
      </c>
    </row>
    <row r="102" spans="2:13" x14ac:dyDescent="0.25">
      <c r="B102" s="14" t="s">
        <v>143</v>
      </c>
      <c r="C102" s="14" t="s">
        <v>15</v>
      </c>
      <c r="D102" t="s">
        <v>46</v>
      </c>
      <c r="E102" s="16" t="s">
        <v>133</v>
      </c>
      <c r="F102">
        <v>2029</v>
      </c>
      <c r="G102" s="12">
        <v>172059</v>
      </c>
      <c r="H102" s="13">
        <v>0.76635999730000004</v>
      </c>
      <c r="I102" s="13"/>
      <c r="J102" s="13"/>
      <c r="K102" s="13"/>
      <c r="L102" s="13">
        <v>0.05</v>
      </c>
      <c r="M102" s="13">
        <v>0.25</v>
      </c>
    </row>
    <row r="103" spans="2:13" x14ac:dyDescent="0.25">
      <c r="B103" s="14" t="s">
        <v>143</v>
      </c>
      <c r="C103" s="14" t="s">
        <v>15</v>
      </c>
      <c r="D103" t="s">
        <v>46</v>
      </c>
      <c r="E103" s="16" t="s">
        <v>133</v>
      </c>
      <c r="F103">
        <v>2030</v>
      </c>
      <c r="G103" s="12">
        <v>173402</v>
      </c>
      <c r="H103" s="13">
        <v>0.76635999730000004</v>
      </c>
      <c r="I103" s="13"/>
      <c r="J103" s="13"/>
      <c r="K103" s="13"/>
      <c r="L103" s="13">
        <v>0.05</v>
      </c>
      <c r="M103" s="13">
        <v>0.25</v>
      </c>
    </row>
    <row r="104" spans="2:13" x14ac:dyDescent="0.25">
      <c r="B104" s="14" t="s">
        <v>143</v>
      </c>
      <c r="C104" s="14" t="s">
        <v>145</v>
      </c>
      <c r="D104" t="s">
        <v>46</v>
      </c>
      <c r="E104" s="16" t="s">
        <v>133</v>
      </c>
      <c r="F104">
        <v>2026</v>
      </c>
      <c r="G104" s="12">
        <v>262245</v>
      </c>
      <c r="H104" s="13">
        <v>0.93</v>
      </c>
      <c r="I104" s="13">
        <v>0.88</v>
      </c>
      <c r="J104" s="13">
        <v>0.86</v>
      </c>
      <c r="K104" s="13">
        <v>0.78</v>
      </c>
      <c r="L104" s="13"/>
      <c r="M104" s="13">
        <v>0.25</v>
      </c>
    </row>
    <row r="105" spans="2:13" x14ac:dyDescent="0.25">
      <c r="B105" s="14" t="s">
        <v>143</v>
      </c>
      <c r="C105" s="14" t="s">
        <v>145</v>
      </c>
      <c r="D105" t="s">
        <v>46</v>
      </c>
      <c r="E105" s="16" t="s">
        <v>133</v>
      </c>
      <c r="F105">
        <v>2027</v>
      </c>
      <c r="G105" s="12">
        <v>267060</v>
      </c>
      <c r="H105" s="13">
        <v>0.93</v>
      </c>
      <c r="I105" s="13">
        <v>0.88</v>
      </c>
      <c r="J105" s="13">
        <v>0.86</v>
      </c>
      <c r="K105" s="13">
        <v>0.78500000000000003</v>
      </c>
      <c r="L105" s="13"/>
      <c r="M105" s="13">
        <v>0.25</v>
      </c>
    </row>
    <row r="106" spans="2:13" x14ac:dyDescent="0.25">
      <c r="B106" s="14" t="s">
        <v>143</v>
      </c>
      <c r="C106" s="14" t="s">
        <v>145</v>
      </c>
      <c r="D106" t="s">
        <v>46</v>
      </c>
      <c r="E106" s="16" t="s">
        <v>133</v>
      </c>
      <c r="F106">
        <v>2028</v>
      </c>
      <c r="G106" s="12">
        <v>357652.4</v>
      </c>
      <c r="H106" s="13">
        <v>0.93</v>
      </c>
      <c r="I106" s="13">
        <v>0.88</v>
      </c>
      <c r="J106" s="13">
        <v>0.86</v>
      </c>
      <c r="K106" s="13">
        <v>0.79</v>
      </c>
      <c r="L106" s="13"/>
      <c r="M106" s="13">
        <v>0.25</v>
      </c>
    </row>
    <row r="107" spans="2:13" x14ac:dyDescent="0.25">
      <c r="B107" s="14" t="s">
        <v>143</v>
      </c>
      <c r="C107" s="14" t="s">
        <v>145</v>
      </c>
      <c r="D107" t="s">
        <v>46</v>
      </c>
      <c r="E107" s="16" t="s">
        <v>133</v>
      </c>
      <c r="F107">
        <v>2029</v>
      </c>
      <c r="G107" s="12">
        <v>363017.18599999999</v>
      </c>
      <c r="H107" s="13">
        <v>0.93</v>
      </c>
      <c r="I107" s="13">
        <v>0.88</v>
      </c>
      <c r="J107" s="13">
        <v>0.86</v>
      </c>
      <c r="K107" s="13">
        <v>0.79500000000000004</v>
      </c>
      <c r="L107" s="13"/>
      <c r="M107" s="13">
        <v>0.25</v>
      </c>
    </row>
    <row r="108" spans="2:13" x14ac:dyDescent="0.25">
      <c r="B108" s="14" t="s">
        <v>143</v>
      </c>
      <c r="C108" s="14" t="s">
        <v>145</v>
      </c>
      <c r="D108" t="s">
        <v>46</v>
      </c>
      <c r="E108" s="16" t="s">
        <v>133</v>
      </c>
      <c r="F108">
        <v>2030</v>
      </c>
      <c r="G108" s="12">
        <v>368462.44378999999</v>
      </c>
      <c r="H108" s="13">
        <v>0.93</v>
      </c>
      <c r="I108" s="13">
        <v>0.88</v>
      </c>
      <c r="J108" s="13">
        <v>0.86</v>
      </c>
      <c r="K108" s="13">
        <v>0.8</v>
      </c>
      <c r="L108" s="13"/>
      <c r="M108" s="13">
        <v>0.25</v>
      </c>
    </row>
    <row r="109" spans="2:13" x14ac:dyDescent="0.25">
      <c r="B109" s="14" t="s">
        <v>143</v>
      </c>
      <c r="C109" s="14" t="s">
        <v>52</v>
      </c>
      <c r="D109" t="s">
        <v>141</v>
      </c>
      <c r="E109" s="16" t="s">
        <v>133</v>
      </c>
      <c r="F109">
        <v>2026</v>
      </c>
      <c r="G109" s="12">
        <v>2249661</v>
      </c>
      <c r="H109" s="13">
        <v>0.95</v>
      </c>
      <c r="I109" s="13"/>
      <c r="J109" s="13"/>
      <c r="K109" s="13"/>
      <c r="L109" s="13"/>
      <c r="M109" s="13"/>
    </row>
    <row r="110" spans="2:13" x14ac:dyDescent="0.25">
      <c r="B110" s="14" t="s">
        <v>143</v>
      </c>
      <c r="C110" s="14" t="s">
        <v>52</v>
      </c>
      <c r="D110" t="s">
        <v>141</v>
      </c>
      <c r="E110" s="16" t="s">
        <v>133</v>
      </c>
      <c r="F110">
        <v>2030</v>
      </c>
      <c r="G110" s="12">
        <v>2057570.4375</v>
      </c>
      <c r="H110" s="13">
        <v>1</v>
      </c>
      <c r="I110" s="13"/>
      <c r="J110" s="13"/>
      <c r="K110" s="13"/>
      <c r="L110" s="13"/>
      <c r="M110" s="13"/>
    </row>
    <row r="111" spans="2:13" x14ac:dyDescent="0.25">
      <c r="B111" s="14" t="s">
        <v>143</v>
      </c>
      <c r="C111" s="14" t="s">
        <v>52</v>
      </c>
      <c r="D111" t="s">
        <v>138</v>
      </c>
      <c r="E111" s="16" t="s">
        <v>144</v>
      </c>
      <c r="F111">
        <v>2027</v>
      </c>
      <c r="G111" s="12">
        <v>8500</v>
      </c>
      <c r="H111" s="13">
        <v>1</v>
      </c>
      <c r="I111" s="13">
        <v>0.81979999999999997</v>
      </c>
      <c r="J111" s="13"/>
      <c r="K111" s="13"/>
      <c r="L111" s="13"/>
      <c r="M111" s="13"/>
    </row>
    <row r="112" spans="2:13" x14ac:dyDescent="0.25">
      <c r="B112" s="14" t="s">
        <v>143</v>
      </c>
      <c r="C112" s="14" t="s">
        <v>52</v>
      </c>
      <c r="D112" t="s">
        <v>138</v>
      </c>
      <c r="E112" s="16" t="s">
        <v>144</v>
      </c>
      <c r="F112">
        <v>2028</v>
      </c>
      <c r="G112" s="12">
        <v>8500</v>
      </c>
      <c r="H112" s="13">
        <v>1</v>
      </c>
      <c r="I112" s="13">
        <v>0.82640000000000002</v>
      </c>
      <c r="J112" s="13"/>
      <c r="K112" s="13"/>
      <c r="L112" s="13"/>
      <c r="M112" s="13"/>
    </row>
    <row r="113" spans="2:13" x14ac:dyDescent="0.25">
      <c r="B113" s="14" t="s">
        <v>143</v>
      </c>
      <c r="C113" s="14" t="s">
        <v>146</v>
      </c>
      <c r="D113" t="s">
        <v>46</v>
      </c>
      <c r="E113" s="16" t="s">
        <v>133</v>
      </c>
      <c r="F113">
        <v>2029</v>
      </c>
      <c r="G113" s="12">
        <v>1323.8559</v>
      </c>
      <c r="H113" s="13"/>
      <c r="I113" s="13"/>
      <c r="J113" s="13"/>
      <c r="K113" s="13"/>
      <c r="L113" s="13"/>
      <c r="M113" s="13">
        <v>0.25</v>
      </c>
    </row>
    <row r="114" spans="2:13" x14ac:dyDescent="0.25">
      <c r="B114" s="14" t="s">
        <v>143</v>
      </c>
      <c r="C114" s="14" t="s">
        <v>146</v>
      </c>
      <c r="D114" t="s">
        <v>46</v>
      </c>
      <c r="E114" s="16" t="s">
        <v>133</v>
      </c>
      <c r="F114">
        <v>2030</v>
      </c>
      <c r="G114" s="12">
        <v>2036.6190904491</v>
      </c>
      <c r="H114" s="13"/>
      <c r="I114" s="13"/>
      <c r="J114" s="13"/>
      <c r="K114" s="13"/>
      <c r="L114" s="13"/>
      <c r="M114" s="13">
        <v>0.25</v>
      </c>
    </row>
    <row r="115" spans="2:13" x14ac:dyDescent="0.25">
      <c r="B115" s="14" t="s">
        <v>143</v>
      </c>
      <c r="C115" s="14" t="s">
        <v>139</v>
      </c>
      <c r="D115" t="s">
        <v>46</v>
      </c>
      <c r="E115" s="16" t="s">
        <v>144</v>
      </c>
      <c r="F115">
        <v>2027</v>
      </c>
      <c r="G115" s="12">
        <v>8542.5</v>
      </c>
      <c r="H115" s="13">
        <v>0.78593039210000004</v>
      </c>
      <c r="I115" s="13">
        <v>0.78199437999999999</v>
      </c>
      <c r="J115" s="13">
        <v>0</v>
      </c>
      <c r="K115" s="13"/>
      <c r="L115" s="13">
        <v>0.04</v>
      </c>
      <c r="M115" s="13">
        <v>0.25</v>
      </c>
    </row>
    <row r="116" spans="2:13" x14ac:dyDescent="0.25">
      <c r="B116" s="14" t="s">
        <v>143</v>
      </c>
      <c r="C116" s="14" t="s">
        <v>139</v>
      </c>
      <c r="D116" t="s">
        <v>46</v>
      </c>
      <c r="E116" s="16" t="s">
        <v>144</v>
      </c>
      <c r="F116">
        <v>2028</v>
      </c>
      <c r="G116" s="12">
        <v>8585.2124999999996</v>
      </c>
      <c r="H116" s="13">
        <v>0.79253039209999998</v>
      </c>
      <c r="I116" s="13">
        <v>0.78859438000000004</v>
      </c>
      <c r="J116" s="13">
        <v>0</v>
      </c>
      <c r="K116" s="13"/>
      <c r="L116" s="13">
        <v>0.04</v>
      </c>
      <c r="M116" s="13">
        <v>0.25</v>
      </c>
    </row>
    <row r="117" spans="2:13" x14ac:dyDescent="0.25">
      <c r="B117" s="14" t="s">
        <v>143</v>
      </c>
      <c r="C117" s="14" t="s">
        <v>139</v>
      </c>
      <c r="D117" t="s">
        <v>46</v>
      </c>
      <c r="E117" s="16" t="s">
        <v>133</v>
      </c>
      <c r="F117">
        <v>2026</v>
      </c>
      <c r="G117" s="12">
        <v>471973</v>
      </c>
      <c r="H117" s="13">
        <v>0.99</v>
      </c>
      <c r="I117" s="13">
        <v>0.98499999999999999</v>
      </c>
      <c r="J117" s="13">
        <v>0</v>
      </c>
      <c r="K117" s="13"/>
      <c r="L117" s="13">
        <v>0.04</v>
      </c>
      <c r="M117" s="13">
        <v>0.25</v>
      </c>
    </row>
    <row r="118" spans="2:13" x14ac:dyDescent="0.25">
      <c r="B118" s="14" t="s">
        <v>143</v>
      </c>
      <c r="C118" s="14" t="s">
        <v>139</v>
      </c>
      <c r="D118" t="s">
        <v>46</v>
      </c>
      <c r="E118" s="16" t="s">
        <v>133</v>
      </c>
      <c r="F118">
        <v>2027</v>
      </c>
      <c r="G118" s="12">
        <v>476402.45968300302</v>
      </c>
      <c r="H118" s="13">
        <v>0.78593039210000004</v>
      </c>
      <c r="I118" s="13">
        <v>0.78199437999999999</v>
      </c>
      <c r="J118" s="13">
        <v>0</v>
      </c>
      <c r="K118" s="13"/>
      <c r="L118" s="13">
        <v>0.04</v>
      </c>
      <c r="M118" s="13">
        <v>0.25</v>
      </c>
    </row>
    <row r="119" spans="2:13" x14ac:dyDescent="0.25">
      <c r="B119" s="14" t="s">
        <v>143</v>
      </c>
      <c r="C119" s="14" t="s">
        <v>139</v>
      </c>
      <c r="D119" t="s">
        <v>46</v>
      </c>
      <c r="E119" s="16" t="s">
        <v>133</v>
      </c>
      <c r="F119">
        <v>2028</v>
      </c>
      <c r="G119" s="12">
        <v>483729.571488166</v>
      </c>
      <c r="H119" s="13">
        <v>0.79253039209999998</v>
      </c>
      <c r="I119" s="13">
        <v>0.78859438000000004</v>
      </c>
      <c r="J119" s="13">
        <v>0</v>
      </c>
      <c r="K119" s="13"/>
      <c r="L119" s="13">
        <v>0.04</v>
      </c>
      <c r="M119" s="13">
        <v>0.25</v>
      </c>
    </row>
    <row r="120" spans="2:13" x14ac:dyDescent="0.25">
      <c r="B120" s="14" t="s">
        <v>143</v>
      </c>
      <c r="C120" s="14" t="s">
        <v>139</v>
      </c>
      <c r="D120" t="s">
        <v>46</v>
      </c>
      <c r="E120" s="16" t="s">
        <v>133</v>
      </c>
      <c r="F120">
        <v>2029</v>
      </c>
      <c r="G120" s="12">
        <v>492311.198637572</v>
      </c>
      <c r="H120" s="13">
        <v>0.79913039210000003</v>
      </c>
      <c r="I120" s="13">
        <v>0.79519437999999998</v>
      </c>
      <c r="J120" s="13">
        <v>0</v>
      </c>
      <c r="K120" s="13"/>
      <c r="L120" s="13">
        <v>0.04</v>
      </c>
      <c r="M120" s="13">
        <v>0.25</v>
      </c>
    </row>
    <row r="121" spans="2:13" x14ac:dyDescent="0.25">
      <c r="B121" s="15" t="s">
        <v>143</v>
      </c>
      <c r="C121" s="14" t="s">
        <v>139</v>
      </c>
      <c r="D121" t="s">
        <v>46</v>
      </c>
      <c r="E121" s="16" t="s">
        <v>133</v>
      </c>
      <c r="F121">
        <v>2030</v>
      </c>
      <c r="G121" s="12">
        <v>501636.051393551</v>
      </c>
      <c r="H121" s="13">
        <v>0.80573039209999997</v>
      </c>
      <c r="I121" s="13">
        <v>0.80179438000000003</v>
      </c>
      <c r="J121" s="13">
        <v>0</v>
      </c>
      <c r="K121" s="13"/>
      <c r="L121" s="13">
        <v>0.04</v>
      </c>
      <c r="M121" s="13">
        <v>0.25</v>
      </c>
    </row>
    <row r="122" spans="2:13" x14ac:dyDescent="0.25">
      <c r="B122" s="14" t="s">
        <v>147</v>
      </c>
      <c r="C122" s="14" t="s">
        <v>132</v>
      </c>
      <c r="D122" t="s">
        <v>46</v>
      </c>
      <c r="E122" s="16" t="s">
        <v>133</v>
      </c>
      <c r="F122">
        <v>2026</v>
      </c>
      <c r="G122" s="12">
        <v>450123</v>
      </c>
      <c r="H122" s="13">
        <v>0.87</v>
      </c>
      <c r="I122" s="13">
        <v>0.83720000000000006</v>
      </c>
      <c r="J122" s="13">
        <v>0.79</v>
      </c>
      <c r="K122" s="13">
        <v>0</v>
      </c>
      <c r="L122" s="13">
        <v>7.0000000000000007E-2</v>
      </c>
      <c r="M122" s="13">
        <v>0.25</v>
      </c>
    </row>
    <row r="123" spans="2:13" x14ac:dyDescent="0.25">
      <c r="B123" s="14" t="s">
        <v>147</v>
      </c>
      <c r="C123" s="14" t="s">
        <v>132</v>
      </c>
      <c r="D123" t="s">
        <v>46</v>
      </c>
      <c r="E123" s="16" t="s">
        <v>133</v>
      </c>
      <c r="F123">
        <v>2027</v>
      </c>
      <c r="G123" s="12">
        <v>455398.120019831</v>
      </c>
      <c r="H123" s="13">
        <v>0.87660000000000005</v>
      </c>
      <c r="I123" s="13">
        <v>0.84379999999999999</v>
      </c>
      <c r="J123" s="13">
        <v>0.79659999999999997</v>
      </c>
      <c r="K123" s="13">
        <v>0</v>
      </c>
      <c r="L123" s="13">
        <v>7.0000000000000007E-2</v>
      </c>
      <c r="M123" s="13">
        <v>0.25</v>
      </c>
    </row>
    <row r="124" spans="2:13" x14ac:dyDescent="0.25">
      <c r="B124" s="14" t="s">
        <v>147</v>
      </c>
      <c r="C124" s="14" t="s">
        <v>132</v>
      </c>
      <c r="D124" t="s">
        <v>46</v>
      </c>
      <c r="E124" s="16" t="s">
        <v>133</v>
      </c>
      <c r="F124">
        <v>2028</v>
      </c>
      <c r="G124" s="12">
        <v>458781.60384173202</v>
      </c>
      <c r="H124" s="13">
        <v>0.44159999999999999</v>
      </c>
      <c r="I124" s="13">
        <v>0.42520000000000002</v>
      </c>
      <c r="J124" s="13">
        <v>0.40160000000000001</v>
      </c>
      <c r="K124" s="13">
        <v>0</v>
      </c>
      <c r="L124" s="13">
        <v>7.0000000000000007E-2</v>
      </c>
      <c r="M124" s="13">
        <v>0.25</v>
      </c>
    </row>
    <row r="125" spans="2:13" x14ac:dyDescent="0.25">
      <c r="B125" s="14" t="s">
        <v>147</v>
      </c>
      <c r="C125" s="14" t="s">
        <v>132</v>
      </c>
      <c r="D125" t="s">
        <v>46</v>
      </c>
      <c r="E125" s="16" t="s">
        <v>133</v>
      </c>
      <c r="F125">
        <v>2029</v>
      </c>
      <c r="G125" s="12">
        <v>464753.74242043903</v>
      </c>
      <c r="H125" s="13">
        <v>0</v>
      </c>
      <c r="I125" s="13">
        <v>0</v>
      </c>
      <c r="J125" s="13">
        <v>0</v>
      </c>
      <c r="K125" s="13">
        <v>0</v>
      </c>
      <c r="L125" s="13">
        <v>7.0000000000000007E-2</v>
      </c>
      <c r="M125" s="13">
        <v>0.25</v>
      </c>
    </row>
    <row r="126" spans="2:13" x14ac:dyDescent="0.25">
      <c r="B126" s="14" t="s">
        <v>147</v>
      </c>
      <c r="C126" s="14" t="s">
        <v>70</v>
      </c>
      <c r="D126" t="s">
        <v>46</v>
      </c>
      <c r="E126" s="16" t="s">
        <v>133</v>
      </c>
      <c r="F126">
        <v>2026</v>
      </c>
      <c r="G126" s="12">
        <v>450123</v>
      </c>
      <c r="H126" s="13">
        <v>0.79</v>
      </c>
      <c r="I126" s="13">
        <v>0</v>
      </c>
      <c r="J126" s="13">
        <v>0</v>
      </c>
      <c r="K126" s="13">
        <v>0</v>
      </c>
      <c r="L126" s="13">
        <v>7.0000000000000007E-2</v>
      </c>
      <c r="M126" s="13">
        <v>0.25</v>
      </c>
    </row>
    <row r="127" spans="2:13" x14ac:dyDescent="0.25">
      <c r="B127" s="14" t="s">
        <v>147</v>
      </c>
      <c r="C127" s="14" t="s">
        <v>70</v>
      </c>
      <c r="D127" t="s">
        <v>46</v>
      </c>
      <c r="E127" s="16" t="s">
        <v>133</v>
      </c>
      <c r="F127">
        <v>2027</v>
      </c>
      <c r="G127" s="12">
        <v>455398.120019831</v>
      </c>
      <c r="H127" s="13">
        <v>0.79659999999999997</v>
      </c>
      <c r="I127" s="13">
        <v>6.6E-3</v>
      </c>
      <c r="J127" s="13">
        <v>6.6E-3</v>
      </c>
      <c r="K127" s="13">
        <v>0</v>
      </c>
      <c r="L127" s="13">
        <v>7.0000000000000007E-2</v>
      </c>
      <c r="M127" s="13">
        <v>0.25</v>
      </c>
    </row>
    <row r="128" spans="2:13" x14ac:dyDescent="0.25">
      <c r="B128" s="14" t="s">
        <v>147</v>
      </c>
      <c r="C128" s="14" t="s">
        <v>70</v>
      </c>
      <c r="D128" t="s">
        <v>46</v>
      </c>
      <c r="E128" s="16" t="s">
        <v>133</v>
      </c>
      <c r="F128">
        <v>2028</v>
      </c>
      <c r="G128" s="12">
        <v>458781.60384173202</v>
      </c>
      <c r="H128" s="13">
        <v>0.40160000000000001</v>
      </c>
      <c r="I128" s="13">
        <v>6.6E-3</v>
      </c>
      <c r="J128" s="13">
        <v>6.6E-3</v>
      </c>
      <c r="K128" s="13">
        <v>0</v>
      </c>
      <c r="L128" s="13">
        <v>7.0000000000000007E-2</v>
      </c>
      <c r="M128" s="13">
        <v>0.25</v>
      </c>
    </row>
    <row r="129" spans="2:13" x14ac:dyDescent="0.25">
      <c r="B129" s="14" t="s">
        <v>147</v>
      </c>
      <c r="C129" s="14" t="s">
        <v>70</v>
      </c>
      <c r="D129" t="s">
        <v>46</v>
      </c>
      <c r="E129" s="16" t="s">
        <v>133</v>
      </c>
      <c r="F129">
        <v>2029</v>
      </c>
      <c r="G129" s="12">
        <v>464753.74242043903</v>
      </c>
      <c r="H129" s="13">
        <v>0</v>
      </c>
      <c r="I129" s="13">
        <v>0</v>
      </c>
      <c r="J129" s="13">
        <v>0</v>
      </c>
      <c r="K129" s="13">
        <v>0</v>
      </c>
      <c r="L129" s="13">
        <v>7.0000000000000007E-2</v>
      </c>
      <c r="M129" s="13">
        <v>0.25</v>
      </c>
    </row>
    <row r="130" spans="2:13" x14ac:dyDescent="0.25">
      <c r="B130" s="14" t="s">
        <v>147</v>
      </c>
      <c r="C130" s="14" t="s">
        <v>134</v>
      </c>
      <c r="D130" t="s">
        <v>46</v>
      </c>
      <c r="E130" s="16" t="s">
        <v>133</v>
      </c>
      <c r="F130">
        <v>2027</v>
      </c>
      <c r="G130" s="12">
        <v>455398.120019831</v>
      </c>
      <c r="H130" s="13">
        <v>0</v>
      </c>
      <c r="I130" s="13">
        <v>0</v>
      </c>
      <c r="J130" s="13">
        <v>0</v>
      </c>
      <c r="K130" s="13">
        <v>0</v>
      </c>
      <c r="L130" s="13">
        <v>7.0000000000000007E-2</v>
      </c>
      <c r="M130" s="13">
        <v>0.25</v>
      </c>
    </row>
    <row r="131" spans="2:13" x14ac:dyDescent="0.25">
      <c r="B131" s="14" t="s">
        <v>147</v>
      </c>
      <c r="C131" s="14" t="s">
        <v>134</v>
      </c>
      <c r="D131" t="s">
        <v>46</v>
      </c>
      <c r="E131" s="16" t="s">
        <v>133</v>
      </c>
      <c r="F131">
        <v>2028</v>
      </c>
      <c r="G131" s="12">
        <v>458781.60384173202</v>
      </c>
      <c r="H131" s="13">
        <v>0.44159999999999999</v>
      </c>
      <c r="I131" s="13">
        <v>0.42520000000000002</v>
      </c>
      <c r="J131" s="13">
        <v>0.40160000000000001</v>
      </c>
      <c r="K131" s="13">
        <v>0</v>
      </c>
      <c r="L131" s="13">
        <v>7.0000000000000007E-2</v>
      </c>
      <c r="M131" s="13">
        <v>0.25</v>
      </c>
    </row>
    <row r="132" spans="2:13" x14ac:dyDescent="0.25">
      <c r="B132" s="14" t="s">
        <v>147</v>
      </c>
      <c r="C132" s="14" t="s">
        <v>134</v>
      </c>
      <c r="D132" t="s">
        <v>46</v>
      </c>
      <c r="E132" s="16" t="s">
        <v>133</v>
      </c>
      <c r="F132">
        <v>2029</v>
      </c>
      <c r="G132" s="12">
        <v>464753.74242043903</v>
      </c>
      <c r="H132" s="13">
        <v>0.88980000000000004</v>
      </c>
      <c r="I132" s="13">
        <v>0.85699999999999998</v>
      </c>
      <c r="J132" s="13">
        <v>0.80979999999999996</v>
      </c>
      <c r="K132" s="13">
        <v>0</v>
      </c>
      <c r="L132" s="13">
        <v>7.0000000000000007E-2</v>
      </c>
      <c r="M132" s="13">
        <v>0.25</v>
      </c>
    </row>
    <row r="133" spans="2:13" x14ac:dyDescent="0.25">
      <c r="B133" s="14" t="s">
        <v>147</v>
      </c>
      <c r="C133" s="14" t="s">
        <v>134</v>
      </c>
      <c r="D133" t="s">
        <v>46</v>
      </c>
      <c r="E133" s="16" t="s">
        <v>133</v>
      </c>
      <c r="F133">
        <v>2030</v>
      </c>
      <c r="G133" s="12">
        <v>469281.51420343702</v>
      </c>
      <c r="H133" s="13">
        <v>0.89639999999999997</v>
      </c>
      <c r="I133" s="13">
        <v>0.86360000000000003</v>
      </c>
      <c r="J133" s="13">
        <v>0.81640000000000001</v>
      </c>
      <c r="K133" s="13">
        <v>0</v>
      </c>
      <c r="L133" s="13">
        <v>7.0000000000000007E-2</v>
      </c>
      <c r="M133" s="13">
        <v>0.25</v>
      </c>
    </row>
    <row r="134" spans="2:13" x14ac:dyDescent="0.25">
      <c r="B134" s="14" t="s">
        <v>147</v>
      </c>
      <c r="C134" s="14" t="s">
        <v>72</v>
      </c>
      <c r="D134" t="s">
        <v>46</v>
      </c>
      <c r="E134" s="16" t="s">
        <v>133</v>
      </c>
      <c r="F134">
        <v>2026</v>
      </c>
      <c r="G134" s="12">
        <v>450123</v>
      </c>
      <c r="H134" s="13">
        <v>0.87</v>
      </c>
      <c r="I134" s="13">
        <v>0.83720000000000006</v>
      </c>
      <c r="J134" s="13">
        <v>0.79</v>
      </c>
      <c r="K134" s="13"/>
      <c r="L134" s="13">
        <v>7.0000000000000007E-2</v>
      </c>
      <c r="M134" s="13">
        <v>0.25</v>
      </c>
    </row>
    <row r="135" spans="2:13" x14ac:dyDescent="0.25">
      <c r="B135" s="14" t="s">
        <v>147</v>
      </c>
      <c r="C135" s="14" t="s">
        <v>72</v>
      </c>
      <c r="D135" t="s">
        <v>46</v>
      </c>
      <c r="E135" s="16" t="s">
        <v>133</v>
      </c>
      <c r="F135">
        <v>2027</v>
      </c>
      <c r="G135" s="12">
        <v>455398.120019831</v>
      </c>
      <c r="H135" s="13">
        <v>0.87660000000000005</v>
      </c>
      <c r="I135" s="13">
        <v>0.84379999999999999</v>
      </c>
      <c r="J135" s="13">
        <v>0.79659999999999997</v>
      </c>
      <c r="K135" s="13"/>
      <c r="L135" s="13">
        <v>7.0000000000000007E-2</v>
      </c>
      <c r="M135" s="13">
        <v>0.25</v>
      </c>
    </row>
    <row r="136" spans="2:13" x14ac:dyDescent="0.25">
      <c r="B136" s="14" t="s">
        <v>147</v>
      </c>
      <c r="C136" s="14" t="s">
        <v>72</v>
      </c>
      <c r="D136" t="s">
        <v>46</v>
      </c>
      <c r="E136" s="16" t="s">
        <v>133</v>
      </c>
      <c r="F136">
        <v>2028</v>
      </c>
      <c r="G136" s="12">
        <v>458781.60384173202</v>
      </c>
      <c r="H136" s="13">
        <v>0.88319999999999999</v>
      </c>
      <c r="I136" s="13">
        <v>0.85040000000000004</v>
      </c>
      <c r="J136" s="13">
        <v>0.80320000000000003</v>
      </c>
      <c r="K136" s="13"/>
      <c r="L136" s="13">
        <v>7.0000000000000007E-2</v>
      </c>
      <c r="M136" s="13">
        <v>0.25</v>
      </c>
    </row>
    <row r="137" spans="2:13" x14ac:dyDescent="0.25">
      <c r="B137" s="14" t="s">
        <v>147</v>
      </c>
      <c r="C137" s="14" t="s">
        <v>72</v>
      </c>
      <c r="D137" t="s">
        <v>46</v>
      </c>
      <c r="E137" s="16" t="s">
        <v>133</v>
      </c>
      <c r="F137">
        <v>2029</v>
      </c>
      <c r="G137" s="12">
        <v>464753.74242043903</v>
      </c>
      <c r="H137" s="13">
        <v>0.88980000000000004</v>
      </c>
      <c r="I137" s="13">
        <v>0.85699999999999998</v>
      </c>
      <c r="J137" s="13">
        <v>0.80979999999999996</v>
      </c>
      <c r="K137" s="13"/>
      <c r="L137" s="13">
        <v>7.0000000000000007E-2</v>
      </c>
      <c r="M137" s="13">
        <v>0.25</v>
      </c>
    </row>
    <row r="138" spans="2:13" x14ac:dyDescent="0.25">
      <c r="B138" s="14" t="s">
        <v>147</v>
      </c>
      <c r="C138" s="14" t="s">
        <v>72</v>
      </c>
      <c r="D138" t="s">
        <v>46</v>
      </c>
      <c r="E138" s="16" t="s">
        <v>133</v>
      </c>
      <c r="F138">
        <v>2030</v>
      </c>
      <c r="G138" s="12">
        <v>469281.51420343702</v>
      </c>
      <c r="H138" s="13">
        <v>0.89639999999999997</v>
      </c>
      <c r="I138" s="13">
        <v>0.86360000000000003</v>
      </c>
      <c r="J138" s="13">
        <v>0.81640000000000001</v>
      </c>
      <c r="K138" s="13"/>
      <c r="L138" s="13">
        <v>7.0000000000000007E-2</v>
      </c>
      <c r="M138" s="13">
        <v>0.25</v>
      </c>
    </row>
    <row r="139" spans="2:13" x14ac:dyDescent="0.25">
      <c r="B139" s="14" t="s">
        <v>147</v>
      </c>
      <c r="C139" s="14" t="s">
        <v>15</v>
      </c>
      <c r="D139" t="s">
        <v>136</v>
      </c>
      <c r="E139" s="16" t="s">
        <v>133</v>
      </c>
      <c r="F139">
        <v>2026</v>
      </c>
      <c r="G139" s="12">
        <v>0</v>
      </c>
      <c r="H139" s="13">
        <v>0</v>
      </c>
      <c r="I139" s="13"/>
      <c r="J139" s="13"/>
      <c r="K139" s="13"/>
      <c r="L139" s="13">
        <v>0.05</v>
      </c>
      <c r="M139" s="13">
        <v>0.25</v>
      </c>
    </row>
    <row r="140" spans="2:13" x14ac:dyDescent="0.25">
      <c r="B140" s="14" t="s">
        <v>147</v>
      </c>
      <c r="C140" s="14" t="s">
        <v>15</v>
      </c>
      <c r="D140" t="s">
        <v>46</v>
      </c>
      <c r="E140" s="16" t="s">
        <v>133</v>
      </c>
      <c r="F140">
        <v>2026</v>
      </c>
      <c r="G140" s="12">
        <v>154605</v>
      </c>
      <c r="H140" s="13">
        <v>0.56134249560000005</v>
      </c>
      <c r="I140" s="13"/>
      <c r="J140" s="13"/>
      <c r="K140" s="13"/>
      <c r="L140" s="13">
        <v>0.1</v>
      </c>
      <c r="M140" s="13">
        <v>0.25</v>
      </c>
    </row>
    <row r="141" spans="2:13" x14ac:dyDescent="0.25">
      <c r="B141" s="14" t="s">
        <v>147</v>
      </c>
      <c r="C141" s="14" t="s">
        <v>15</v>
      </c>
      <c r="D141" t="s">
        <v>46</v>
      </c>
      <c r="E141" s="16" t="s">
        <v>133</v>
      </c>
      <c r="F141">
        <v>2027</v>
      </c>
      <c r="G141" s="12">
        <v>156140</v>
      </c>
      <c r="H141" s="13">
        <v>0.56134249560000005</v>
      </c>
      <c r="I141" s="13"/>
      <c r="J141" s="13"/>
      <c r="K141" s="13"/>
      <c r="L141" s="13">
        <v>0.1</v>
      </c>
      <c r="M141" s="13">
        <v>0.25</v>
      </c>
    </row>
    <row r="142" spans="2:13" x14ac:dyDescent="0.25">
      <c r="B142" s="14" t="s">
        <v>147</v>
      </c>
      <c r="C142" s="14" t="s">
        <v>15</v>
      </c>
      <c r="D142" t="s">
        <v>46</v>
      </c>
      <c r="E142" s="16" t="s">
        <v>133</v>
      </c>
      <c r="F142">
        <v>2028</v>
      </c>
      <c r="G142" s="12">
        <v>157039</v>
      </c>
      <c r="H142" s="13">
        <v>0.56134249560000005</v>
      </c>
      <c r="I142" s="13"/>
      <c r="J142" s="13"/>
      <c r="K142" s="13"/>
      <c r="L142" s="13">
        <v>0.1</v>
      </c>
      <c r="M142" s="13">
        <v>0.25</v>
      </c>
    </row>
    <row r="143" spans="2:13" x14ac:dyDescent="0.25">
      <c r="B143" s="14" t="s">
        <v>147</v>
      </c>
      <c r="C143" s="14" t="s">
        <v>15</v>
      </c>
      <c r="D143" t="s">
        <v>46</v>
      </c>
      <c r="E143" s="16" t="s">
        <v>133</v>
      </c>
      <c r="F143">
        <v>2029</v>
      </c>
      <c r="G143" s="12">
        <v>158096</v>
      </c>
      <c r="H143" s="13">
        <v>0.56134249560000005</v>
      </c>
      <c r="I143" s="13"/>
      <c r="J143" s="13"/>
      <c r="K143" s="13"/>
      <c r="L143" s="13">
        <v>0.1</v>
      </c>
      <c r="M143" s="13">
        <v>0.25</v>
      </c>
    </row>
    <row r="144" spans="2:13" x14ac:dyDescent="0.25">
      <c r="B144" s="14" t="s">
        <v>147</v>
      </c>
      <c r="C144" s="14" t="s">
        <v>15</v>
      </c>
      <c r="D144" t="s">
        <v>46</v>
      </c>
      <c r="E144" s="16" t="s">
        <v>133</v>
      </c>
      <c r="F144">
        <v>2030</v>
      </c>
      <c r="G144" s="12">
        <v>159746</v>
      </c>
      <c r="H144" s="13">
        <v>0.56134249560000005</v>
      </c>
      <c r="I144" s="13"/>
      <c r="J144" s="13"/>
      <c r="K144" s="13"/>
      <c r="L144" s="13">
        <v>0.1</v>
      </c>
      <c r="M144" s="13">
        <v>0.25</v>
      </c>
    </row>
    <row r="145" spans="2:13" x14ac:dyDescent="0.25">
      <c r="B145" s="14" t="s">
        <v>147</v>
      </c>
      <c r="C145" s="14" t="s">
        <v>145</v>
      </c>
      <c r="D145" t="s">
        <v>46</v>
      </c>
      <c r="E145" s="16" t="s">
        <v>133</v>
      </c>
      <c r="F145">
        <v>2026</v>
      </c>
      <c r="G145" s="12">
        <v>224135</v>
      </c>
      <c r="H145" s="13">
        <v>0.72275428409999998</v>
      </c>
      <c r="I145" s="13">
        <v>0.68775428409999995</v>
      </c>
      <c r="J145" s="13">
        <v>0.58956078290000002</v>
      </c>
      <c r="K145" s="13">
        <v>0.499331256</v>
      </c>
      <c r="L145" s="13"/>
      <c r="M145" s="13">
        <v>0.25</v>
      </c>
    </row>
    <row r="146" spans="2:13" x14ac:dyDescent="0.25">
      <c r="B146" s="14" t="s">
        <v>147</v>
      </c>
      <c r="C146" s="14" t="s">
        <v>145</v>
      </c>
      <c r="D146" t="s">
        <v>46</v>
      </c>
      <c r="E146" s="16" t="s">
        <v>133</v>
      </c>
      <c r="F146">
        <v>2027</v>
      </c>
      <c r="G146" s="12">
        <v>227497.02499999999</v>
      </c>
      <c r="H146" s="13">
        <v>0.72775428409999998</v>
      </c>
      <c r="I146" s="13">
        <v>0.69275428409999995</v>
      </c>
      <c r="J146" s="13">
        <v>0.59456078290000003</v>
      </c>
      <c r="K146" s="13">
        <v>0.50433125599999995</v>
      </c>
      <c r="L146" s="13"/>
      <c r="M146" s="13">
        <v>0.25</v>
      </c>
    </row>
    <row r="147" spans="2:13" x14ac:dyDescent="0.25">
      <c r="B147" s="14" t="s">
        <v>147</v>
      </c>
      <c r="C147" s="14" t="s">
        <v>145</v>
      </c>
      <c r="D147" t="s">
        <v>46</v>
      </c>
      <c r="E147" s="16" t="s">
        <v>133</v>
      </c>
      <c r="F147">
        <v>2028</v>
      </c>
      <c r="G147" s="12">
        <v>353807.685</v>
      </c>
      <c r="H147" s="13">
        <v>0.73275428409999999</v>
      </c>
      <c r="I147" s="13">
        <v>0.69775428409999996</v>
      </c>
      <c r="J147" s="13">
        <v>0.59956078290000003</v>
      </c>
      <c r="K147" s="13">
        <v>0.50933125599999995</v>
      </c>
      <c r="L147" s="13"/>
      <c r="M147" s="13">
        <v>0.25</v>
      </c>
    </row>
    <row r="148" spans="2:13" x14ac:dyDescent="0.25">
      <c r="B148" s="14" t="s">
        <v>147</v>
      </c>
      <c r="C148" s="14" t="s">
        <v>145</v>
      </c>
      <c r="D148" t="s">
        <v>46</v>
      </c>
      <c r="E148" s="16" t="s">
        <v>133</v>
      </c>
      <c r="F148">
        <v>2029</v>
      </c>
      <c r="G148" s="12">
        <v>359114.80027499999</v>
      </c>
      <c r="H148" s="13">
        <v>0.73775428409999999</v>
      </c>
      <c r="I148" s="13">
        <v>0.70275428409999996</v>
      </c>
      <c r="J148" s="13">
        <v>0.60456078290000004</v>
      </c>
      <c r="K148" s="13">
        <v>0.51433125599999996</v>
      </c>
      <c r="L148" s="13"/>
      <c r="M148" s="13">
        <v>0.25</v>
      </c>
    </row>
    <row r="149" spans="2:13" x14ac:dyDescent="0.25">
      <c r="B149" s="14" t="s">
        <v>147</v>
      </c>
      <c r="C149" s="14" t="s">
        <v>145</v>
      </c>
      <c r="D149" t="s">
        <v>46</v>
      </c>
      <c r="E149" s="16" t="s">
        <v>133</v>
      </c>
      <c r="F149">
        <v>2030</v>
      </c>
      <c r="G149" s="12">
        <v>364501.522279125</v>
      </c>
      <c r="H149" s="13">
        <v>0.7427542841</v>
      </c>
      <c r="I149" s="13">
        <v>0.70775428409999996</v>
      </c>
      <c r="J149" s="13">
        <v>0.60956078290000004</v>
      </c>
      <c r="K149" s="13">
        <v>0.51933125599999996</v>
      </c>
      <c r="L149" s="13"/>
      <c r="M149" s="13">
        <v>0.25</v>
      </c>
    </row>
    <row r="150" spans="2:13" x14ac:dyDescent="0.25">
      <c r="B150" s="14" t="s">
        <v>147</v>
      </c>
      <c r="C150" s="14" t="s">
        <v>38</v>
      </c>
      <c r="D150" t="s">
        <v>46</v>
      </c>
      <c r="E150" s="16" t="s">
        <v>133</v>
      </c>
      <c r="F150">
        <v>2026</v>
      </c>
      <c r="G150" s="12">
        <v>450123</v>
      </c>
      <c r="H150" s="13">
        <v>0.74</v>
      </c>
      <c r="I150" s="13"/>
      <c r="J150" s="13"/>
      <c r="K150" s="13"/>
      <c r="L150" s="13">
        <v>0.2</v>
      </c>
      <c r="M150" s="13">
        <v>0.25</v>
      </c>
    </row>
    <row r="151" spans="2:13" x14ac:dyDescent="0.25">
      <c r="B151" s="14" t="s">
        <v>147</v>
      </c>
      <c r="C151" s="14" t="s">
        <v>38</v>
      </c>
      <c r="D151" t="s">
        <v>46</v>
      </c>
      <c r="E151" s="16" t="s">
        <v>133</v>
      </c>
      <c r="F151">
        <v>2027</v>
      </c>
      <c r="G151" s="12">
        <v>457621</v>
      </c>
      <c r="H151" s="13">
        <v>0.75</v>
      </c>
      <c r="I151" s="13"/>
      <c r="J151" s="13"/>
      <c r="K151" s="13"/>
      <c r="L151" s="13">
        <v>0.2</v>
      </c>
      <c r="M151" s="13">
        <v>0.25</v>
      </c>
    </row>
    <row r="152" spans="2:13" x14ac:dyDescent="0.25">
      <c r="B152" s="14" t="s">
        <v>147</v>
      </c>
      <c r="C152" s="14" t="s">
        <v>38</v>
      </c>
      <c r="D152" t="s">
        <v>46</v>
      </c>
      <c r="E152" s="16" t="s">
        <v>133</v>
      </c>
      <c r="F152">
        <v>2028</v>
      </c>
      <c r="G152" s="12">
        <v>461020.99921386299</v>
      </c>
      <c r="H152" s="13">
        <v>0.75660000000000005</v>
      </c>
      <c r="I152" s="13"/>
      <c r="J152" s="13"/>
      <c r="K152" s="13"/>
      <c r="L152" s="13">
        <v>0.2</v>
      </c>
      <c r="M152" s="13">
        <v>0.25</v>
      </c>
    </row>
    <row r="153" spans="2:13" x14ac:dyDescent="0.25">
      <c r="B153" s="14" t="s">
        <v>147</v>
      </c>
      <c r="C153" s="14" t="s">
        <v>38</v>
      </c>
      <c r="D153" t="s">
        <v>46</v>
      </c>
      <c r="E153" s="16" t="s">
        <v>133</v>
      </c>
      <c r="F153">
        <v>2029</v>
      </c>
      <c r="G153" s="12">
        <v>467022.28887313401</v>
      </c>
      <c r="H153" s="13">
        <v>0.76319999999999999</v>
      </c>
      <c r="I153" s="13"/>
      <c r="J153" s="13"/>
      <c r="K153" s="13"/>
      <c r="L153" s="13">
        <v>0.2</v>
      </c>
      <c r="M153" s="13">
        <v>0.25</v>
      </c>
    </row>
    <row r="154" spans="2:13" x14ac:dyDescent="0.25">
      <c r="B154" s="14" t="s">
        <v>147</v>
      </c>
      <c r="C154" s="14" t="s">
        <v>38</v>
      </c>
      <c r="D154" t="s">
        <v>46</v>
      </c>
      <c r="E154" s="16" t="s">
        <v>133</v>
      </c>
      <c r="F154">
        <v>2030</v>
      </c>
      <c r="G154" s="12">
        <v>471572.16152306303</v>
      </c>
      <c r="H154" s="13">
        <v>0.76980000000000004</v>
      </c>
      <c r="I154" s="13"/>
      <c r="J154" s="13"/>
      <c r="K154" s="13"/>
      <c r="L154" s="13">
        <v>0.2</v>
      </c>
      <c r="M154" s="13">
        <v>0.25</v>
      </c>
    </row>
    <row r="155" spans="2:13" x14ac:dyDescent="0.25">
      <c r="B155" s="14" t="s">
        <v>147</v>
      </c>
      <c r="C155" s="14" t="s">
        <v>52</v>
      </c>
      <c r="D155" t="s">
        <v>141</v>
      </c>
      <c r="E155" s="16" t="s">
        <v>133</v>
      </c>
      <c r="F155">
        <v>2027</v>
      </c>
      <c r="G155" s="12">
        <v>3874961.8762161499</v>
      </c>
      <c r="H155" s="13">
        <v>0.85</v>
      </c>
      <c r="I155" s="13"/>
      <c r="J155" s="13"/>
      <c r="K155" s="13"/>
      <c r="L155" s="13"/>
      <c r="M155" s="13"/>
    </row>
    <row r="156" spans="2:13" x14ac:dyDescent="0.25">
      <c r="B156" s="14" t="s">
        <v>147</v>
      </c>
      <c r="C156" s="14" t="s">
        <v>52</v>
      </c>
      <c r="D156" t="s">
        <v>141</v>
      </c>
      <c r="E156" s="16" t="s">
        <v>133</v>
      </c>
      <c r="F156">
        <v>2029</v>
      </c>
      <c r="G156" s="12">
        <v>2080445.0625</v>
      </c>
      <c r="H156" s="13">
        <v>0.85</v>
      </c>
      <c r="I156" s="13"/>
      <c r="J156" s="13"/>
      <c r="K156" s="13"/>
      <c r="L156" s="13"/>
      <c r="M156" s="13"/>
    </row>
    <row r="157" spans="2:13" x14ac:dyDescent="0.25">
      <c r="B157" s="14" t="s">
        <v>147</v>
      </c>
      <c r="C157" s="14" t="s">
        <v>52</v>
      </c>
      <c r="D157" t="s">
        <v>138</v>
      </c>
      <c r="E157" s="16" t="s">
        <v>133</v>
      </c>
      <c r="F157">
        <v>2026</v>
      </c>
      <c r="G157" s="12">
        <v>450123</v>
      </c>
      <c r="H157" s="13">
        <v>0.71</v>
      </c>
      <c r="I157" s="13">
        <v>0.61</v>
      </c>
      <c r="J157" s="13"/>
      <c r="K157" s="13"/>
      <c r="L157" s="13"/>
      <c r="M157" s="13"/>
    </row>
    <row r="158" spans="2:13" x14ac:dyDescent="0.25">
      <c r="B158" s="14" t="s">
        <v>147</v>
      </c>
      <c r="C158" s="14" t="s">
        <v>52</v>
      </c>
      <c r="D158" t="s">
        <v>138</v>
      </c>
      <c r="E158" s="16" t="s">
        <v>133</v>
      </c>
      <c r="F158">
        <v>2027</v>
      </c>
      <c r="G158" s="12">
        <v>457621</v>
      </c>
      <c r="H158" s="13">
        <v>0.72</v>
      </c>
      <c r="I158" s="13">
        <v>0.64170000000000005</v>
      </c>
      <c r="J158" s="13"/>
      <c r="K158" s="13"/>
      <c r="L158" s="13"/>
      <c r="M158" s="13"/>
    </row>
    <row r="159" spans="2:13" x14ac:dyDescent="0.25">
      <c r="B159" s="14" t="s">
        <v>147</v>
      </c>
      <c r="C159" s="14" t="s">
        <v>52</v>
      </c>
      <c r="D159" t="s">
        <v>138</v>
      </c>
      <c r="E159" s="16" t="s">
        <v>133</v>
      </c>
      <c r="F159">
        <v>2028</v>
      </c>
      <c r="G159" s="12">
        <v>461021</v>
      </c>
      <c r="H159" s="13">
        <v>0.72</v>
      </c>
      <c r="I159" s="13">
        <v>0.64170000000000005</v>
      </c>
      <c r="J159" s="13"/>
      <c r="K159" s="13"/>
      <c r="L159" s="13"/>
      <c r="M159" s="13"/>
    </row>
    <row r="160" spans="2:13" x14ac:dyDescent="0.25">
      <c r="B160" s="14" t="s">
        <v>147</v>
      </c>
      <c r="C160" s="14" t="s">
        <v>52</v>
      </c>
      <c r="D160" t="s">
        <v>138</v>
      </c>
      <c r="E160" s="16" t="s">
        <v>133</v>
      </c>
      <c r="F160">
        <v>2029</v>
      </c>
      <c r="G160" s="12">
        <v>467022</v>
      </c>
      <c r="H160" s="13">
        <v>0.72</v>
      </c>
      <c r="I160" s="13">
        <v>0.64170000000000005</v>
      </c>
      <c r="J160" s="13"/>
      <c r="K160" s="13"/>
      <c r="L160" s="13"/>
      <c r="M160" s="13"/>
    </row>
    <row r="161" spans="2:13" x14ac:dyDescent="0.25">
      <c r="B161" s="14" t="s">
        <v>147</v>
      </c>
      <c r="C161" s="14" t="s">
        <v>52</v>
      </c>
      <c r="D161" t="s">
        <v>138</v>
      </c>
      <c r="E161" s="16" t="s">
        <v>133</v>
      </c>
      <c r="F161">
        <v>2030</v>
      </c>
      <c r="G161" s="12">
        <v>471572</v>
      </c>
      <c r="H161" s="13">
        <v>0.72</v>
      </c>
      <c r="I161" s="13">
        <v>0.64170000000000005</v>
      </c>
      <c r="J161" s="13"/>
      <c r="K161" s="13"/>
      <c r="L161" s="13"/>
      <c r="M161" s="13"/>
    </row>
    <row r="162" spans="2:13" x14ac:dyDescent="0.25">
      <c r="B162" s="14" t="s">
        <v>147</v>
      </c>
      <c r="C162" s="14" t="s">
        <v>146</v>
      </c>
      <c r="D162" t="s">
        <v>46</v>
      </c>
      <c r="E162" s="16" t="s">
        <v>133</v>
      </c>
      <c r="F162">
        <v>2029</v>
      </c>
      <c r="G162" s="12">
        <v>13910.7019316511</v>
      </c>
      <c r="H162" s="13"/>
      <c r="I162" s="13"/>
      <c r="J162" s="13"/>
      <c r="K162" s="13"/>
      <c r="L162" s="13"/>
      <c r="M162" s="13">
        <v>0.25</v>
      </c>
    </row>
    <row r="163" spans="2:13" x14ac:dyDescent="0.25">
      <c r="B163" s="14" t="s">
        <v>147</v>
      </c>
      <c r="C163" s="14" t="s">
        <v>146</v>
      </c>
      <c r="D163" t="s">
        <v>46</v>
      </c>
      <c r="E163" s="16" t="s">
        <v>133</v>
      </c>
      <c r="F163">
        <v>2030</v>
      </c>
      <c r="G163" s="12">
        <v>19669.550900118</v>
      </c>
      <c r="H163" s="13"/>
      <c r="I163" s="13"/>
      <c r="J163" s="13"/>
      <c r="K163" s="13"/>
      <c r="L163" s="13"/>
      <c r="M163" s="13">
        <v>0.25</v>
      </c>
    </row>
    <row r="164" spans="2:13" x14ac:dyDescent="0.25">
      <c r="B164" s="14" t="s">
        <v>147</v>
      </c>
      <c r="C164" s="14" t="s">
        <v>139</v>
      </c>
      <c r="D164" t="s">
        <v>46</v>
      </c>
      <c r="E164" s="16" t="s">
        <v>133</v>
      </c>
      <c r="F164">
        <v>2026</v>
      </c>
      <c r="G164" s="12">
        <v>450123</v>
      </c>
      <c r="H164" s="13">
        <v>0.87</v>
      </c>
      <c r="I164" s="13">
        <v>0.83720000000000006</v>
      </c>
      <c r="J164" s="13">
        <v>0.79</v>
      </c>
      <c r="K164" s="13"/>
      <c r="L164" s="13">
        <v>7.0000000000000007E-2</v>
      </c>
      <c r="M164" s="13">
        <v>0.25</v>
      </c>
    </row>
    <row r="165" spans="2:13" x14ac:dyDescent="0.25">
      <c r="B165" s="14" t="s">
        <v>147</v>
      </c>
      <c r="C165" s="14" t="s">
        <v>139</v>
      </c>
      <c r="D165" t="s">
        <v>46</v>
      </c>
      <c r="E165" s="16" t="s">
        <v>133</v>
      </c>
      <c r="F165">
        <v>2027</v>
      </c>
      <c r="G165" s="12">
        <v>455398.120019831</v>
      </c>
      <c r="H165" s="13">
        <v>0.87660000000000005</v>
      </c>
      <c r="I165" s="13">
        <v>0.84379999999999999</v>
      </c>
      <c r="J165" s="13">
        <v>0.79659999999999997</v>
      </c>
      <c r="K165" s="13"/>
      <c r="L165" s="13">
        <v>7.0000000000000007E-2</v>
      </c>
      <c r="M165" s="13">
        <v>0.25</v>
      </c>
    </row>
    <row r="166" spans="2:13" x14ac:dyDescent="0.25">
      <c r="B166" s="14" t="s">
        <v>147</v>
      </c>
      <c r="C166" s="14" t="s">
        <v>139</v>
      </c>
      <c r="D166" t="s">
        <v>46</v>
      </c>
      <c r="E166" s="16" t="s">
        <v>133</v>
      </c>
      <c r="F166">
        <v>2028</v>
      </c>
      <c r="G166" s="12">
        <v>458781.60384173202</v>
      </c>
      <c r="H166" s="13">
        <v>0.88319999999999999</v>
      </c>
      <c r="I166" s="13">
        <v>0.85040000000000004</v>
      </c>
      <c r="J166" s="13">
        <v>0.80320000000000003</v>
      </c>
      <c r="K166" s="13"/>
      <c r="L166" s="13">
        <v>7.0000000000000007E-2</v>
      </c>
      <c r="M166" s="13">
        <v>0.25</v>
      </c>
    </row>
    <row r="167" spans="2:13" x14ac:dyDescent="0.25">
      <c r="B167" s="14" t="s">
        <v>147</v>
      </c>
      <c r="C167" s="14" t="s">
        <v>139</v>
      </c>
      <c r="D167" t="s">
        <v>46</v>
      </c>
      <c r="E167" s="16" t="s">
        <v>133</v>
      </c>
      <c r="F167">
        <v>2029</v>
      </c>
      <c r="G167" s="12">
        <v>464753.74242043903</v>
      </c>
      <c r="H167" s="13">
        <v>0.88980000000000004</v>
      </c>
      <c r="I167" s="13">
        <v>0.85699999999999998</v>
      </c>
      <c r="J167" s="13">
        <v>0.80979999999999996</v>
      </c>
      <c r="K167" s="13"/>
      <c r="L167" s="13">
        <v>7.0000000000000007E-2</v>
      </c>
      <c r="M167" s="13">
        <v>0.25</v>
      </c>
    </row>
    <row r="168" spans="2:13" x14ac:dyDescent="0.25">
      <c r="B168" s="14" t="s">
        <v>147</v>
      </c>
      <c r="C168" s="14" t="s">
        <v>139</v>
      </c>
      <c r="D168" t="s">
        <v>46</v>
      </c>
      <c r="E168" s="16" t="s">
        <v>133</v>
      </c>
      <c r="F168">
        <v>2030</v>
      </c>
      <c r="G168" s="12">
        <v>469281.51420343702</v>
      </c>
      <c r="H168" s="13">
        <v>0.89639999999999997</v>
      </c>
      <c r="I168" s="13">
        <v>0.86360000000000003</v>
      </c>
      <c r="J168" s="13">
        <v>0.81640000000000001</v>
      </c>
      <c r="K168" s="13"/>
      <c r="L168" s="13">
        <v>7.0000000000000007E-2</v>
      </c>
      <c r="M168" s="13">
        <v>0.25</v>
      </c>
    </row>
    <row r="169" spans="2:13" x14ac:dyDescent="0.25">
      <c r="B169" s="14" t="s">
        <v>147</v>
      </c>
      <c r="C169" s="14" t="s">
        <v>74</v>
      </c>
      <c r="D169" t="s">
        <v>46</v>
      </c>
      <c r="E169" s="16" t="s">
        <v>133</v>
      </c>
      <c r="F169">
        <v>2026</v>
      </c>
      <c r="G169" s="12">
        <v>450123</v>
      </c>
      <c r="H169" s="13">
        <v>0.74</v>
      </c>
      <c r="I169" s="13"/>
      <c r="J169" s="13"/>
      <c r="K169" s="13"/>
      <c r="L169" s="13">
        <v>0.2</v>
      </c>
      <c r="M169" s="13">
        <v>0.25</v>
      </c>
    </row>
    <row r="170" spans="2:13" x14ac:dyDescent="0.25">
      <c r="B170" s="14" t="s">
        <v>147</v>
      </c>
      <c r="C170" s="14" t="s">
        <v>74</v>
      </c>
      <c r="D170" t="s">
        <v>46</v>
      </c>
      <c r="E170" s="16" t="s">
        <v>133</v>
      </c>
      <c r="F170">
        <v>2027</v>
      </c>
      <c r="G170" s="12">
        <v>457621</v>
      </c>
      <c r="H170" s="13">
        <v>0.75</v>
      </c>
      <c r="I170" s="13"/>
      <c r="J170" s="13"/>
      <c r="K170" s="13"/>
      <c r="L170" s="13">
        <v>0.2</v>
      </c>
      <c r="M170" s="13">
        <v>0.25</v>
      </c>
    </row>
    <row r="171" spans="2:13" x14ac:dyDescent="0.25">
      <c r="B171" s="14" t="s">
        <v>147</v>
      </c>
      <c r="C171" s="14" t="s">
        <v>74</v>
      </c>
      <c r="D171" t="s">
        <v>46</v>
      </c>
      <c r="E171" s="16" t="s">
        <v>133</v>
      </c>
      <c r="F171">
        <v>2028</v>
      </c>
      <c r="G171" s="12">
        <v>461021</v>
      </c>
      <c r="H171" s="13">
        <v>0.75</v>
      </c>
      <c r="I171" s="13"/>
      <c r="J171" s="13"/>
      <c r="K171" s="13"/>
      <c r="L171" s="13">
        <v>0.2</v>
      </c>
      <c r="M171" s="13">
        <v>0.25</v>
      </c>
    </row>
    <row r="172" spans="2:13" x14ac:dyDescent="0.25">
      <c r="B172" s="14" t="s">
        <v>147</v>
      </c>
      <c r="C172" s="14" t="s">
        <v>74</v>
      </c>
      <c r="D172" t="s">
        <v>46</v>
      </c>
      <c r="E172" s="16" t="s">
        <v>133</v>
      </c>
      <c r="F172">
        <v>2029</v>
      </c>
      <c r="G172" s="12">
        <v>467022</v>
      </c>
      <c r="H172" s="13">
        <v>0.75</v>
      </c>
      <c r="I172" s="13"/>
      <c r="J172" s="13"/>
      <c r="K172" s="13"/>
      <c r="L172" s="13">
        <v>0.2</v>
      </c>
      <c r="M172" s="13">
        <v>0.25</v>
      </c>
    </row>
    <row r="173" spans="2:13" x14ac:dyDescent="0.25">
      <c r="B173" s="15" t="s">
        <v>147</v>
      </c>
      <c r="C173" s="14" t="s">
        <v>74</v>
      </c>
      <c r="D173" t="s">
        <v>46</v>
      </c>
      <c r="E173" s="16" t="s">
        <v>133</v>
      </c>
      <c r="F173">
        <v>2030</v>
      </c>
      <c r="G173" s="12">
        <v>471572</v>
      </c>
      <c r="H173" s="13">
        <v>0.75</v>
      </c>
      <c r="I173" s="13"/>
      <c r="J173" s="13"/>
      <c r="K173" s="13"/>
      <c r="L173" s="13">
        <v>0.2</v>
      </c>
      <c r="M173" s="13">
        <v>0.25</v>
      </c>
    </row>
    <row r="174" spans="2:13" x14ac:dyDescent="0.25">
      <c r="B174" s="14" t="s">
        <v>148</v>
      </c>
      <c r="C174" s="14" t="s">
        <v>132</v>
      </c>
      <c r="D174" t="s">
        <v>46</v>
      </c>
      <c r="E174" s="16" t="s">
        <v>133</v>
      </c>
      <c r="F174">
        <v>2026</v>
      </c>
      <c r="G174" s="12">
        <v>898907</v>
      </c>
      <c r="H174" s="13">
        <v>0.98</v>
      </c>
      <c r="I174" s="13">
        <v>0.96360000000000001</v>
      </c>
      <c r="J174" s="13">
        <v>0.94</v>
      </c>
      <c r="K174" s="13">
        <v>0</v>
      </c>
      <c r="L174" s="13">
        <v>7.0000000000000007E-2</v>
      </c>
      <c r="M174" s="13">
        <v>0.25</v>
      </c>
    </row>
    <row r="175" spans="2:13" x14ac:dyDescent="0.25">
      <c r="B175" s="14" t="s">
        <v>148</v>
      </c>
      <c r="C175" s="14" t="s">
        <v>132</v>
      </c>
      <c r="D175" t="s">
        <v>46</v>
      </c>
      <c r="E175" s="16" t="s">
        <v>133</v>
      </c>
      <c r="F175">
        <v>2027</v>
      </c>
      <c r="G175" s="12">
        <v>905086.223890997</v>
      </c>
      <c r="H175" s="13">
        <v>0.98660000000000003</v>
      </c>
      <c r="I175" s="13">
        <v>0.97019999999999995</v>
      </c>
      <c r="J175" s="13">
        <v>0.9466</v>
      </c>
      <c r="K175" s="13">
        <v>0</v>
      </c>
      <c r="L175" s="13">
        <v>7.0000000000000007E-2</v>
      </c>
      <c r="M175" s="13">
        <v>0.25</v>
      </c>
    </row>
    <row r="176" spans="2:13" x14ac:dyDescent="0.25">
      <c r="B176" s="14" t="s">
        <v>148</v>
      </c>
      <c r="C176" s="14" t="s">
        <v>132</v>
      </c>
      <c r="D176" t="s">
        <v>46</v>
      </c>
      <c r="E176" s="16" t="s">
        <v>133</v>
      </c>
      <c r="F176">
        <v>2028</v>
      </c>
      <c r="G176" s="12">
        <v>913282.51314718404</v>
      </c>
      <c r="H176" s="13">
        <v>0</v>
      </c>
      <c r="I176" s="13">
        <v>0</v>
      </c>
      <c r="J176" s="13">
        <v>0</v>
      </c>
      <c r="K176" s="13">
        <v>0</v>
      </c>
      <c r="L176" s="13">
        <v>7.0000000000000007E-2</v>
      </c>
      <c r="M176" s="13">
        <v>0.25</v>
      </c>
    </row>
    <row r="177" spans="2:13" x14ac:dyDescent="0.25">
      <c r="B177" s="14" t="s">
        <v>148</v>
      </c>
      <c r="C177" s="14" t="s">
        <v>132</v>
      </c>
      <c r="D177" t="s">
        <v>46</v>
      </c>
      <c r="E177" s="16" t="s">
        <v>133</v>
      </c>
      <c r="F177">
        <v>2029</v>
      </c>
      <c r="G177" s="12">
        <v>919500.64744659397</v>
      </c>
      <c r="H177" s="13">
        <v>0</v>
      </c>
      <c r="I177" s="13">
        <v>0</v>
      </c>
      <c r="J177" s="13">
        <v>0</v>
      </c>
      <c r="K177" s="13">
        <v>0</v>
      </c>
      <c r="L177" s="13">
        <v>7.0000000000000007E-2</v>
      </c>
      <c r="M177" s="13">
        <v>0.25</v>
      </c>
    </row>
    <row r="178" spans="2:13" x14ac:dyDescent="0.25">
      <c r="B178" s="14" t="s">
        <v>148</v>
      </c>
      <c r="C178" s="14" t="s">
        <v>70</v>
      </c>
      <c r="D178" t="s">
        <v>46</v>
      </c>
      <c r="E178" s="16" t="s">
        <v>133</v>
      </c>
      <c r="F178">
        <v>2026</v>
      </c>
      <c r="G178" s="12">
        <v>898907</v>
      </c>
      <c r="H178" s="13">
        <v>0.94</v>
      </c>
      <c r="I178" s="13">
        <v>0.91</v>
      </c>
      <c r="J178" s="13">
        <v>0</v>
      </c>
      <c r="K178" s="13">
        <v>0</v>
      </c>
      <c r="L178" s="13">
        <v>7.0000000000000007E-2</v>
      </c>
      <c r="M178" s="13">
        <v>0.25</v>
      </c>
    </row>
    <row r="179" spans="2:13" x14ac:dyDescent="0.25">
      <c r="B179" s="14" t="s">
        <v>148</v>
      </c>
      <c r="C179" s="14" t="s">
        <v>70</v>
      </c>
      <c r="D179" t="s">
        <v>46</v>
      </c>
      <c r="E179" s="16" t="s">
        <v>133</v>
      </c>
      <c r="F179">
        <v>2027</v>
      </c>
      <c r="G179" s="12">
        <v>905086.223890997</v>
      </c>
      <c r="H179" s="13">
        <v>0.9466</v>
      </c>
      <c r="I179" s="13">
        <v>0.91659999999999997</v>
      </c>
      <c r="J179" s="13">
        <v>6.6E-3</v>
      </c>
      <c r="K179" s="13">
        <v>0</v>
      </c>
      <c r="L179" s="13">
        <v>7.0000000000000007E-2</v>
      </c>
      <c r="M179" s="13">
        <v>0.25</v>
      </c>
    </row>
    <row r="180" spans="2:13" x14ac:dyDescent="0.25">
      <c r="B180" s="14" t="s">
        <v>148</v>
      </c>
      <c r="C180" s="14" t="s">
        <v>70</v>
      </c>
      <c r="D180" t="s">
        <v>46</v>
      </c>
      <c r="E180" s="16" t="s">
        <v>133</v>
      </c>
      <c r="F180">
        <v>2028</v>
      </c>
      <c r="G180" s="12">
        <v>913282.51314718404</v>
      </c>
      <c r="H180" s="13">
        <v>0</v>
      </c>
      <c r="I180" s="13">
        <v>0</v>
      </c>
      <c r="J180" s="13">
        <v>0</v>
      </c>
      <c r="K180" s="13">
        <v>0</v>
      </c>
      <c r="L180" s="13">
        <v>7.0000000000000007E-2</v>
      </c>
      <c r="M180" s="13">
        <v>0.25</v>
      </c>
    </row>
    <row r="181" spans="2:13" x14ac:dyDescent="0.25">
      <c r="B181" s="14" t="s">
        <v>148</v>
      </c>
      <c r="C181" s="14" t="s">
        <v>70</v>
      </c>
      <c r="D181" t="s">
        <v>46</v>
      </c>
      <c r="E181" s="16" t="s">
        <v>133</v>
      </c>
      <c r="F181">
        <v>2029</v>
      </c>
      <c r="G181" s="12">
        <v>919500.64744659397</v>
      </c>
      <c r="H181" s="13">
        <v>0</v>
      </c>
      <c r="I181" s="13">
        <v>0</v>
      </c>
      <c r="J181" s="13">
        <v>0</v>
      </c>
      <c r="K181" s="13">
        <v>0</v>
      </c>
      <c r="L181" s="13">
        <v>7.0000000000000007E-2</v>
      </c>
      <c r="M181" s="13">
        <v>0.25</v>
      </c>
    </row>
    <row r="182" spans="2:13" x14ac:dyDescent="0.25">
      <c r="B182" s="14" t="s">
        <v>148</v>
      </c>
      <c r="C182" s="14" t="s">
        <v>134</v>
      </c>
      <c r="D182" t="s">
        <v>46</v>
      </c>
      <c r="E182" s="16" t="s">
        <v>133</v>
      </c>
      <c r="F182">
        <v>2027</v>
      </c>
      <c r="G182" s="12">
        <v>905086.223890997</v>
      </c>
      <c r="H182" s="13">
        <v>0</v>
      </c>
      <c r="I182" s="13">
        <v>0</v>
      </c>
      <c r="J182" s="13">
        <v>0</v>
      </c>
      <c r="K182" s="13">
        <v>0</v>
      </c>
      <c r="L182" s="13">
        <v>7.0000000000000007E-2</v>
      </c>
      <c r="M182" s="13">
        <v>0.25</v>
      </c>
    </row>
    <row r="183" spans="2:13" x14ac:dyDescent="0.25">
      <c r="B183" s="14" t="s">
        <v>148</v>
      </c>
      <c r="C183" s="14" t="s">
        <v>134</v>
      </c>
      <c r="D183" t="s">
        <v>46</v>
      </c>
      <c r="E183" s="16" t="s">
        <v>133</v>
      </c>
      <c r="F183">
        <v>2028</v>
      </c>
      <c r="G183" s="12">
        <v>913282.51314718404</v>
      </c>
      <c r="H183" s="13">
        <v>0.99</v>
      </c>
      <c r="I183" s="13">
        <v>0.9768</v>
      </c>
      <c r="J183" s="13">
        <v>0.95320000000000005</v>
      </c>
      <c r="K183" s="13">
        <v>0</v>
      </c>
      <c r="L183" s="13">
        <v>7.0000000000000007E-2</v>
      </c>
      <c r="M183" s="13">
        <v>0.25</v>
      </c>
    </row>
    <row r="184" spans="2:13" x14ac:dyDescent="0.25">
      <c r="B184" s="14" t="s">
        <v>148</v>
      </c>
      <c r="C184" s="14" t="s">
        <v>134</v>
      </c>
      <c r="D184" t="s">
        <v>46</v>
      </c>
      <c r="E184" s="16" t="s">
        <v>133</v>
      </c>
      <c r="F184">
        <v>2029</v>
      </c>
      <c r="G184" s="12">
        <v>919500.64744659397</v>
      </c>
      <c r="H184" s="13">
        <v>0.99</v>
      </c>
      <c r="I184" s="13">
        <v>0.98340000000000005</v>
      </c>
      <c r="J184" s="13">
        <v>0.95979999999999999</v>
      </c>
      <c r="K184" s="13">
        <v>0</v>
      </c>
      <c r="L184" s="13">
        <v>7.0000000000000007E-2</v>
      </c>
      <c r="M184" s="13">
        <v>0.25</v>
      </c>
    </row>
    <row r="185" spans="2:13" x14ac:dyDescent="0.25">
      <c r="B185" s="14" t="s">
        <v>148</v>
      </c>
      <c r="C185" s="14" t="s">
        <v>134</v>
      </c>
      <c r="D185" t="s">
        <v>46</v>
      </c>
      <c r="E185" s="16" t="s">
        <v>133</v>
      </c>
      <c r="F185">
        <v>2030</v>
      </c>
      <c r="G185" s="12">
        <v>929416.52571977605</v>
      </c>
      <c r="H185" s="13">
        <v>0.99</v>
      </c>
      <c r="I185" s="13">
        <v>0.99</v>
      </c>
      <c r="J185" s="13">
        <v>0.96640000000000004</v>
      </c>
      <c r="K185" s="13">
        <v>0</v>
      </c>
      <c r="L185" s="13">
        <v>7.0000000000000007E-2</v>
      </c>
      <c r="M185" s="13">
        <v>0.25</v>
      </c>
    </row>
    <row r="186" spans="2:13" x14ac:dyDescent="0.25">
      <c r="B186" s="14" t="s">
        <v>148</v>
      </c>
      <c r="C186" s="14" t="s">
        <v>72</v>
      </c>
      <c r="D186" t="s">
        <v>46</v>
      </c>
      <c r="E186" s="16" t="s">
        <v>133</v>
      </c>
      <c r="F186">
        <v>2026</v>
      </c>
      <c r="G186" s="12">
        <v>898907</v>
      </c>
      <c r="H186" s="13">
        <v>0.98</v>
      </c>
      <c r="I186" s="13">
        <v>0.96360000000000001</v>
      </c>
      <c r="J186" s="13">
        <v>0.94</v>
      </c>
      <c r="K186" s="13"/>
      <c r="L186" s="13">
        <v>7.0000000000000007E-2</v>
      </c>
      <c r="M186" s="13">
        <v>0.25</v>
      </c>
    </row>
    <row r="187" spans="2:13" x14ac:dyDescent="0.25">
      <c r="B187" s="14" t="s">
        <v>148</v>
      </c>
      <c r="C187" s="14" t="s">
        <v>72</v>
      </c>
      <c r="D187" t="s">
        <v>46</v>
      </c>
      <c r="E187" s="16" t="s">
        <v>133</v>
      </c>
      <c r="F187">
        <v>2027</v>
      </c>
      <c r="G187" s="12">
        <v>905086.223890997</v>
      </c>
      <c r="H187" s="13">
        <v>0.98</v>
      </c>
      <c r="I187" s="13">
        <v>0.966306</v>
      </c>
      <c r="J187" s="13">
        <v>0.9466</v>
      </c>
      <c r="K187" s="13"/>
      <c r="L187" s="13">
        <v>7.0000000000000007E-2</v>
      </c>
      <c r="M187" s="13">
        <v>0.25</v>
      </c>
    </row>
    <row r="188" spans="2:13" x14ac:dyDescent="0.25">
      <c r="B188" s="14" t="s">
        <v>148</v>
      </c>
      <c r="C188" s="14" t="s">
        <v>72</v>
      </c>
      <c r="D188" t="s">
        <v>46</v>
      </c>
      <c r="E188" s="16" t="s">
        <v>133</v>
      </c>
      <c r="F188">
        <v>2028</v>
      </c>
      <c r="G188" s="12">
        <v>913282.51314718404</v>
      </c>
      <c r="H188" s="13">
        <v>0.98</v>
      </c>
      <c r="I188" s="13">
        <v>0.96901199999999998</v>
      </c>
      <c r="J188" s="13">
        <v>0.95320000000000005</v>
      </c>
      <c r="K188" s="13"/>
      <c r="L188" s="13">
        <v>7.0000000000000007E-2</v>
      </c>
      <c r="M188" s="13">
        <v>0.25</v>
      </c>
    </row>
    <row r="189" spans="2:13" x14ac:dyDescent="0.25">
      <c r="B189" s="14" t="s">
        <v>148</v>
      </c>
      <c r="C189" s="14" t="s">
        <v>72</v>
      </c>
      <c r="D189" t="s">
        <v>46</v>
      </c>
      <c r="E189" s="16" t="s">
        <v>133</v>
      </c>
      <c r="F189">
        <v>2029</v>
      </c>
      <c r="G189" s="12">
        <v>919500.64744659397</v>
      </c>
      <c r="H189" s="13">
        <v>0.98</v>
      </c>
      <c r="I189" s="13">
        <v>0.97171799999999997</v>
      </c>
      <c r="J189" s="13">
        <v>0.95979999999999999</v>
      </c>
      <c r="K189" s="13"/>
      <c r="L189" s="13">
        <v>7.0000000000000007E-2</v>
      </c>
      <c r="M189" s="13">
        <v>0.25</v>
      </c>
    </row>
    <row r="190" spans="2:13" x14ac:dyDescent="0.25">
      <c r="B190" s="14" t="s">
        <v>148</v>
      </c>
      <c r="C190" s="14" t="s">
        <v>72</v>
      </c>
      <c r="D190" t="s">
        <v>46</v>
      </c>
      <c r="E190" s="16" t="s">
        <v>133</v>
      </c>
      <c r="F190">
        <v>2030</v>
      </c>
      <c r="G190" s="12">
        <v>929416.52571977605</v>
      </c>
      <c r="H190" s="13">
        <v>0.98</v>
      </c>
      <c r="I190" s="13">
        <v>0.97442399999999996</v>
      </c>
      <c r="J190" s="13">
        <v>0.96640000000000004</v>
      </c>
      <c r="K190" s="13"/>
      <c r="L190" s="13">
        <v>7.0000000000000007E-2</v>
      </c>
      <c r="M190" s="13">
        <v>0.25</v>
      </c>
    </row>
    <row r="191" spans="2:13" x14ac:dyDescent="0.25">
      <c r="B191" s="14" t="s">
        <v>148</v>
      </c>
      <c r="C191" s="14" t="s">
        <v>15</v>
      </c>
      <c r="D191" t="s">
        <v>136</v>
      </c>
      <c r="E191" s="16" t="s">
        <v>133</v>
      </c>
      <c r="F191">
        <v>2026</v>
      </c>
      <c r="G191" s="12">
        <v>2605720</v>
      </c>
      <c r="H191" s="13">
        <v>0.8</v>
      </c>
      <c r="I191" s="13"/>
      <c r="J191" s="13"/>
      <c r="K191" s="13"/>
      <c r="L191" s="13">
        <v>0.05</v>
      </c>
      <c r="M191" s="13">
        <v>0.25</v>
      </c>
    </row>
    <row r="192" spans="2:13" x14ac:dyDescent="0.25">
      <c r="B192" s="14" t="s">
        <v>148</v>
      </c>
      <c r="C192" s="14" t="s">
        <v>15</v>
      </c>
      <c r="D192" t="s">
        <v>136</v>
      </c>
      <c r="E192" s="16" t="s">
        <v>133</v>
      </c>
      <c r="F192">
        <v>2027</v>
      </c>
      <c r="G192" s="12">
        <v>0</v>
      </c>
      <c r="H192" s="13">
        <v>0</v>
      </c>
      <c r="I192" s="13"/>
      <c r="J192" s="13"/>
      <c r="K192" s="13"/>
      <c r="L192" s="13">
        <v>0.05</v>
      </c>
      <c r="M192" s="13">
        <v>0.25</v>
      </c>
    </row>
    <row r="193" spans="2:13" x14ac:dyDescent="0.25">
      <c r="B193" s="14" t="s">
        <v>148</v>
      </c>
      <c r="C193" s="14" t="s">
        <v>15</v>
      </c>
      <c r="D193" t="s">
        <v>46</v>
      </c>
      <c r="E193" s="16" t="s">
        <v>133</v>
      </c>
      <c r="F193">
        <v>2026</v>
      </c>
      <c r="G193" s="12">
        <v>356077</v>
      </c>
      <c r="H193" s="13">
        <v>0.99</v>
      </c>
      <c r="I193" s="13"/>
      <c r="J193" s="13"/>
      <c r="K193" s="13"/>
      <c r="L193" s="13">
        <v>0.05</v>
      </c>
      <c r="M193" s="13">
        <v>0.25</v>
      </c>
    </row>
    <row r="194" spans="2:13" x14ac:dyDescent="0.25">
      <c r="B194" s="14" t="s">
        <v>148</v>
      </c>
      <c r="C194" s="14" t="s">
        <v>15</v>
      </c>
      <c r="D194" t="s">
        <v>46</v>
      </c>
      <c r="E194" s="16" t="s">
        <v>133</v>
      </c>
      <c r="F194">
        <v>2027</v>
      </c>
      <c r="G194" s="12">
        <v>366607</v>
      </c>
      <c r="H194" s="13">
        <v>0.99</v>
      </c>
      <c r="I194" s="13"/>
      <c r="J194" s="13"/>
      <c r="K194" s="13"/>
      <c r="L194" s="13">
        <v>0.05</v>
      </c>
      <c r="M194" s="13">
        <v>0.25</v>
      </c>
    </row>
    <row r="195" spans="2:13" x14ac:dyDescent="0.25">
      <c r="B195" s="14" t="s">
        <v>148</v>
      </c>
      <c r="C195" s="14" t="s">
        <v>15</v>
      </c>
      <c r="D195" t="s">
        <v>46</v>
      </c>
      <c r="E195" s="16" t="s">
        <v>133</v>
      </c>
      <c r="F195">
        <v>2028</v>
      </c>
      <c r="G195" s="12">
        <v>359946</v>
      </c>
      <c r="H195" s="13">
        <v>0.99</v>
      </c>
      <c r="I195" s="13"/>
      <c r="J195" s="13"/>
      <c r="K195" s="13"/>
      <c r="L195" s="13">
        <v>0.05</v>
      </c>
      <c r="M195" s="13">
        <v>0.25</v>
      </c>
    </row>
    <row r="196" spans="2:13" x14ac:dyDescent="0.25">
      <c r="B196" s="14" t="s">
        <v>148</v>
      </c>
      <c r="C196" s="14" t="s">
        <v>15</v>
      </c>
      <c r="D196" t="s">
        <v>46</v>
      </c>
      <c r="E196" s="16" t="s">
        <v>133</v>
      </c>
      <c r="F196">
        <v>2029</v>
      </c>
      <c r="G196" s="12">
        <v>352717</v>
      </c>
      <c r="H196" s="13">
        <v>0.99</v>
      </c>
      <c r="I196" s="13"/>
      <c r="J196" s="13"/>
      <c r="K196" s="13"/>
      <c r="L196" s="13">
        <v>0.05</v>
      </c>
      <c r="M196" s="13">
        <v>0.25</v>
      </c>
    </row>
    <row r="197" spans="2:13" x14ac:dyDescent="0.25">
      <c r="B197" s="14" t="s">
        <v>148</v>
      </c>
      <c r="C197" s="14" t="s">
        <v>15</v>
      </c>
      <c r="D197" t="s">
        <v>46</v>
      </c>
      <c r="E197" s="16" t="s">
        <v>133</v>
      </c>
      <c r="F197">
        <v>2030</v>
      </c>
      <c r="G197" s="12">
        <v>351783</v>
      </c>
      <c r="H197" s="13">
        <v>0.99</v>
      </c>
      <c r="I197" s="13"/>
      <c r="J197" s="13"/>
      <c r="K197" s="13"/>
      <c r="L197" s="13">
        <v>0.05</v>
      </c>
      <c r="M197" s="13">
        <v>0.25</v>
      </c>
    </row>
    <row r="198" spans="2:13" x14ac:dyDescent="0.25">
      <c r="B198" s="14" t="s">
        <v>148</v>
      </c>
      <c r="C198" s="14" t="s">
        <v>145</v>
      </c>
      <c r="D198" t="s">
        <v>46</v>
      </c>
      <c r="E198" s="16" t="s">
        <v>133</v>
      </c>
      <c r="F198">
        <v>2026</v>
      </c>
      <c r="G198" s="12">
        <v>762752.45202199696</v>
      </c>
      <c r="H198" s="13">
        <v>0.87555958030000003</v>
      </c>
      <c r="I198" s="13">
        <v>0.83716527949999997</v>
      </c>
      <c r="J198" s="13">
        <v>0.79680715040000005</v>
      </c>
      <c r="K198" s="13">
        <v>0.63981031450000003</v>
      </c>
      <c r="L198" s="13"/>
      <c r="M198" s="13">
        <v>0.25</v>
      </c>
    </row>
    <row r="199" spans="2:13" x14ac:dyDescent="0.25">
      <c r="B199" s="14" t="s">
        <v>148</v>
      </c>
      <c r="C199" s="14" t="s">
        <v>145</v>
      </c>
      <c r="D199" t="s">
        <v>46</v>
      </c>
      <c r="E199" s="16" t="s">
        <v>133</v>
      </c>
      <c r="F199">
        <v>2027</v>
      </c>
      <c r="G199" s="12">
        <v>726452.47634634702</v>
      </c>
      <c r="H199" s="13">
        <v>0.87555958030000003</v>
      </c>
      <c r="I199" s="13">
        <v>0.84216527949999997</v>
      </c>
      <c r="J199" s="13">
        <v>0.80180715039999995</v>
      </c>
      <c r="K199" s="13">
        <v>0.64481031450000004</v>
      </c>
      <c r="L199" s="13"/>
      <c r="M199" s="13">
        <v>0.25</v>
      </c>
    </row>
    <row r="200" spans="2:13" x14ac:dyDescent="0.25">
      <c r="B200" s="14" t="s">
        <v>148</v>
      </c>
      <c r="C200" s="14" t="s">
        <v>145</v>
      </c>
      <c r="D200" t="s">
        <v>46</v>
      </c>
      <c r="E200" s="16" t="s">
        <v>133</v>
      </c>
      <c r="F200">
        <v>2028</v>
      </c>
      <c r="G200" s="12">
        <v>688652.86291468504</v>
      </c>
      <c r="H200" s="13">
        <v>0.87555958030000003</v>
      </c>
      <c r="I200" s="13">
        <v>0.84716527949999998</v>
      </c>
      <c r="J200" s="13">
        <v>0.80680715039999995</v>
      </c>
      <c r="K200" s="13">
        <v>0.64981031450000004</v>
      </c>
      <c r="L200" s="13"/>
      <c r="M200" s="13">
        <v>0.25</v>
      </c>
    </row>
    <row r="201" spans="2:13" x14ac:dyDescent="0.25">
      <c r="B201" s="14" t="s">
        <v>148</v>
      </c>
      <c r="C201" s="14" t="s">
        <v>145</v>
      </c>
      <c r="D201" t="s">
        <v>46</v>
      </c>
      <c r="E201" s="16" t="s">
        <v>133</v>
      </c>
      <c r="F201">
        <v>2029</v>
      </c>
      <c r="G201" s="12">
        <v>652076.11412178795</v>
      </c>
      <c r="H201" s="13">
        <v>0.87555958030000003</v>
      </c>
      <c r="I201" s="13">
        <v>0.85216527949999998</v>
      </c>
      <c r="J201" s="13">
        <v>0.81180715039999995</v>
      </c>
      <c r="K201" s="13">
        <v>0.65481031450000005</v>
      </c>
      <c r="L201" s="13"/>
      <c r="M201" s="13">
        <v>0.25</v>
      </c>
    </row>
    <row r="202" spans="2:13" x14ac:dyDescent="0.25">
      <c r="B202" s="14" t="s">
        <v>148</v>
      </c>
      <c r="C202" s="14" t="s">
        <v>145</v>
      </c>
      <c r="D202" t="s">
        <v>46</v>
      </c>
      <c r="E202" s="16" t="s">
        <v>133</v>
      </c>
      <c r="F202">
        <v>2030</v>
      </c>
      <c r="G202" s="12">
        <v>659033.470229242</v>
      </c>
      <c r="H202" s="13">
        <v>0.87555958030000003</v>
      </c>
      <c r="I202" s="13">
        <v>0.85716527949999999</v>
      </c>
      <c r="J202" s="13">
        <v>0.81680715039999996</v>
      </c>
      <c r="K202" s="13">
        <v>0.65981031450000005</v>
      </c>
      <c r="L202" s="13"/>
      <c r="M202" s="13">
        <v>0.25</v>
      </c>
    </row>
    <row r="203" spans="2:13" x14ac:dyDescent="0.25">
      <c r="B203" s="14" t="s">
        <v>148</v>
      </c>
      <c r="C203" s="14" t="s">
        <v>38</v>
      </c>
      <c r="D203" t="s">
        <v>46</v>
      </c>
      <c r="E203" s="16" t="s">
        <v>133</v>
      </c>
      <c r="F203">
        <v>2026</v>
      </c>
      <c r="G203" s="12">
        <v>898907</v>
      </c>
      <c r="H203" s="13">
        <v>0.91</v>
      </c>
      <c r="I203" s="13"/>
      <c r="J203" s="13"/>
      <c r="K203" s="13"/>
      <c r="L203" s="13">
        <v>0.2</v>
      </c>
      <c r="M203" s="13">
        <v>0.25</v>
      </c>
    </row>
    <row r="204" spans="2:13" x14ac:dyDescent="0.25">
      <c r="B204" s="14" t="s">
        <v>148</v>
      </c>
      <c r="C204" s="14" t="s">
        <v>38</v>
      </c>
      <c r="D204" t="s">
        <v>46</v>
      </c>
      <c r="E204" s="16" t="s">
        <v>133</v>
      </c>
      <c r="F204">
        <v>2027</v>
      </c>
      <c r="G204" s="12">
        <v>912070</v>
      </c>
      <c r="H204" s="13">
        <v>0.92</v>
      </c>
      <c r="I204" s="13"/>
      <c r="J204" s="13"/>
      <c r="K204" s="13"/>
      <c r="L204" s="13">
        <v>0.2</v>
      </c>
      <c r="M204" s="13">
        <v>0.25</v>
      </c>
    </row>
    <row r="205" spans="2:13" x14ac:dyDescent="0.25">
      <c r="B205" s="14" t="s">
        <v>148</v>
      </c>
      <c r="C205" s="14" t="s">
        <v>40</v>
      </c>
      <c r="D205" t="s">
        <v>46</v>
      </c>
      <c r="E205" s="16" t="s">
        <v>133</v>
      </c>
      <c r="F205">
        <v>2028</v>
      </c>
      <c r="G205" s="12">
        <v>920329.53300863702</v>
      </c>
      <c r="H205" s="13">
        <v>0.92</v>
      </c>
      <c r="I205" s="13"/>
      <c r="J205" s="13"/>
      <c r="K205" s="13"/>
      <c r="L205" s="13">
        <v>0.2</v>
      </c>
      <c r="M205" s="13">
        <v>0.25</v>
      </c>
    </row>
    <row r="206" spans="2:13" x14ac:dyDescent="0.25">
      <c r="B206" s="14" t="s">
        <v>148</v>
      </c>
      <c r="C206" s="14" t="s">
        <v>40</v>
      </c>
      <c r="D206" t="s">
        <v>46</v>
      </c>
      <c r="E206" s="16" t="s">
        <v>133</v>
      </c>
      <c r="F206">
        <v>2029</v>
      </c>
      <c r="G206" s="12">
        <v>926595.64733096305</v>
      </c>
      <c r="H206" s="13">
        <v>0.92</v>
      </c>
      <c r="I206" s="13"/>
      <c r="J206" s="13"/>
      <c r="K206" s="13"/>
      <c r="L206" s="13">
        <v>0.2</v>
      </c>
      <c r="M206" s="13">
        <v>0.25</v>
      </c>
    </row>
    <row r="207" spans="2:13" x14ac:dyDescent="0.25">
      <c r="B207" s="14" t="s">
        <v>148</v>
      </c>
      <c r="C207" s="14" t="s">
        <v>40</v>
      </c>
      <c r="D207" t="s">
        <v>46</v>
      </c>
      <c r="E207" s="16" t="s">
        <v>133</v>
      </c>
      <c r="F207">
        <v>2030</v>
      </c>
      <c r="G207" s="12">
        <v>936588.03795396897</v>
      </c>
      <c r="H207" s="13">
        <v>0.92</v>
      </c>
      <c r="I207" s="13"/>
      <c r="J207" s="13"/>
      <c r="K207" s="13"/>
      <c r="L207" s="13">
        <v>0.2</v>
      </c>
      <c r="M207" s="13">
        <v>0.25</v>
      </c>
    </row>
    <row r="208" spans="2:13" x14ac:dyDescent="0.25">
      <c r="B208" s="14" t="s">
        <v>148</v>
      </c>
      <c r="C208" s="14" t="s">
        <v>52</v>
      </c>
      <c r="D208" t="s">
        <v>141</v>
      </c>
      <c r="E208" s="16" t="s">
        <v>133</v>
      </c>
      <c r="F208">
        <v>2027</v>
      </c>
      <c r="G208" s="12">
        <v>3587671.1347296298</v>
      </c>
      <c r="H208" s="13">
        <v>1</v>
      </c>
      <c r="I208" s="13"/>
      <c r="J208" s="13"/>
      <c r="K208" s="13"/>
      <c r="L208" s="13"/>
      <c r="M208" s="13"/>
    </row>
    <row r="209" spans="2:13" x14ac:dyDescent="0.25">
      <c r="B209" s="14" t="s">
        <v>148</v>
      </c>
      <c r="C209" s="14" t="s">
        <v>52</v>
      </c>
      <c r="D209" t="s">
        <v>138</v>
      </c>
      <c r="E209" s="16" t="s">
        <v>133</v>
      </c>
      <c r="F209">
        <v>2026</v>
      </c>
      <c r="G209" s="12">
        <v>716161</v>
      </c>
      <c r="H209" s="13">
        <v>0.89319999999999999</v>
      </c>
      <c r="I209" s="13">
        <v>0.66320000000000001</v>
      </c>
      <c r="J209" s="13"/>
      <c r="K209" s="13"/>
      <c r="L209" s="13"/>
      <c r="M209" s="13"/>
    </row>
    <row r="210" spans="2:13" x14ac:dyDescent="0.25">
      <c r="B210" s="14" t="s">
        <v>148</v>
      </c>
      <c r="C210" s="14" t="s">
        <v>52</v>
      </c>
      <c r="D210" t="s">
        <v>138</v>
      </c>
      <c r="E210" s="16" t="s">
        <v>133</v>
      </c>
      <c r="F210">
        <v>2027</v>
      </c>
      <c r="G210" s="12">
        <v>721084</v>
      </c>
      <c r="H210" s="13">
        <v>0.89980000000000004</v>
      </c>
      <c r="I210" s="13">
        <v>0.66979999999999995</v>
      </c>
      <c r="J210" s="13"/>
      <c r="K210" s="13"/>
      <c r="L210" s="13"/>
      <c r="M210" s="13"/>
    </row>
    <row r="211" spans="2:13" x14ac:dyDescent="0.25">
      <c r="B211" s="14" t="s">
        <v>148</v>
      </c>
      <c r="C211" s="14" t="s">
        <v>52</v>
      </c>
      <c r="D211" t="s">
        <v>138</v>
      </c>
      <c r="E211" s="16" t="s">
        <v>133</v>
      </c>
      <c r="F211">
        <v>2028</v>
      </c>
      <c r="G211" s="12">
        <v>727614</v>
      </c>
      <c r="H211" s="13">
        <v>0.90639999999999998</v>
      </c>
      <c r="I211" s="13">
        <v>0.6764</v>
      </c>
      <c r="J211" s="13"/>
      <c r="K211" s="13"/>
      <c r="L211" s="13"/>
      <c r="M211" s="13"/>
    </row>
    <row r="212" spans="2:13" x14ac:dyDescent="0.25">
      <c r="B212" s="14" t="s">
        <v>148</v>
      </c>
      <c r="C212" s="14" t="s">
        <v>52</v>
      </c>
      <c r="D212" t="s">
        <v>138</v>
      </c>
      <c r="E212" s="16" t="s">
        <v>133</v>
      </c>
      <c r="F212">
        <v>2029</v>
      </c>
      <c r="G212" s="12">
        <v>732568</v>
      </c>
      <c r="H212" s="13">
        <v>0.91300000000000003</v>
      </c>
      <c r="I212" s="13">
        <v>0.68300000000000005</v>
      </c>
      <c r="J212" s="13"/>
      <c r="K212" s="13"/>
      <c r="L212" s="13"/>
      <c r="M212" s="13"/>
    </row>
    <row r="213" spans="2:13" x14ac:dyDescent="0.25">
      <c r="B213" s="14" t="s">
        <v>148</v>
      </c>
      <c r="C213" s="14" t="s">
        <v>52</v>
      </c>
      <c r="D213" t="s">
        <v>138</v>
      </c>
      <c r="E213" s="16" t="s">
        <v>133</v>
      </c>
      <c r="F213">
        <v>2030</v>
      </c>
      <c r="G213" s="12">
        <v>740468</v>
      </c>
      <c r="H213" s="13">
        <v>0.91959999999999997</v>
      </c>
      <c r="I213" s="13">
        <v>0.71373600000000004</v>
      </c>
      <c r="J213" s="13"/>
      <c r="K213" s="13"/>
      <c r="L213" s="13"/>
      <c r="M213" s="13"/>
    </row>
    <row r="214" spans="2:13" x14ac:dyDescent="0.25">
      <c r="B214" s="14" t="s">
        <v>148</v>
      </c>
      <c r="C214" s="14" t="s">
        <v>139</v>
      </c>
      <c r="D214" t="s">
        <v>46</v>
      </c>
      <c r="E214" s="16" t="s">
        <v>133</v>
      </c>
      <c r="F214">
        <v>2026</v>
      </c>
      <c r="G214" s="12">
        <v>898907</v>
      </c>
      <c r="H214" s="13">
        <v>0.98</v>
      </c>
      <c r="I214" s="13">
        <v>0.96360000000000001</v>
      </c>
      <c r="J214" s="13">
        <v>0.94</v>
      </c>
      <c r="K214" s="13"/>
      <c r="L214" s="13">
        <v>7.0000000000000007E-2</v>
      </c>
      <c r="M214" s="13">
        <v>0.25</v>
      </c>
    </row>
    <row r="215" spans="2:13" x14ac:dyDescent="0.25">
      <c r="B215" s="14" t="s">
        <v>148</v>
      </c>
      <c r="C215" s="14" t="s">
        <v>139</v>
      </c>
      <c r="D215" t="s">
        <v>46</v>
      </c>
      <c r="E215" s="16" t="s">
        <v>133</v>
      </c>
      <c r="F215">
        <v>2027</v>
      </c>
      <c r="G215" s="12">
        <v>905086.223890997</v>
      </c>
      <c r="H215" s="13">
        <v>0.98</v>
      </c>
      <c r="I215" s="13">
        <v>0.966306</v>
      </c>
      <c r="J215" s="13">
        <v>0.9466</v>
      </c>
      <c r="K215" s="13"/>
      <c r="L215" s="13">
        <v>7.0000000000000007E-2</v>
      </c>
      <c r="M215" s="13">
        <v>0.25</v>
      </c>
    </row>
    <row r="216" spans="2:13" x14ac:dyDescent="0.25">
      <c r="B216" s="14" t="s">
        <v>148</v>
      </c>
      <c r="C216" s="14" t="s">
        <v>139</v>
      </c>
      <c r="D216" t="s">
        <v>46</v>
      </c>
      <c r="E216" s="16" t="s">
        <v>133</v>
      </c>
      <c r="F216">
        <v>2028</v>
      </c>
      <c r="G216" s="12">
        <v>913282.51314718404</v>
      </c>
      <c r="H216" s="13">
        <v>0.98</v>
      </c>
      <c r="I216" s="13">
        <v>0.96901199999999998</v>
      </c>
      <c r="J216" s="13">
        <v>0.95320000000000005</v>
      </c>
      <c r="K216" s="13"/>
      <c r="L216" s="13">
        <v>7.0000000000000007E-2</v>
      </c>
      <c r="M216" s="13">
        <v>0.25</v>
      </c>
    </row>
    <row r="217" spans="2:13" x14ac:dyDescent="0.25">
      <c r="B217" s="14" t="s">
        <v>148</v>
      </c>
      <c r="C217" s="14" t="s">
        <v>139</v>
      </c>
      <c r="D217" t="s">
        <v>46</v>
      </c>
      <c r="E217" s="16" t="s">
        <v>133</v>
      </c>
      <c r="F217">
        <v>2029</v>
      </c>
      <c r="G217" s="12">
        <v>919500.64744659397</v>
      </c>
      <c r="H217" s="13">
        <v>0.98</v>
      </c>
      <c r="I217" s="13">
        <v>0.97171799999999997</v>
      </c>
      <c r="J217" s="13">
        <v>0.95979999999999999</v>
      </c>
      <c r="K217" s="13"/>
      <c r="L217" s="13">
        <v>7.0000000000000007E-2</v>
      </c>
      <c r="M217" s="13">
        <v>0.25</v>
      </c>
    </row>
    <row r="218" spans="2:13" x14ac:dyDescent="0.25">
      <c r="B218" s="14" t="s">
        <v>148</v>
      </c>
      <c r="C218" s="14" t="s">
        <v>139</v>
      </c>
      <c r="D218" t="s">
        <v>46</v>
      </c>
      <c r="E218" s="16" t="s">
        <v>133</v>
      </c>
      <c r="F218">
        <v>2030</v>
      </c>
      <c r="G218" s="12">
        <v>929416.52571977605</v>
      </c>
      <c r="H218" s="13">
        <v>0.98</v>
      </c>
      <c r="I218" s="13">
        <v>0.97442399999999996</v>
      </c>
      <c r="J218" s="13">
        <v>0.96640000000000004</v>
      </c>
      <c r="K218" s="13"/>
      <c r="L218" s="13">
        <v>7.0000000000000007E-2</v>
      </c>
      <c r="M218" s="13">
        <v>0.25</v>
      </c>
    </row>
    <row r="219" spans="2:13" x14ac:dyDescent="0.25">
      <c r="B219" s="14" t="s">
        <v>148</v>
      </c>
      <c r="C219" s="14" t="s">
        <v>101</v>
      </c>
      <c r="D219" t="s">
        <v>46</v>
      </c>
      <c r="E219" s="16" t="s">
        <v>133</v>
      </c>
      <c r="F219">
        <v>2026</v>
      </c>
      <c r="G219" s="12">
        <v>898907</v>
      </c>
      <c r="H219" s="13">
        <v>0.9</v>
      </c>
      <c r="I219" s="13"/>
      <c r="J219" s="13"/>
      <c r="K219" s="13"/>
      <c r="L219" s="13">
        <v>0.1</v>
      </c>
      <c r="M219" s="13">
        <v>0.25</v>
      </c>
    </row>
    <row r="220" spans="2:13" x14ac:dyDescent="0.25">
      <c r="B220" s="14" t="s">
        <v>148</v>
      </c>
      <c r="C220" s="14" t="s">
        <v>101</v>
      </c>
      <c r="D220" t="s">
        <v>46</v>
      </c>
      <c r="E220" s="16" t="s">
        <v>133</v>
      </c>
      <c r="F220">
        <v>2027</v>
      </c>
      <c r="G220" s="12">
        <v>904664.32699093397</v>
      </c>
      <c r="H220" s="13">
        <v>0.90659999999999996</v>
      </c>
      <c r="I220" s="13"/>
      <c r="J220" s="13"/>
      <c r="K220" s="13"/>
      <c r="L220" s="13">
        <v>0.1</v>
      </c>
      <c r="M220" s="13">
        <v>0.25</v>
      </c>
    </row>
    <row r="221" spans="2:13" x14ac:dyDescent="0.25">
      <c r="B221" s="14" t="s">
        <v>148</v>
      </c>
      <c r="C221" s="14" t="s">
        <v>101</v>
      </c>
      <c r="D221" t="s">
        <v>46</v>
      </c>
      <c r="E221" s="16" t="s">
        <v>133</v>
      </c>
      <c r="F221">
        <v>2028</v>
      </c>
      <c r="G221" s="12">
        <v>910458.52855741302</v>
      </c>
      <c r="H221" s="13">
        <v>0.91320000000000001</v>
      </c>
      <c r="I221" s="13"/>
      <c r="J221" s="13"/>
      <c r="K221" s="13"/>
      <c r="L221" s="13">
        <v>0.1</v>
      </c>
      <c r="M221" s="13">
        <v>0.25</v>
      </c>
    </row>
    <row r="222" spans="2:13" x14ac:dyDescent="0.25">
      <c r="B222" s="14" t="s">
        <v>148</v>
      </c>
      <c r="C222" s="14" t="s">
        <v>101</v>
      </c>
      <c r="D222" t="s">
        <v>46</v>
      </c>
      <c r="E222" s="16" t="s">
        <v>133</v>
      </c>
      <c r="F222">
        <v>2029</v>
      </c>
      <c r="G222" s="12">
        <v>916289.84087402502</v>
      </c>
      <c r="H222" s="13">
        <v>0.91979999999999995</v>
      </c>
      <c r="I222" s="13"/>
      <c r="J222" s="13"/>
      <c r="K222" s="13"/>
      <c r="L222" s="13">
        <v>0.1</v>
      </c>
      <c r="M222" s="13">
        <v>0.25</v>
      </c>
    </row>
    <row r="223" spans="2:13" x14ac:dyDescent="0.25">
      <c r="B223" s="15" t="s">
        <v>148</v>
      </c>
      <c r="C223" s="14" t="s">
        <v>101</v>
      </c>
      <c r="D223" t="s">
        <v>46</v>
      </c>
      <c r="E223" s="16" t="s">
        <v>133</v>
      </c>
      <c r="F223">
        <v>2030</v>
      </c>
      <c r="G223" s="12">
        <v>922158.50162800995</v>
      </c>
      <c r="H223" s="13">
        <v>0.9264</v>
      </c>
      <c r="I223" s="13"/>
      <c r="J223" s="13"/>
      <c r="K223" s="13"/>
      <c r="L223" s="13">
        <v>0.1</v>
      </c>
      <c r="M223" s="13">
        <v>0.25</v>
      </c>
    </row>
    <row r="224" spans="2:13" x14ac:dyDescent="0.25">
      <c r="B224" s="14" t="s">
        <v>149</v>
      </c>
      <c r="C224" s="14" t="s">
        <v>132</v>
      </c>
      <c r="D224" t="s">
        <v>46</v>
      </c>
      <c r="E224" s="16" t="s">
        <v>144</v>
      </c>
      <c r="F224">
        <v>2027</v>
      </c>
      <c r="G224" s="12">
        <v>46437.591060235303</v>
      </c>
      <c r="H224" s="13">
        <v>1</v>
      </c>
      <c r="I224" s="13">
        <v>1</v>
      </c>
      <c r="J224" s="13">
        <v>1</v>
      </c>
      <c r="K224" s="13">
        <v>0</v>
      </c>
      <c r="L224" s="13">
        <v>0.04</v>
      </c>
      <c r="M224" s="13">
        <v>0.25</v>
      </c>
    </row>
    <row r="225" spans="2:13" x14ac:dyDescent="0.25">
      <c r="B225" s="14" t="s">
        <v>149</v>
      </c>
      <c r="C225" s="14" t="s">
        <v>132</v>
      </c>
      <c r="D225" t="s">
        <v>46</v>
      </c>
      <c r="E225" s="16" t="s">
        <v>144</v>
      </c>
      <c r="F225">
        <v>2028</v>
      </c>
      <c r="G225" s="12">
        <v>45881.911988886102</v>
      </c>
      <c r="H225" s="13">
        <v>1</v>
      </c>
      <c r="I225" s="13">
        <v>1</v>
      </c>
      <c r="J225" s="13">
        <v>1</v>
      </c>
      <c r="K225" s="13">
        <v>0</v>
      </c>
      <c r="L225" s="13">
        <v>0.04</v>
      </c>
      <c r="M225" s="13">
        <v>0.25</v>
      </c>
    </row>
    <row r="226" spans="2:13" x14ac:dyDescent="0.25">
      <c r="B226" s="14" t="s">
        <v>149</v>
      </c>
      <c r="C226" s="14" t="s">
        <v>132</v>
      </c>
      <c r="D226" t="s">
        <v>46</v>
      </c>
      <c r="E226" s="16" t="s">
        <v>133</v>
      </c>
      <c r="F226">
        <v>2026</v>
      </c>
      <c r="G226" s="12">
        <v>3769196.5</v>
      </c>
      <c r="H226" s="13">
        <v>0.99</v>
      </c>
      <c r="I226" s="13">
        <v>0.99</v>
      </c>
      <c r="J226" s="13">
        <v>0.99</v>
      </c>
      <c r="K226" s="13">
        <v>0</v>
      </c>
      <c r="L226" s="13">
        <v>0.04</v>
      </c>
      <c r="M226" s="13">
        <v>0.25</v>
      </c>
    </row>
    <row r="227" spans="2:13" x14ac:dyDescent="0.25">
      <c r="B227" s="14" t="s">
        <v>149</v>
      </c>
      <c r="C227" s="14" t="s">
        <v>132</v>
      </c>
      <c r="D227" t="s">
        <v>46</v>
      </c>
      <c r="E227" s="16" t="s">
        <v>133</v>
      </c>
      <c r="F227">
        <v>2027</v>
      </c>
      <c r="G227" s="12">
        <v>3778481.5</v>
      </c>
      <c r="H227" s="13">
        <v>0.99</v>
      </c>
      <c r="I227" s="13">
        <v>0.99</v>
      </c>
      <c r="J227" s="13">
        <v>0.99</v>
      </c>
      <c r="K227" s="13">
        <v>0</v>
      </c>
      <c r="L227" s="13">
        <v>0.04</v>
      </c>
      <c r="M227" s="13">
        <v>0.25</v>
      </c>
    </row>
    <row r="228" spans="2:13" x14ac:dyDescent="0.25">
      <c r="B228" s="14" t="s">
        <v>149</v>
      </c>
      <c r="C228" s="14" t="s">
        <v>132</v>
      </c>
      <c r="D228" t="s">
        <v>46</v>
      </c>
      <c r="E228" s="16" t="s">
        <v>133</v>
      </c>
      <c r="F228">
        <v>2028</v>
      </c>
      <c r="G228" s="12">
        <v>3738430.5</v>
      </c>
      <c r="H228" s="13">
        <v>0.99</v>
      </c>
      <c r="I228" s="13">
        <v>0.99</v>
      </c>
      <c r="J228" s="13">
        <v>0.99</v>
      </c>
      <c r="K228" s="13">
        <v>0</v>
      </c>
      <c r="L228" s="13">
        <v>0.04</v>
      </c>
      <c r="M228" s="13">
        <v>0.25</v>
      </c>
    </row>
    <row r="229" spans="2:13" x14ac:dyDescent="0.25">
      <c r="B229" s="14" t="s">
        <v>149</v>
      </c>
      <c r="C229" s="14" t="s">
        <v>132</v>
      </c>
      <c r="D229" t="s">
        <v>46</v>
      </c>
      <c r="E229" s="16" t="s">
        <v>133</v>
      </c>
      <c r="F229">
        <v>2029</v>
      </c>
      <c r="G229" s="12">
        <v>3163938.96368436</v>
      </c>
      <c r="H229" s="13">
        <v>0.99</v>
      </c>
      <c r="I229" s="13">
        <v>0.99</v>
      </c>
      <c r="J229" s="13">
        <v>0.99</v>
      </c>
      <c r="K229" s="13">
        <v>0</v>
      </c>
      <c r="L229" s="13">
        <v>0.04</v>
      </c>
      <c r="M229" s="13">
        <v>0.25</v>
      </c>
    </row>
    <row r="230" spans="2:13" x14ac:dyDescent="0.25">
      <c r="B230" s="14" t="s">
        <v>149</v>
      </c>
      <c r="C230" s="14" t="s">
        <v>132</v>
      </c>
      <c r="D230" t="s">
        <v>46</v>
      </c>
      <c r="E230" s="16" t="s">
        <v>133</v>
      </c>
      <c r="F230">
        <v>2030</v>
      </c>
      <c r="G230" s="12">
        <v>3124301.4008516101</v>
      </c>
      <c r="H230" s="13">
        <v>0.99</v>
      </c>
      <c r="I230" s="13">
        <v>0.99</v>
      </c>
      <c r="J230" s="13">
        <v>0.99</v>
      </c>
      <c r="K230" s="13">
        <v>0</v>
      </c>
      <c r="L230" s="13">
        <v>0.04</v>
      </c>
      <c r="M230" s="13">
        <v>0.25</v>
      </c>
    </row>
    <row r="231" spans="2:13" x14ac:dyDescent="0.25">
      <c r="B231" s="14" t="s">
        <v>149</v>
      </c>
      <c r="C231" s="14" t="s">
        <v>70</v>
      </c>
      <c r="D231" t="s">
        <v>46</v>
      </c>
      <c r="E231" s="16" t="s">
        <v>144</v>
      </c>
      <c r="F231">
        <v>2027</v>
      </c>
      <c r="G231" s="12">
        <v>46437.591060235303</v>
      </c>
      <c r="H231" s="13">
        <v>1</v>
      </c>
      <c r="I231" s="13">
        <v>1</v>
      </c>
      <c r="J231" s="13">
        <v>6.6E-3</v>
      </c>
      <c r="K231" s="13">
        <v>0</v>
      </c>
      <c r="L231" s="13">
        <v>7.0000000000000007E-2</v>
      </c>
      <c r="M231" s="13">
        <v>0.25</v>
      </c>
    </row>
    <row r="232" spans="2:13" x14ac:dyDescent="0.25">
      <c r="B232" s="14" t="s">
        <v>149</v>
      </c>
      <c r="C232" s="14" t="s">
        <v>70</v>
      </c>
      <c r="D232" t="s">
        <v>46</v>
      </c>
      <c r="E232" s="16" t="s">
        <v>144</v>
      </c>
      <c r="F232">
        <v>2028</v>
      </c>
      <c r="G232" s="12">
        <v>45881.911988886102</v>
      </c>
      <c r="H232" s="13">
        <v>1</v>
      </c>
      <c r="I232" s="13">
        <v>1</v>
      </c>
      <c r="J232" s="13">
        <v>1.32E-2</v>
      </c>
      <c r="K232" s="13">
        <v>0</v>
      </c>
      <c r="L232" s="13">
        <v>7.0000000000000007E-2</v>
      </c>
      <c r="M232" s="13">
        <v>0.25</v>
      </c>
    </row>
    <row r="233" spans="2:13" x14ac:dyDescent="0.25">
      <c r="B233" s="14" t="s">
        <v>149</v>
      </c>
      <c r="C233" s="14" t="s">
        <v>70</v>
      </c>
      <c r="D233" t="s">
        <v>46</v>
      </c>
      <c r="E233" s="16" t="s">
        <v>133</v>
      </c>
      <c r="F233">
        <v>2026</v>
      </c>
      <c r="G233" s="12">
        <v>3769196.5</v>
      </c>
      <c r="H233" s="13">
        <v>0.99</v>
      </c>
      <c r="I233" s="13">
        <v>0.98</v>
      </c>
      <c r="J233" s="13">
        <v>0</v>
      </c>
      <c r="K233" s="13">
        <v>0</v>
      </c>
      <c r="L233" s="13">
        <v>0.15</v>
      </c>
      <c r="M233" s="13">
        <v>0.25</v>
      </c>
    </row>
    <row r="234" spans="2:13" x14ac:dyDescent="0.25">
      <c r="B234" s="14" t="s">
        <v>149</v>
      </c>
      <c r="C234" s="14" t="s">
        <v>70</v>
      </c>
      <c r="D234" t="s">
        <v>46</v>
      </c>
      <c r="E234" s="16" t="s">
        <v>133</v>
      </c>
      <c r="F234">
        <v>2027</v>
      </c>
      <c r="G234" s="12">
        <v>3778481.5</v>
      </c>
      <c r="H234" s="13">
        <v>0.99</v>
      </c>
      <c r="I234" s="13">
        <v>0.99</v>
      </c>
      <c r="J234" s="13">
        <v>0</v>
      </c>
      <c r="K234" s="13">
        <v>0</v>
      </c>
      <c r="L234" s="13">
        <v>0.15</v>
      </c>
      <c r="M234" s="13">
        <v>0.25</v>
      </c>
    </row>
    <row r="235" spans="2:13" x14ac:dyDescent="0.25">
      <c r="B235" s="14" t="s">
        <v>149</v>
      </c>
      <c r="C235" s="14" t="s">
        <v>70</v>
      </c>
      <c r="D235" t="s">
        <v>46</v>
      </c>
      <c r="E235" s="16" t="s">
        <v>133</v>
      </c>
      <c r="F235">
        <v>2028</v>
      </c>
      <c r="G235" s="12">
        <v>3738430.5</v>
      </c>
      <c r="H235" s="13">
        <v>0.99</v>
      </c>
      <c r="I235" s="13">
        <v>0.99</v>
      </c>
      <c r="J235" s="13">
        <v>0</v>
      </c>
      <c r="K235" s="13">
        <v>0</v>
      </c>
      <c r="L235" s="13">
        <v>0.15</v>
      </c>
      <c r="M235" s="13">
        <v>0.25</v>
      </c>
    </row>
    <row r="236" spans="2:13" x14ac:dyDescent="0.25">
      <c r="B236" s="14" t="s">
        <v>149</v>
      </c>
      <c r="C236" s="14" t="s">
        <v>70</v>
      </c>
      <c r="D236" t="s">
        <v>46</v>
      </c>
      <c r="E236" s="16" t="s">
        <v>133</v>
      </c>
      <c r="F236">
        <v>2029</v>
      </c>
      <c r="G236" s="12">
        <v>3163938.96368436</v>
      </c>
      <c r="H236" s="13">
        <v>0.99</v>
      </c>
      <c r="I236" s="13">
        <v>0.99</v>
      </c>
      <c r="J236" s="13">
        <v>1.9800000000000002E-2</v>
      </c>
      <c r="K236" s="13">
        <v>0</v>
      </c>
      <c r="L236" s="13">
        <v>0.15</v>
      </c>
      <c r="M236" s="13">
        <v>0.25</v>
      </c>
    </row>
    <row r="237" spans="2:13" x14ac:dyDescent="0.25">
      <c r="B237" s="14" t="s">
        <v>149</v>
      </c>
      <c r="C237" s="14" t="s">
        <v>70</v>
      </c>
      <c r="D237" t="s">
        <v>46</v>
      </c>
      <c r="E237" s="16" t="s">
        <v>133</v>
      </c>
      <c r="F237">
        <v>2030</v>
      </c>
      <c r="G237" s="12">
        <v>3124301.4008516101</v>
      </c>
      <c r="H237" s="13">
        <v>0.99</v>
      </c>
      <c r="I237" s="13">
        <v>0.99</v>
      </c>
      <c r="J237" s="13">
        <v>2.64E-2</v>
      </c>
      <c r="K237" s="13">
        <v>0</v>
      </c>
      <c r="L237" s="13">
        <v>0.15</v>
      </c>
      <c r="M237" s="13">
        <v>0.25</v>
      </c>
    </row>
    <row r="238" spans="2:13" x14ac:dyDescent="0.25">
      <c r="B238" s="14" t="s">
        <v>149</v>
      </c>
      <c r="C238" s="14" t="s">
        <v>72</v>
      </c>
      <c r="D238" t="s">
        <v>46</v>
      </c>
      <c r="E238" s="16" t="s">
        <v>144</v>
      </c>
      <c r="F238">
        <v>2027</v>
      </c>
      <c r="G238" s="12">
        <v>47235</v>
      </c>
      <c r="H238" s="13">
        <v>1</v>
      </c>
      <c r="I238" s="13">
        <v>1</v>
      </c>
      <c r="J238" s="13">
        <v>1</v>
      </c>
      <c r="K238" s="13"/>
      <c r="L238" s="13">
        <v>7.0000000000000007E-2</v>
      </c>
      <c r="M238" s="13">
        <v>0.25</v>
      </c>
    </row>
    <row r="239" spans="2:13" x14ac:dyDescent="0.25">
      <c r="B239" s="14" t="s">
        <v>149</v>
      </c>
      <c r="C239" s="14" t="s">
        <v>72</v>
      </c>
      <c r="D239" t="s">
        <v>46</v>
      </c>
      <c r="E239" s="16" t="s">
        <v>144</v>
      </c>
      <c r="F239">
        <v>2028</v>
      </c>
      <c r="G239" s="12">
        <v>47471.175000000003</v>
      </c>
      <c r="H239" s="13">
        <v>1</v>
      </c>
      <c r="I239" s="13">
        <v>1</v>
      </c>
      <c r="J239" s="13">
        <v>1</v>
      </c>
      <c r="K239" s="13"/>
      <c r="L239" s="13">
        <v>7.0000000000000007E-2</v>
      </c>
      <c r="M239" s="13">
        <v>0.25</v>
      </c>
    </row>
    <row r="240" spans="2:13" x14ac:dyDescent="0.25">
      <c r="B240" s="14" t="s">
        <v>149</v>
      </c>
      <c r="C240" s="14" t="s">
        <v>72</v>
      </c>
      <c r="D240" t="s">
        <v>46</v>
      </c>
      <c r="E240" s="16" t="s">
        <v>150</v>
      </c>
      <c r="F240">
        <v>2027</v>
      </c>
      <c r="G240" s="12">
        <v>0</v>
      </c>
      <c r="H240" s="13">
        <v>0.99</v>
      </c>
      <c r="I240" s="13">
        <v>0.99</v>
      </c>
      <c r="J240" s="13">
        <v>0.99</v>
      </c>
      <c r="K240" s="13"/>
      <c r="L240" s="13">
        <v>7.0000000000000007E-2</v>
      </c>
      <c r="M240" s="13">
        <v>0.25</v>
      </c>
    </row>
    <row r="241" spans="2:13" x14ac:dyDescent="0.25">
      <c r="B241" s="14" t="s">
        <v>149</v>
      </c>
      <c r="C241" s="14" t="s">
        <v>72</v>
      </c>
      <c r="D241" t="s">
        <v>46</v>
      </c>
      <c r="E241" s="16" t="s">
        <v>150</v>
      </c>
      <c r="F241">
        <v>2028</v>
      </c>
      <c r="G241" s="12">
        <v>0</v>
      </c>
      <c r="H241" s="13">
        <v>0.99</v>
      </c>
      <c r="I241" s="13">
        <v>0.99</v>
      </c>
      <c r="J241" s="13">
        <v>0.99</v>
      </c>
      <c r="K241" s="13"/>
      <c r="L241" s="13">
        <v>7.0000000000000007E-2</v>
      </c>
      <c r="M241" s="13">
        <v>0.25</v>
      </c>
    </row>
    <row r="242" spans="2:13" x14ac:dyDescent="0.25">
      <c r="B242" s="14" t="s">
        <v>149</v>
      </c>
      <c r="C242" s="14" t="s">
        <v>72</v>
      </c>
      <c r="D242" t="s">
        <v>46</v>
      </c>
      <c r="E242" s="16" t="s">
        <v>133</v>
      </c>
      <c r="F242">
        <v>2026</v>
      </c>
      <c r="G242" s="12">
        <v>3769196.5</v>
      </c>
      <c r="H242" s="13">
        <v>0.99</v>
      </c>
      <c r="I242" s="13">
        <v>0.99</v>
      </c>
      <c r="J242" s="13">
        <v>0.99</v>
      </c>
      <c r="K242" s="13"/>
      <c r="L242" s="13">
        <v>7.0000000000000007E-2</v>
      </c>
      <c r="M242" s="13">
        <v>0.25</v>
      </c>
    </row>
    <row r="243" spans="2:13" x14ac:dyDescent="0.25">
      <c r="B243" s="14" t="s">
        <v>149</v>
      </c>
      <c r="C243" s="14" t="s">
        <v>72</v>
      </c>
      <c r="D243" t="s">
        <v>46</v>
      </c>
      <c r="E243" s="16" t="s">
        <v>133</v>
      </c>
      <c r="F243">
        <v>2027</v>
      </c>
      <c r="G243" s="12">
        <v>3778481.5</v>
      </c>
      <c r="H243" s="13">
        <v>0.99</v>
      </c>
      <c r="I243" s="13">
        <v>0.99</v>
      </c>
      <c r="J243" s="13">
        <v>0.99</v>
      </c>
      <c r="K243" s="13"/>
      <c r="L243" s="13">
        <v>7.0000000000000007E-2</v>
      </c>
      <c r="M243" s="13">
        <v>0.25</v>
      </c>
    </row>
    <row r="244" spans="2:13" x14ac:dyDescent="0.25">
      <c r="B244" s="14" t="s">
        <v>149</v>
      </c>
      <c r="C244" s="14" t="s">
        <v>72</v>
      </c>
      <c r="D244" t="s">
        <v>46</v>
      </c>
      <c r="E244" s="16" t="s">
        <v>133</v>
      </c>
      <c r="F244">
        <v>2028</v>
      </c>
      <c r="G244" s="12">
        <v>3738430.5</v>
      </c>
      <c r="H244" s="13">
        <v>0.99</v>
      </c>
      <c r="I244" s="13">
        <v>0.99</v>
      </c>
      <c r="J244" s="13">
        <v>0.99</v>
      </c>
      <c r="K244" s="13"/>
      <c r="L244" s="13">
        <v>0.08</v>
      </c>
      <c r="M244" s="13">
        <v>0.25</v>
      </c>
    </row>
    <row r="245" spans="2:13" x14ac:dyDescent="0.25">
      <c r="B245" s="14" t="s">
        <v>149</v>
      </c>
      <c r="C245" s="14" t="s">
        <v>72</v>
      </c>
      <c r="D245" t="s">
        <v>46</v>
      </c>
      <c r="E245" s="16" t="s">
        <v>133</v>
      </c>
      <c r="F245">
        <v>2029</v>
      </c>
      <c r="G245" s="12">
        <v>3163938.96368436</v>
      </c>
      <c r="H245" s="13">
        <v>0.99</v>
      </c>
      <c r="I245" s="13">
        <v>0.99</v>
      </c>
      <c r="J245" s="13">
        <v>0.99</v>
      </c>
      <c r="K245" s="13"/>
      <c r="L245" s="13">
        <v>7.0000000000000007E-2</v>
      </c>
      <c r="M245" s="13">
        <v>0.25</v>
      </c>
    </row>
    <row r="246" spans="2:13" x14ac:dyDescent="0.25">
      <c r="B246" s="14" t="s">
        <v>149</v>
      </c>
      <c r="C246" s="14" t="s">
        <v>72</v>
      </c>
      <c r="D246" t="s">
        <v>46</v>
      </c>
      <c r="E246" s="16" t="s">
        <v>133</v>
      </c>
      <c r="F246">
        <v>2030</v>
      </c>
      <c r="G246" s="12">
        <v>3124301.4008516101</v>
      </c>
      <c r="H246" s="13">
        <v>0.99</v>
      </c>
      <c r="I246" s="13">
        <v>0.99</v>
      </c>
      <c r="J246" s="13">
        <v>0.99</v>
      </c>
      <c r="K246" s="13"/>
      <c r="L246" s="13">
        <v>7.0000000000000007E-2</v>
      </c>
      <c r="M246" s="13">
        <v>0.25</v>
      </c>
    </row>
    <row r="247" spans="2:13" x14ac:dyDescent="0.25">
      <c r="B247" s="14" t="s">
        <v>149</v>
      </c>
      <c r="C247" s="14" t="s">
        <v>15</v>
      </c>
      <c r="D247" t="s">
        <v>46</v>
      </c>
      <c r="E247" s="16" t="s">
        <v>144</v>
      </c>
      <c r="F247">
        <v>2027</v>
      </c>
      <c r="G247" s="12">
        <v>20910</v>
      </c>
      <c r="H247" s="13">
        <v>1</v>
      </c>
      <c r="I247" s="13"/>
      <c r="J247" s="13"/>
      <c r="K247" s="13"/>
      <c r="L247" s="13">
        <v>0.1</v>
      </c>
      <c r="M247" s="13"/>
    </row>
    <row r="248" spans="2:13" x14ac:dyDescent="0.25">
      <c r="B248" s="14" t="s">
        <v>149</v>
      </c>
      <c r="C248" s="14" t="s">
        <v>15</v>
      </c>
      <c r="D248" t="s">
        <v>46</v>
      </c>
      <c r="E248" s="16" t="s">
        <v>144</v>
      </c>
      <c r="F248">
        <v>2028</v>
      </c>
      <c r="G248" s="12">
        <v>21156</v>
      </c>
      <c r="H248" s="13">
        <v>1</v>
      </c>
      <c r="I248" s="13"/>
      <c r="J248" s="13"/>
      <c r="K248" s="13"/>
      <c r="L248" s="13">
        <v>0.1</v>
      </c>
      <c r="M248" s="13"/>
    </row>
    <row r="249" spans="2:13" x14ac:dyDescent="0.25">
      <c r="B249" s="14" t="s">
        <v>149</v>
      </c>
      <c r="C249" s="14" t="s">
        <v>15</v>
      </c>
      <c r="D249" t="s">
        <v>46</v>
      </c>
      <c r="E249" s="16" t="s">
        <v>133</v>
      </c>
      <c r="F249">
        <v>2026</v>
      </c>
      <c r="G249" s="12">
        <v>2153547</v>
      </c>
      <c r="H249" s="13">
        <v>1</v>
      </c>
      <c r="I249" s="13"/>
      <c r="J249" s="13"/>
      <c r="K249" s="13"/>
      <c r="L249" s="13">
        <v>0.1</v>
      </c>
      <c r="M249" s="13">
        <v>0.25</v>
      </c>
    </row>
    <row r="250" spans="2:13" x14ac:dyDescent="0.25">
      <c r="B250" s="14" t="s">
        <v>149</v>
      </c>
      <c r="C250" s="14" t="s">
        <v>15</v>
      </c>
      <c r="D250" t="s">
        <v>46</v>
      </c>
      <c r="E250" s="16" t="s">
        <v>133</v>
      </c>
      <c r="F250">
        <v>2027</v>
      </c>
      <c r="G250" s="12">
        <v>2207385</v>
      </c>
      <c r="H250" s="13">
        <v>1</v>
      </c>
      <c r="I250" s="13"/>
      <c r="J250" s="13"/>
      <c r="K250" s="13"/>
      <c r="L250" s="13">
        <v>0.1</v>
      </c>
      <c r="M250" s="13">
        <v>0.25</v>
      </c>
    </row>
    <row r="251" spans="2:13" x14ac:dyDescent="0.25">
      <c r="B251" s="14" t="s">
        <v>149</v>
      </c>
      <c r="C251" s="14" t="s">
        <v>15</v>
      </c>
      <c r="D251" t="s">
        <v>46</v>
      </c>
      <c r="E251" s="16" t="s">
        <v>133</v>
      </c>
      <c r="F251">
        <v>2028</v>
      </c>
      <c r="G251" s="12">
        <v>2233300</v>
      </c>
      <c r="H251" s="13">
        <v>1</v>
      </c>
      <c r="I251" s="13"/>
      <c r="J251" s="13"/>
      <c r="K251" s="13"/>
      <c r="L251" s="13">
        <v>0.1</v>
      </c>
      <c r="M251" s="13">
        <v>0.25</v>
      </c>
    </row>
    <row r="252" spans="2:13" x14ac:dyDescent="0.25">
      <c r="B252" s="14" t="s">
        <v>149</v>
      </c>
      <c r="C252" s="14" t="s">
        <v>15</v>
      </c>
      <c r="D252" t="s">
        <v>46</v>
      </c>
      <c r="E252" s="16" t="s">
        <v>133</v>
      </c>
      <c r="F252">
        <v>2029</v>
      </c>
      <c r="G252" s="12">
        <v>2267835</v>
      </c>
      <c r="H252" s="13">
        <v>0.9</v>
      </c>
      <c r="I252" s="13"/>
      <c r="J252" s="13"/>
      <c r="K252" s="13"/>
      <c r="L252" s="13">
        <v>0.1</v>
      </c>
      <c r="M252" s="13">
        <v>0.25</v>
      </c>
    </row>
    <row r="253" spans="2:13" x14ac:dyDescent="0.25">
      <c r="B253" s="14" t="s">
        <v>149</v>
      </c>
      <c r="C253" s="14" t="s">
        <v>15</v>
      </c>
      <c r="D253" t="s">
        <v>46</v>
      </c>
      <c r="E253" s="16" t="s">
        <v>133</v>
      </c>
      <c r="F253">
        <v>2030</v>
      </c>
      <c r="G253" s="12">
        <v>2312665</v>
      </c>
      <c r="H253" s="13">
        <v>0.9</v>
      </c>
      <c r="I253" s="13"/>
      <c r="J253" s="13"/>
      <c r="K253" s="13"/>
      <c r="L253" s="13">
        <v>0.1</v>
      </c>
      <c r="M253" s="13">
        <v>0.25</v>
      </c>
    </row>
    <row r="254" spans="2:13" x14ac:dyDescent="0.25">
      <c r="B254" s="14" t="s">
        <v>149</v>
      </c>
      <c r="C254" s="14" t="s">
        <v>104</v>
      </c>
      <c r="D254" t="s">
        <v>137</v>
      </c>
      <c r="E254" s="16" t="s">
        <v>133</v>
      </c>
      <c r="F254">
        <v>2027</v>
      </c>
      <c r="G254" s="12">
        <v>0</v>
      </c>
      <c r="H254" s="13"/>
      <c r="I254" s="13"/>
      <c r="J254" s="13"/>
      <c r="K254" s="13"/>
      <c r="L254" s="13"/>
      <c r="M254" s="13"/>
    </row>
    <row r="255" spans="2:13" x14ac:dyDescent="0.25">
      <c r="B255" s="14" t="s">
        <v>149</v>
      </c>
      <c r="C255" s="14" t="s">
        <v>104</v>
      </c>
      <c r="D255" t="s">
        <v>137</v>
      </c>
      <c r="E255" s="16" t="s">
        <v>133</v>
      </c>
      <c r="F255">
        <v>2028</v>
      </c>
      <c r="G255" s="12">
        <v>22002440</v>
      </c>
      <c r="H255" s="13">
        <v>1</v>
      </c>
      <c r="I255" s="13"/>
      <c r="J255" s="13"/>
      <c r="K255" s="13"/>
      <c r="L255" s="13"/>
      <c r="M255" s="13"/>
    </row>
    <row r="256" spans="2:13" x14ac:dyDescent="0.25">
      <c r="B256" s="14" t="s">
        <v>149</v>
      </c>
      <c r="C256" s="14" t="s">
        <v>104</v>
      </c>
      <c r="D256" t="s">
        <v>46</v>
      </c>
      <c r="E256" s="16" t="s">
        <v>133</v>
      </c>
      <c r="F256">
        <v>2028</v>
      </c>
      <c r="G256" s="12">
        <v>1383575.76</v>
      </c>
      <c r="H256" s="13">
        <v>0.77600000000000002</v>
      </c>
      <c r="I256" s="13"/>
      <c r="J256" s="13"/>
      <c r="K256" s="13"/>
      <c r="L256" s="13"/>
      <c r="M256" s="13"/>
    </row>
    <row r="257" spans="2:13" x14ac:dyDescent="0.25">
      <c r="B257" s="14" t="s">
        <v>149</v>
      </c>
      <c r="C257" s="14" t="s">
        <v>104</v>
      </c>
      <c r="D257" t="s">
        <v>46</v>
      </c>
      <c r="E257" s="16" t="s">
        <v>133</v>
      </c>
      <c r="F257">
        <v>2029</v>
      </c>
      <c r="G257" s="12">
        <v>1367959.32</v>
      </c>
      <c r="H257" s="13">
        <v>0.97</v>
      </c>
      <c r="I257" s="13"/>
      <c r="J257" s="13"/>
      <c r="K257" s="13"/>
      <c r="L257" s="13"/>
      <c r="M257" s="13"/>
    </row>
    <row r="258" spans="2:13" x14ac:dyDescent="0.25">
      <c r="B258" s="14" t="s">
        <v>149</v>
      </c>
      <c r="C258" s="14" t="s">
        <v>104</v>
      </c>
      <c r="D258" t="s">
        <v>46</v>
      </c>
      <c r="E258" s="16" t="s">
        <v>133</v>
      </c>
      <c r="F258">
        <v>2030</v>
      </c>
      <c r="G258" s="12">
        <v>1350821.64</v>
      </c>
      <c r="H258" s="13">
        <v>0.97</v>
      </c>
      <c r="I258" s="13"/>
      <c r="J258" s="13"/>
      <c r="K258" s="13"/>
      <c r="L258" s="13"/>
      <c r="M258" s="13"/>
    </row>
    <row r="259" spans="2:13" x14ac:dyDescent="0.25">
      <c r="B259" s="14" t="s">
        <v>149</v>
      </c>
      <c r="C259" s="14" t="s">
        <v>52</v>
      </c>
      <c r="D259" t="s">
        <v>141</v>
      </c>
      <c r="E259" s="16" t="s">
        <v>133</v>
      </c>
      <c r="F259">
        <v>2026</v>
      </c>
      <c r="G259" s="12">
        <v>3392360</v>
      </c>
      <c r="H259" s="13">
        <v>0.97319999999999995</v>
      </c>
      <c r="I259" s="13">
        <v>0</v>
      </c>
      <c r="J259" s="13"/>
      <c r="K259" s="13"/>
      <c r="L259" s="13"/>
      <c r="M259" s="13"/>
    </row>
    <row r="260" spans="2:13" x14ac:dyDescent="0.25">
      <c r="B260" s="14" t="s">
        <v>149</v>
      </c>
      <c r="C260" s="14" t="s">
        <v>52</v>
      </c>
      <c r="D260" t="s">
        <v>138</v>
      </c>
      <c r="E260" s="16" t="s">
        <v>144</v>
      </c>
      <c r="F260">
        <v>2027</v>
      </c>
      <c r="G260" s="12">
        <v>47000</v>
      </c>
      <c r="H260" s="13">
        <v>1</v>
      </c>
      <c r="I260" s="13">
        <v>0.983043</v>
      </c>
      <c r="J260" s="13"/>
      <c r="K260" s="13"/>
      <c r="L260" s="13"/>
      <c r="M260" s="13"/>
    </row>
    <row r="261" spans="2:13" x14ac:dyDescent="0.25">
      <c r="B261" s="14" t="s">
        <v>149</v>
      </c>
      <c r="C261" s="14" t="s">
        <v>52</v>
      </c>
      <c r="D261" t="s">
        <v>138</v>
      </c>
      <c r="E261" s="16" t="s">
        <v>144</v>
      </c>
      <c r="F261">
        <v>2028</v>
      </c>
      <c r="G261" s="12">
        <v>47000</v>
      </c>
      <c r="H261" s="13">
        <v>1</v>
      </c>
      <c r="I261" s="13">
        <v>0.98987400000000003</v>
      </c>
      <c r="J261" s="13"/>
      <c r="K261" s="13"/>
      <c r="L261" s="13"/>
      <c r="M261" s="13"/>
    </row>
    <row r="262" spans="2:13" x14ac:dyDescent="0.25">
      <c r="B262" s="14" t="s">
        <v>149</v>
      </c>
      <c r="C262" s="14" t="s">
        <v>109</v>
      </c>
      <c r="D262" t="s">
        <v>151</v>
      </c>
      <c r="E262" s="16" t="s">
        <v>133</v>
      </c>
      <c r="F262">
        <v>2026</v>
      </c>
      <c r="G262" s="12">
        <v>6047635.13513513</v>
      </c>
      <c r="H262" s="13">
        <v>1</v>
      </c>
      <c r="I262" s="13">
        <v>0.85</v>
      </c>
      <c r="J262" s="13"/>
      <c r="K262" s="13"/>
      <c r="L262" s="13"/>
      <c r="M262" s="13"/>
    </row>
    <row r="263" spans="2:13" x14ac:dyDescent="0.25">
      <c r="B263" s="14" t="s">
        <v>149</v>
      </c>
      <c r="C263" s="14" t="s">
        <v>109</v>
      </c>
      <c r="D263" t="s">
        <v>151</v>
      </c>
      <c r="E263" s="16" t="s">
        <v>133</v>
      </c>
      <c r="F263">
        <v>2027</v>
      </c>
      <c r="G263" s="12">
        <v>6047635.13513513</v>
      </c>
      <c r="H263" s="13">
        <v>1</v>
      </c>
      <c r="I263" s="13">
        <v>0.85</v>
      </c>
      <c r="J263" s="13"/>
      <c r="K263" s="13"/>
      <c r="L263" s="13"/>
      <c r="M263" s="13"/>
    </row>
    <row r="264" spans="2:13" x14ac:dyDescent="0.25">
      <c r="B264" s="14" t="s">
        <v>149</v>
      </c>
      <c r="C264" s="14" t="s">
        <v>109</v>
      </c>
      <c r="D264" t="s">
        <v>151</v>
      </c>
      <c r="E264" s="16" t="s">
        <v>133</v>
      </c>
      <c r="F264">
        <v>2028</v>
      </c>
      <c r="G264" s="12">
        <v>6047635.13513513</v>
      </c>
      <c r="H264" s="13">
        <v>1</v>
      </c>
      <c r="I264" s="13">
        <v>0.85</v>
      </c>
      <c r="J264" s="13"/>
      <c r="K264" s="13"/>
      <c r="L264" s="13"/>
      <c r="M264" s="13"/>
    </row>
    <row r="265" spans="2:13" x14ac:dyDescent="0.25">
      <c r="B265" s="14" t="s">
        <v>149</v>
      </c>
      <c r="C265" s="14" t="s">
        <v>109</v>
      </c>
      <c r="D265" t="s">
        <v>151</v>
      </c>
      <c r="E265" s="16" t="s">
        <v>133</v>
      </c>
      <c r="F265">
        <v>2029</v>
      </c>
      <c r="G265" s="12">
        <v>6047635.13513513</v>
      </c>
      <c r="H265" s="13">
        <v>1</v>
      </c>
      <c r="I265" s="13">
        <v>0.85</v>
      </c>
      <c r="J265" s="13"/>
      <c r="K265" s="13"/>
      <c r="L265" s="13"/>
      <c r="M265" s="13"/>
    </row>
    <row r="266" spans="2:13" x14ac:dyDescent="0.25">
      <c r="B266" s="14" t="s">
        <v>149</v>
      </c>
      <c r="C266" s="14" t="s">
        <v>109</v>
      </c>
      <c r="D266" t="s">
        <v>151</v>
      </c>
      <c r="E266" s="16" t="s">
        <v>133</v>
      </c>
      <c r="F266">
        <v>2030</v>
      </c>
      <c r="G266" s="12">
        <v>0</v>
      </c>
      <c r="H266" s="13"/>
      <c r="I266" s="13"/>
      <c r="J266" s="13"/>
      <c r="K266" s="13"/>
      <c r="L266" s="13"/>
      <c r="M266" s="13"/>
    </row>
    <row r="267" spans="2:13" x14ac:dyDescent="0.25">
      <c r="B267" s="14" t="s">
        <v>149</v>
      </c>
      <c r="C267" s="14" t="s">
        <v>108</v>
      </c>
      <c r="D267" t="s">
        <v>46</v>
      </c>
      <c r="E267" s="16" t="s">
        <v>133</v>
      </c>
      <c r="F267">
        <v>2026</v>
      </c>
      <c r="G267" s="12">
        <v>3432325</v>
      </c>
      <c r="H267" s="13">
        <v>0.45848584180000002</v>
      </c>
      <c r="I267" s="13"/>
      <c r="J267" s="13"/>
      <c r="K267" s="13"/>
      <c r="L267" s="13"/>
      <c r="M267" s="13"/>
    </row>
    <row r="268" spans="2:13" x14ac:dyDescent="0.25">
      <c r="B268" s="14" t="s">
        <v>149</v>
      </c>
      <c r="C268" s="14" t="s">
        <v>108</v>
      </c>
      <c r="D268" t="s">
        <v>46</v>
      </c>
      <c r="E268" s="16" t="s">
        <v>133</v>
      </c>
      <c r="F268">
        <v>2027</v>
      </c>
      <c r="G268" s="12">
        <v>3398644</v>
      </c>
      <c r="H268" s="13">
        <v>0.48848584290000002</v>
      </c>
      <c r="I268" s="13"/>
      <c r="J268" s="13"/>
      <c r="K268" s="13"/>
      <c r="L268" s="13"/>
      <c r="M268" s="13"/>
    </row>
    <row r="269" spans="2:13" x14ac:dyDescent="0.25">
      <c r="B269" s="14" t="s">
        <v>149</v>
      </c>
      <c r="C269" s="14" t="s">
        <v>108</v>
      </c>
      <c r="D269" t="s">
        <v>46</v>
      </c>
      <c r="E269" s="16" t="s">
        <v>133</v>
      </c>
      <c r="F269">
        <v>2028</v>
      </c>
      <c r="G269" s="12">
        <v>3362570</v>
      </c>
      <c r="H269" s="13">
        <v>0.51848584409999998</v>
      </c>
      <c r="I269" s="13"/>
      <c r="J269" s="13"/>
      <c r="K269" s="13"/>
      <c r="L269" s="13"/>
      <c r="M269" s="13">
        <v>0.25</v>
      </c>
    </row>
    <row r="270" spans="2:13" x14ac:dyDescent="0.25">
      <c r="B270" s="14" t="s">
        <v>149</v>
      </c>
      <c r="C270" s="14" t="s">
        <v>108</v>
      </c>
      <c r="D270" t="s">
        <v>46</v>
      </c>
      <c r="E270" s="16" t="s">
        <v>133</v>
      </c>
      <c r="F270">
        <v>2029</v>
      </c>
      <c r="G270" s="12">
        <v>3324113</v>
      </c>
      <c r="H270" s="13">
        <v>0.54848581549999997</v>
      </c>
      <c r="I270" s="13"/>
      <c r="J270" s="13"/>
      <c r="K270" s="13"/>
      <c r="L270" s="13"/>
      <c r="M270" s="13">
        <v>0.25</v>
      </c>
    </row>
    <row r="271" spans="2:13" x14ac:dyDescent="0.25">
      <c r="B271" s="14" t="s">
        <v>149</v>
      </c>
      <c r="C271" s="14" t="s">
        <v>108</v>
      </c>
      <c r="D271" t="s">
        <v>46</v>
      </c>
      <c r="E271" s="16" t="s">
        <v>133</v>
      </c>
      <c r="F271">
        <v>2030</v>
      </c>
      <c r="G271" s="12">
        <v>3282922</v>
      </c>
      <c r="H271" s="13">
        <v>0.57848578689999997</v>
      </c>
      <c r="I271" s="13"/>
      <c r="J271" s="13"/>
      <c r="K271" s="13"/>
      <c r="L271" s="13"/>
      <c r="M271" s="13">
        <v>0.25</v>
      </c>
    </row>
    <row r="272" spans="2:13" x14ac:dyDescent="0.25">
      <c r="B272" s="14" t="s">
        <v>149</v>
      </c>
      <c r="C272" s="14" t="s">
        <v>101</v>
      </c>
      <c r="D272" t="s">
        <v>46</v>
      </c>
      <c r="E272" s="16" t="s">
        <v>144</v>
      </c>
      <c r="F272">
        <v>2027</v>
      </c>
      <c r="G272" s="12">
        <v>37088</v>
      </c>
      <c r="H272" s="13">
        <v>1</v>
      </c>
      <c r="I272" s="13"/>
      <c r="J272" s="13"/>
      <c r="K272" s="13"/>
      <c r="L272" s="13">
        <v>0.1</v>
      </c>
      <c r="M272" s="13"/>
    </row>
    <row r="273" spans="2:13" x14ac:dyDescent="0.25">
      <c r="B273" s="14" t="s">
        <v>149</v>
      </c>
      <c r="C273" s="14" t="s">
        <v>101</v>
      </c>
      <c r="D273" t="s">
        <v>46</v>
      </c>
      <c r="E273" s="16" t="s">
        <v>144</v>
      </c>
      <c r="F273">
        <v>2028</v>
      </c>
      <c r="G273" s="12">
        <v>36695</v>
      </c>
      <c r="H273" s="13">
        <v>1</v>
      </c>
      <c r="I273" s="13"/>
      <c r="J273" s="13"/>
      <c r="K273" s="13"/>
      <c r="L273" s="13">
        <v>0.1</v>
      </c>
      <c r="M273" s="13"/>
    </row>
    <row r="274" spans="2:13" x14ac:dyDescent="0.25">
      <c r="B274" s="14" t="s">
        <v>149</v>
      </c>
      <c r="C274" s="14" t="s">
        <v>101</v>
      </c>
      <c r="D274" t="s">
        <v>46</v>
      </c>
      <c r="E274" s="16" t="s">
        <v>133</v>
      </c>
      <c r="F274">
        <v>2026</v>
      </c>
      <c r="G274" s="12">
        <v>3361885</v>
      </c>
      <c r="H274" s="13">
        <v>0.98</v>
      </c>
      <c r="I274" s="13"/>
      <c r="J274" s="13"/>
      <c r="K274" s="13"/>
      <c r="L274" s="13">
        <v>0.1</v>
      </c>
      <c r="M274" s="13">
        <v>0.25</v>
      </c>
    </row>
    <row r="275" spans="2:13" x14ac:dyDescent="0.25">
      <c r="B275" s="14" t="s">
        <v>149</v>
      </c>
      <c r="C275" s="14" t="s">
        <v>101</v>
      </c>
      <c r="D275" t="s">
        <v>46</v>
      </c>
      <c r="E275" s="16" t="s">
        <v>133</v>
      </c>
      <c r="F275">
        <v>2027</v>
      </c>
      <c r="G275" s="12">
        <v>3329520</v>
      </c>
      <c r="H275" s="13">
        <v>0.99</v>
      </c>
      <c r="I275" s="13"/>
      <c r="J275" s="13"/>
      <c r="K275" s="13"/>
      <c r="L275" s="13">
        <v>0.1</v>
      </c>
      <c r="M275" s="13">
        <v>0.25</v>
      </c>
    </row>
    <row r="276" spans="2:13" x14ac:dyDescent="0.25">
      <c r="B276" s="14" t="s">
        <v>149</v>
      </c>
      <c r="C276" s="14" t="s">
        <v>101</v>
      </c>
      <c r="D276" t="s">
        <v>46</v>
      </c>
      <c r="E276" s="16" t="s">
        <v>133</v>
      </c>
      <c r="F276">
        <v>2028</v>
      </c>
      <c r="G276" s="12">
        <v>3294228</v>
      </c>
      <c r="H276" s="13">
        <v>0.99</v>
      </c>
      <c r="I276" s="13"/>
      <c r="J276" s="13"/>
      <c r="K276" s="13"/>
      <c r="L276" s="13">
        <v>0.1</v>
      </c>
      <c r="M276" s="13">
        <v>0.25</v>
      </c>
    </row>
    <row r="277" spans="2:13" x14ac:dyDescent="0.25">
      <c r="B277" s="14" t="s">
        <v>149</v>
      </c>
      <c r="C277" s="14" t="s">
        <v>101</v>
      </c>
      <c r="D277" t="s">
        <v>46</v>
      </c>
      <c r="E277" s="16" t="s">
        <v>133</v>
      </c>
      <c r="F277">
        <v>2029</v>
      </c>
      <c r="G277" s="12">
        <v>3129906.7194557101</v>
      </c>
      <c r="H277" s="13">
        <v>1</v>
      </c>
      <c r="I277" s="13"/>
      <c r="J277" s="13"/>
      <c r="K277" s="13"/>
      <c r="L277" s="13">
        <v>0.1</v>
      </c>
      <c r="M277" s="13">
        <v>0.25</v>
      </c>
    </row>
    <row r="278" spans="2:13" x14ac:dyDescent="0.25">
      <c r="B278" s="15" t="s">
        <v>149</v>
      </c>
      <c r="C278" s="14" t="s">
        <v>101</v>
      </c>
      <c r="D278" t="s">
        <v>46</v>
      </c>
      <c r="E278" s="16" t="s">
        <v>133</v>
      </c>
      <c r="F278">
        <v>2030</v>
      </c>
      <c r="G278" s="12">
        <v>3092712.4484342602</v>
      </c>
      <c r="H278" s="13">
        <v>1</v>
      </c>
      <c r="I278" s="13"/>
      <c r="J278" s="13"/>
      <c r="K278" s="13"/>
      <c r="L278" s="13">
        <v>0.1</v>
      </c>
      <c r="M278" s="13">
        <v>0.25</v>
      </c>
    </row>
    <row r="279" spans="2:13" x14ac:dyDescent="0.25">
      <c r="B279" s="14" t="s">
        <v>152</v>
      </c>
      <c r="C279" s="14" t="s">
        <v>70</v>
      </c>
      <c r="D279" t="s">
        <v>46</v>
      </c>
      <c r="E279" s="16" t="s">
        <v>133</v>
      </c>
      <c r="F279">
        <v>2026</v>
      </c>
      <c r="G279" s="12">
        <v>254752</v>
      </c>
      <c r="H279" s="13">
        <v>0.84</v>
      </c>
      <c r="I279" s="13">
        <v>0.82</v>
      </c>
      <c r="J279" s="13">
        <v>0</v>
      </c>
      <c r="K279" s="13">
        <v>0</v>
      </c>
      <c r="L279" s="13">
        <v>7.0000000000000007E-2</v>
      </c>
      <c r="M279" s="13">
        <v>0.25</v>
      </c>
    </row>
    <row r="280" spans="2:13" x14ac:dyDescent="0.25">
      <c r="B280" s="14" t="s">
        <v>152</v>
      </c>
      <c r="C280" s="14" t="s">
        <v>70</v>
      </c>
      <c r="D280" t="s">
        <v>46</v>
      </c>
      <c r="E280" s="16" t="s">
        <v>133</v>
      </c>
      <c r="F280">
        <v>2027</v>
      </c>
      <c r="G280" s="12">
        <v>255194</v>
      </c>
      <c r="H280" s="13">
        <v>0.84660000000000002</v>
      </c>
      <c r="I280" s="13">
        <v>0.8266</v>
      </c>
      <c r="J280" s="13">
        <v>6.6E-3</v>
      </c>
      <c r="K280" s="13">
        <v>0</v>
      </c>
      <c r="L280" s="13">
        <v>7.0000000000000007E-2</v>
      </c>
      <c r="M280" s="13">
        <v>0.25</v>
      </c>
    </row>
    <row r="281" spans="2:13" x14ac:dyDescent="0.25">
      <c r="B281" s="14" t="s">
        <v>152</v>
      </c>
      <c r="C281" s="14" t="s">
        <v>70</v>
      </c>
      <c r="D281" t="s">
        <v>46</v>
      </c>
      <c r="E281" s="16" t="s">
        <v>133</v>
      </c>
      <c r="F281">
        <v>2028</v>
      </c>
      <c r="G281" s="12">
        <v>255154</v>
      </c>
      <c r="H281" s="13">
        <v>0.85319999999999996</v>
      </c>
      <c r="I281" s="13">
        <v>0.83320000000000005</v>
      </c>
      <c r="J281" s="13">
        <v>1.32E-2</v>
      </c>
      <c r="K281" s="13">
        <v>0</v>
      </c>
      <c r="L281" s="13">
        <v>7.0000000000000007E-2</v>
      </c>
      <c r="M281" s="13">
        <v>0.25</v>
      </c>
    </row>
    <row r="282" spans="2:13" x14ac:dyDescent="0.25">
      <c r="B282" s="14" t="s">
        <v>152</v>
      </c>
      <c r="C282" s="14" t="s">
        <v>70</v>
      </c>
      <c r="D282" t="s">
        <v>46</v>
      </c>
      <c r="E282" s="16" t="s">
        <v>133</v>
      </c>
      <c r="F282">
        <v>2029</v>
      </c>
      <c r="G282" s="12">
        <v>255238</v>
      </c>
      <c r="H282" s="13">
        <v>0.85980000000000001</v>
      </c>
      <c r="I282" s="13">
        <v>0.83979999999999999</v>
      </c>
      <c r="J282" s="13">
        <v>1.9800000000000002E-2</v>
      </c>
      <c r="K282" s="13">
        <v>0</v>
      </c>
      <c r="L282" s="13">
        <v>7.0000000000000007E-2</v>
      </c>
      <c r="M282" s="13">
        <v>0.25</v>
      </c>
    </row>
    <row r="283" spans="2:13" x14ac:dyDescent="0.25">
      <c r="B283" s="15" t="s">
        <v>152</v>
      </c>
      <c r="C283" s="14" t="s">
        <v>70</v>
      </c>
      <c r="D283" t="s">
        <v>46</v>
      </c>
      <c r="E283" s="16" t="s">
        <v>133</v>
      </c>
      <c r="F283">
        <v>2030</v>
      </c>
      <c r="G283" s="12">
        <v>255196</v>
      </c>
      <c r="H283" s="13">
        <v>0.86639999999999995</v>
      </c>
      <c r="I283" s="13">
        <v>0.84640000000000004</v>
      </c>
      <c r="J283" s="13">
        <v>2.64E-2</v>
      </c>
      <c r="K283" s="13">
        <v>0</v>
      </c>
      <c r="L283" s="13">
        <v>7.0000000000000007E-2</v>
      </c>
      <c r="M283" s="13">
        <v>0.25</v>
      </c>
    </row>
    <row r="284" spans="2:13" x14ac:dyDescent="0.25">
      <c r="B284" s="14" t="s">
        <v>153</v>
      </c>
      <c r="C284" s="14" t="s">
        <v>70</v>
      </c>
      <c r="D284" t="s">
        <v>46</v>
      </c>
      <c r="E284" s="16" t="s">
        <v>133</v>
      </c>
      <c r="F284">
        <v>2026</v>
      </c>
      <c r="G284" s="12">
        <v>9636</v>
      </c>
      <c r="H284" s="13">
        <v>0.99</v>
      </c>
      <c r="I284" s="13">
        <v>0.97099999999999997</v>
      </c>
      <c r="J284" s="13">
        <v>0</v>
      </c>
      <c r="K284" s="13">
        <v>0</v>
      </c>
      <c r="L284" s="13">
        <v>0.04</v>
      </c>
      <c r="M284" s="13">
        <v>0.25</v>
      </c>
    </row>
    <row r="285" spans="2:13" x14ac:dyDescent="0.25">
      <c r="B285" s="14" t="s">
        <v>153</v>
      </c>
      <c r="C285" s="14" t="s">
        <v>70</v>
      </c>
      <c r="D285" t="s">
        <v>46</v>
      </c>
      <c r="E285" s="16" t="s">
        <v>133</v>
      </c>
      <c r="F285">
        <v>2027</v>
      </c>
      <c r="G285" s="12">
        <v>9607</v>
      </c>
      <c r="H285" s="13">
        <v>0.99</v>
      </c>
      <c r="I285" s="13">
        <v>0.97760000000000002</v>
      </c>
      <c r="J285" s="13">
        <v>6.6E-3</v>
      </c>
      <c r="K285" s="13">
        <v>0</v>
      </c>
      <c r="L285" s="13">
        <v>0.04</v>
      </c>
      <c r="M285" s="13">
        <v>0.25</v>
      </c>
    </row>
    <row r="286" spans="2:13" x14ac:dyDescent="0.25">
      <c r="B286" s="14" t="s">
        <v>153</v>
      </c>
      <c r="C286" s="14" t="s">
        <v>70</v>
      </c>
      <c r="D286" t="s">
        <v>46</v>
      </c>
      <c r="E286" s="16" t="s">
        <v>133</v>
      </c>
      <c r="F286">
        <v>2028</v>
      </c>
      <c r="G286" s="12">
        <v>9565</v>
      </c>
      <c r="H286" s="13">
        <v>0.99</v>
      </c>
      <c r="I286" s="13">
        <v>0.98419999999999996</v>
      </c>
      <c r="J286" s="13">
        <v>1.32E-2</v>
      </c>
      <c r="K286" s="13">
        <v>0</v>
      </c>
      <c r="L286" s="13">
        <v>0.04</v>
      </c>
      <c r="M286" s="13">
        <v>0.25</v>
      </c>
    </row>
    <row r="287" spans="2:13" x14ac:dyDescent="0.25">
      <c r="B287" s="14" t="s">
        <v>153</v>
      </c>
      <c r="C287" s="14" t="s">
        <v>70</v>
      </c>
      <c r="D287" t="s">
        <v>46</v>
      </c>
      <c r="E287" s="16" t="s">
        <v>133</v>
      </c>
      <c r="F287">
        <v>2029</v>
      </c>
      <c r="G287" s="12">
        <v>9542</v>
      </c>
      <c r="H287" s="13">
        <v>0.99</v>
      </c>
      <c r="I287" s="13">
        <v>0.99</v>
      </c>
      <c r="J287" s="13">
        <v>1.9800000000000002E-2</v>
      </c>
      <c r="K287" s="13">
        <v>0</v>
      </c>
      <c r="L287" s="13">
        <v>0.04</v>
      </c>
      <c r="M287" s="13">
        <v>0.25</v>
      </c>
    </row>
    <row r="288" spans="2:13" x14ac:dyDescent="0.25">
      <c r="B288" s="15" t="s">
        <v>153</v>
      </c>
      <c r="C288" s="14" t="s">
        <v>70</v>
      </c>
      <c r="D288" t="s">
        <v>46</v>
      </c>
      <c r="E288" s="16" t="s">
        <v>133</v>
      </c>
      <c r="F288">
        <v>2030</v>
      </c>
      <c r="G288" s="12">
        <v>9505</v>
      </c>
      <c r="H288" s="13">
        <v>0.99</v>
      </c>
      <c r="I288" s="13">
        <v>0.99</v>
      </c>
      <c r="J288" s="13">
        <v>2.64E-2</v>
      </c>
      <c r="K288" s="13">
        <v>0</v>
      </c>
      <c r="L288" s="13">
        <v>0.04</v>
      </c>
      <c r="M288" s="13">
        <v>0.25</v>
      </c>
    </row>
    <row r="289" spans="2:13" x14ac:dyDescent="0.25">
      <c r="B289" s="14" t="s">
        <v>154</v>
      </c>
      <c r="C289" s="14" t="s">
        <v>132</v>
      </c>
      <c r="D289" t="s">
        <v>46</v>
      </c>
      <c r="E289" s="16" t="s">
        <v>133</v>
      </c>
      <c r="F289">
        <v>2026</v>
      </c>
      <c r="G289" s="12">
        <v>252184</v>
      </c>
      <c r="H289" s="13">
        <v>0.95995947329999998</v>
      </c>
      <c r="I289" s="13">
        <v>0.91225239650000001</v>
      </c>
      <c r="J289" s="13">
        <v>0.84360074929999995</v>
      </c>
      <c r="K289" s="13">
        <v>0</v>
      </c>
      <c r="L289" s="13">
        <v>0.1</v>
      </c>
      <c r="M289" s="13">
        <v>0.25</v>
      </c>
    </row>
    <row r="290" spans="2:13" x14ac:dyDescent="0.25">
      <c r="B290" s="14" t="s">
        <v>154</v>
      </c>
      <c r="C290" s="14" t="s">
        <v>132</v>
      </c>
      <c r="D290" t="s">
        <v>46</v>
      </c>
      <c r="E290" s="16" t="s">
        <v>133</v>
      </c>
      <c r="F290">
        <v>2027</v>
      </c>
      <c r="G290" s="12">
        <v>257400.229630332</v>
      </c>
      <c r="H290" s="13">
        <v>0.96655947330000003</v>
      </c>
      <c r="I290" s="13">
        <v>0.91885239649999995</v>
      </c>
      <c r="J290" s="13">
        <v>0.8502007493</v>
      </c>
      <c r="K290" s="13">
        <v>0</v>
      </c>
      <c r="L290" s="13">
        <v>0.1</v>
      </c>
      <c r="M290" s="13">
        <v>0.25</v>
      </c>
    </row>
    <row r="291" spans="2:13" x14ac:dyDescent="0.25">
      <c r="B291" s="14" t="s">
        <v>154</v>
      </c>
      <c r="C291" s="14" t="s">
        <v>132</v>
      </c>
      <c r="D291" t="s">
        <v>46</v>
      </c>
      <c r="E291" s="16" t="s">
        <v>133</v>
      </c>
      <c r="F291">
        <v>2028</v>
      </c>
      <c r="G291" s="12">
        <v>262634.14492155798</v>
      </c>
      <c r="H291" s="13">
        <v>0.97315947329999997</v>
      </c>
      <c r="I291" s="13">
        <v>0.9254523965</v>
      </c>
      <c r="J291" s="13">
        <v>0.85680074930000005</v>
      </c>
      <c r="K291" s="13">
        <v>0</v>
      </c>
      <c r="L291" s="13">
        <v>0.1</v>
      </c>
      <c r="M291" s="13">
        <v>0.25</v>
      </c>
    </row>
    <row r="292" spans="2:13" x14ac:dyDescent="0.25">
      <c r="B292" s="14" t="s">
        <v>154</v>
      </c>
      <c r="C292" s="14" t="s">
        <v>132</v>
      </c>
      <c r="D292" t="s">
        <v>46</v>
      </c>
      <c r="E292" s="16" t="s">
        <v>133</v>
      </c>
      <c r="F292">
        <v>2029</v>
      </c>
      <c r="G292" s="12">
        <v>267318.76439211698</v>
      </c>
      <c r="H292" s="13">
        <v>0.97975947330000002</v>
      </c>
      <c r="I292" s="13">
        <v>0.93205239650000005</v>
      </c>
      <c r="J292" s="13">
        <v>0.86340074929999999</v>
      </c>
      <c r="K292" s="13">
        <v>0</v>
      </c>
      <c r="L292" s="13">
        <v>0.1</v>
      </c>
      <c r="M292" s="13">
        <v>0.25</v>
      </c>
    </row>
    <row r="293" spans="2:13" x14ac:dyDescent="0.25">
      <c r="B293" s="14" t="s">
        <v>154</v>
      </c>
      <c r="C293" s="14" t="s">
        <v>132</v>
      </c>
      <c r="D293" t="s">
        <v>46</v>
      </c>
      <c r="E293" s="16" t="s">
        <v>133</v>
      </c>
      <c r="F293">
        <v>2030</v>
      </c>
      <c r="G293" s="12">
        <v>271418.71672022698</v>
      </c>
      <c r="H293" s="13">
        <v>0.98635947329999996</v>
      </c>
      <c r="I293" s="13">
        <v>0.93865239649999999</v>
      </c>
      <c r="J293" s="13">
        <v>0.87000074930000004</v>
      </c>
      <c r="K293" s="13">
        <v>0</v>
      </c>
      <c r="L293" s="13">
        <v>0.1</v>
      </c>
      <c r="M293" s="13">
        <v>0.25</v>
      </c>
    </row>
    <row r="294" spans="2:13" x14ac:dyDescent="0.25">
      <c r="B294" s="14" t="s">
        <v>154</v>
      </c>
      <c r="C294" s="14" t="s">
        <v>70</v>
      </c>
      <c r="D294" t="s">
        <v>46</v>
      </c>
      <c r="E294" s="16" t="s">
        <v>133</v>
      </c>
      <c r="F294">
        <v>2026</v>
      </c>
      <c r="G294" s="12">
        <v>252184</v>
      </c>
      <c r="H294" s="13">
        <v>0.88867851789999996</v>
      </c>
      <c r="I294" s="13">
        <v>0</v>
      </c>
      <c r="J294" s="13">
        <v>0</v>
      </c>
      <c r="K294" s="13">
        <v>0</v>
      </c>
      <c r="L294" s="13">
        <v>7.0000000000000007E-2</v>
      </c>
      <c r="M294" s="13">
        <v>0.25</v>
      </c>
    </row>
    <row r="295" spans="2:13" x14ac:dyDescent="0.25">
      <c r="B295" s="14" t="s">
        <v>154</v>
      </c>
      <c r="C295" s="14" t="s">
        <v>70</v>
      </c>
      <c r="D295" t="s">
        <v>46</v>
      </c>
      <c r="E295" s="16" t="s">
        <v>133</v>
      </c>
      <c r="F295">
        <v>2027</v>
      </c>
      <c r="G295" s="12">
        <v>257400.229630332</v>
      </c>
      <c r="H295" s="13">
        <v>0.89527851790000001</v>
      </c>
      <c r="I295" s="13">
        <v>6.6E-3</v>
      </c>
      <c r="J295" s="13">
        <v>6.6E-3</v>
      </c>
      <c r="K295" s="13">
        <v>0</v>
      </c>
      <c r="L295" s="13">
        <v>7.0000000000000007E-2</v>
      </c>
      <c r="M295" s="13">
        <v>0.25</v>
      </c>
    </row>
    <row r="296" spans="2:13" x14ac:dyDescent="0.25">
      <c r="B296" s="14" t="s">
        <v>154</v>
      </c>
      <c r="C296" s="14" t="s">
        <v>70</v>
      </c>
      <c r="D296" t="s">
        <v>46</v>
      </c>
      <c r="E296" s="16" t="s">
        <v>133</v>
      </c>
      <c r="F296">
        <v>2028</v>
      </c>
      <c r="G296" s="12">
        <v>262634.14492155798</v>
      </c>
      <c r="H296" s="13">
        <v>0.90187851789999995</v>
      </c>
      <c r="I296" s="13">
        <v>1.32E-2</v>
      </c>
      <c r="J296" s="13">
        <v>1.32E-2</v>
      </c>
      <c r="K296" s="13">
        <v>0</v>
      </c>
      <c r="L296" s="13">
        <v>7.0000000000000007E-2</v>
      </c>
      <c r="M296" s="13">
        <v>0.25</v>
      </c>
    </row>
    <row r="297" spans="2:13" x14ac:dyDescent="0.25">
      <c r="B297" s="14" t="s">
        <v>154</v>
      </c>
      <c r="C297" s="14" t="s">
        <v>70</v>
      </c>
      <c r="D297" t="s">
        <v>46</v>
      </c>
      <c r="E297" s="16" t="s">
        <v>133</v>
      </c>
      <c r="F297">
        <v>2029</v>
      </c>
      <c r="G297" s="12">
        <v>267318.76439211698</v>
      </c>
      <c r="H297" s="13">
        <v>0.87062524630000004</v>
      </c>
      <c r="I297" s="13">
        <v>0.82270857959999999</v>
      </c>
      <c r="J297" s="13">
        <v>1.8974999999999999E-2</v>
      </c>
      <c r="K297" s="13">
        <v>0</v>
      </c>
      <c r="L297" s="13">
        <v>7.0000000000000007E-2</v>
      </c>
      <c r="M297" s="13">
        <v>0.25</v>
      </c>
    </row>
    <row r="298" spans="2:13" x14ac:dyDescent="0.25">
      <c r="B298" s="14" t="s">
        <v>154</v>
      </c>
      <c r="C298" s="14" t="s">
        <v>70</v>
      </c>
      <c r="D298" t="s">
        <v>46</v>
      </c>
      <c r="E298" s="16" t="s">
        <v>133</v>
      </c>
      <c r="F298">
        <v>2030</v>
      </c>
      <c r="G298" s="12">
        <v>271418.71672022698</v>
      </c>
      <c r="H298" s="13">
        <v>0.91507851790000005</v>
      </c>
      <c r="I298" s="13">
        <v>0.86507851790000001</v>
      </c>
      <c r="J298" s="13">
        <v>2.64E-2</v>
      </c>
      <c r="K298" s="13">
        <v>0</v>
      </c>
      <c r="L298" s="13">
        <v>7.0000000000000007E-2</v>
      </c>
      <c r="M298" s="13">
        <v>0.25</v>
      </c>
    </row>
    <row r="299" spans="2:13" x14ac:dyDescent="0.25">
      <c r="B299" s="14" t="s">
        <v>154</v>
      </c>
      <c r="C299" s="14" t="s">
        <v>72</v>
      </c>
      <c r="D299" t="s">
        <v>46</v>
      </c>
      <c r="E299" s="16" t="s">
        <v>133</v>
      </c>
      <c r="F299">
        <v>2026</v>
      </c>
      <c r="G299" s="12">
        <v>252184</v>
      </c>
      <c r="H299" s="13">
        <v>0.64</v>
      </c>
      <c r="I299" s="13">
        <v>0.60719999999999996</v>
      </c>
      <c r="J299" s="13">
        <v>0.56000000000000005</v>
      </c>
      <c r="K299" s="13"/>
      <c r="L299" s="13">
        <v>7.0000000000000007E-2</v>
      </c>
      <c r="M299" s="13">
        <v>0.25</v>
      </c>
    </row>
    <row r="300" spans="2:13" x14ac:dyDescent="0.25">
      <c r="B300" s="14" t="s">
        <v>154</v>
      </c>
      <c r="C300" s="14" t="s">
        <v>72</v>
      </c>
      <c r="D300" t="s">
        <v>46</v>
      </c>
      <c r="E300" s="16" t="s">
        <v>133</v>
      </c>
      <c r="F300">
        <v>2027</v>
      </c>
      <c r="G300" s="12">
        <v>257400.229630332</v>
      </c>
      <c r="H300" s="13">
        <v>0.85760473020000005</v>
      </c>
      <c r="I300" s="13">
        <v>0.81399073779999997</v>
      </c>
      <c r="J300" s="13">
        <v>0.75122913899999999</v>
      </c>
      <c r="K300" s="13"/>
      <c r="L300" s="13">
        <v>7.0000000000000007E-2</v>
      </c>
      <c r="M300" s="13">
        <v>0.25</v>
      </c>
    </row>
    <row r="301" spans="2:13" x14ac:dyDescent="0.25">
      <c r="B301" s="14" t="s">
        <v>154</v>
      </c>
      <c r="C301" s="14" t="s">
        <v>72</v>
      </c>
      <c r="D301" t="s">
        <v>46</v>
      </c>
      <c r="E301" s="16" t="s">
        <v>133</v>
      </c>
      <c r="F301">
        <v>2028</v>
      </c>
      <c r="G301" s="12">
        <v>262634.14492155798</v>
      </c>
      <c r="H301" s="13">
        <v>0.86420473019999999</v>
      </c>
      <c r="I301" s="13">
        <v>0.82059073780000003</v>
      </c>
      <c r="J301" s="13">
        <v>0.75782913900000004</v>
      </c>
      <c r="K301" s="13"/>
      <c r="L301" s="13">
        <v>7.0000000000000007E-2</v>
      </c>
      <c r="M301" s="13">
        <v>0.25</v>
      </c>
    </row>
    <row r="302" spans="2:13" x14ac:dyDescent="0.25">
      <c r="B302" s="14" t="s">
        <v>154</v>
      </c>
      <c r="C302" s="14" t="s">
        <v>72</v>
      </c>
      <c r="D302" t="s">
        <v>46</v>
      </c>
      <c r="E302" s="16" t="s">
        <v>133</v>
      </c>
      <c r="F302">
        <v>2029</v>
      </c>
      <c r="G302" s="12">
        <v>267318.76439211698</v>
      </c>
      <c r="H302" s="13">
        <v>0.87080473020000004</v>
      </c>
      <c r="I302" s="13">
        <v>0.82719073779999996</v>
      </c>
      <c r="J302" s="13">
        <v>0.76442913899999998</v>
      </c>
      <c r="K302" s="13"/>
      <c r="L302" s="13">
        <v>7.0000000000000007E-2</v>
      </c>
      <c r="M302" s="13">
        <v>0.25</v>
      </c>
    </row>
    <row r="303" spans="2:13" x14ac:dyDescent="0.25">
      <c r="B303" s="14" t="s">
        <v>154</v>
      </c>
      <c r="C303" s="14" t="s">
        <v>72</v>
      </c>
      <c r="D303" t="s">
        <v>46</v>
      </c>
      <c r="E303" s="16" t="s">
        <v>133</v>
      </c>
      <c r="F303">
        <v>2030</v>
      </c>
      <c r="G303" s="12">
        <v>271418.71672022698</v>
      </c>
      <c r="H303" s="13">
        <v>0.87740473019999998</v>
      </c>
      <c r="I303" s="13">
        <v>0.83379073780000001</v>
      </c>
      <c r="J303" s="13">
        <v>0.77102913900000003</v>
      </c>
      <c r="K303" s="13"/>
      <c r="L303" s="13">
        <v>7.0000000000000007E-2</v>
      </c>
      <c r="M303" s="13">
        <v>0.25</v>
      </c>
    </row>
    <row r="304" spans="2:13" x14ac:dyDescent="0.25">
      <c r="B304" s="14" t="s">
        <v>154</v>
      </c>
      <c r="C304" s="14" t="s">
        <v>102</v>
      </c>
      <c r="D304" t="s">
        <v>46</v>
      </c>
      <c r="E304" s="16" t="s">
        <v>133</v>
      </c>
      <c r="F304">
        <v>2030</v>
      </c>
      <c r="G304" s="12">
        <v>271418.71672022698</v>
      </c>
      <c r="H304" s="13">
        <v>0.4141499938</v>
      </c>
      <c r="I304" s="13"/>
      <c r="J304" s="13"/>
      <c r="K304" s="13"/>
      <c r="L304" s="13">
        <v>7.0000000000000007E-2</v>
      </c>
      <c r="M304" s="13">
        <v>0.25</v>
      </c>
    </row>
    <row r="305" spans="2:13" x14ac:dyDescent="0.25">
      <c r="B305" s="14" t="s">
        <v>154</v>
      </c>
      <c r="C305" s="14" t="s">
        <v>15</v>
      </c>
      <c r="D305" t="s">
        <v>136</v>
      </c>
      <c r="E305" s="16" t="s">
        <v>133</v>
      </c>
      <c r="F305">
        <v>2026</v>
      </c>
      <c r="G305" s="12">
        <v>0</v>
      </c>
      <c r="H305" s="13">
        <v>0</v>
      </c>
      <c r="I305" s="13"/>
      <c r="J305" s="13"/>
      <c r="K305" s="13"/>
      <c r="L305" s="13">
        <v>0.05</v>
      </c>
      <c r="M305" s="13">
        <v>0.25</v>
      </c>
    </row>
    <row r="306" spans="2:13" x14ac:dyDescent="0.25">
      <c r="B306" s="14" t="s">
        <v>154</v>
      </c>
      <c r="C306" s="14" t="s">
        <v>15</v>
      </c>
      <c r="D306" t="s">
        <v>136</v>
      </c>
      <c r="E306" s="16" t="s">
        <v>133</v>
      </c>
      <c r="F306">
        <v>2027</v>
      </c>
      <c r="G306" s="12">
        <v>507461</v>
      </c>
      <c r="H306" s="13">
        <v>0.8</v>
      </c>
      <c r="I306" s="13"/>
      <c r="J306" s="13"/>
      <c r="K306" s="13"/>
      <c r="L306" s="13">
        <v>0.05</v>
      </c>
      <c r="M306" s="13">
        <v>0.25</v>
      </c>
    </row>
    <row r="307" spans="2:13" x14ac:dyDescent="0.25">
      <c r="B307" s="14" t="s">
        <v>154</v>
      </c>
      <c r="C307" s="14" t="s">
        <v>15</v>
      </c>
      <c r="D307" t="s">
        <v>136</v>
      </c>
      <c r="E307" s="16" t="s">
        <v>133</v>
      </c>
      <c r="F307">
        <v>2028</v>
      </c>
      <c r="G307" s="12">
        <v>0</v>
      </c>
      <c r="H307" s="13">
        <v>0</v>
      </c>
      <c r="I307" s="13"/>
      <c r="J307" s="13"/>
      <c r="K307" s="13"/>
      <c r="L307" s="13">
        <v>0.05</v>
      </c>
      <c r="M307" s="13">
        <v>0.25</v>
      </c>
    </row>
    <row r="308" spans="2:13" x14ac:dyDescent="0.25">
      <c r="B308" s="14" t="s">
        <v>154</v>
      </c>
      <c r="C308" s="14" t="s">
        <v>15</v>
      </c>
      <c r="D308" t="s">
        <v>46</v>
      </c>
      <c r="E308" s="16" t="s">
        <v>133</v>
      </c>
      <c r="F308">
        <v>2026</v>
      </c>
      <c r="G308" s="12">
        <v>91923</v>
      </c>
      <c r="H308" s="13">
        <v>0</v>
      </c>
      <c r="I308" s="13"/>
      <c r="J308" s="13"/>
      <c r="K308" s="13"/>
      <c r="L308" s="13">
        <v>0.05</v>
      </c>
      <c r="M308" s="13">
        <v>0.25</v>
      </c>
    </row>
    <row r="309" spans="2:13" x14ac:dyDescent="0.25">
      <c r="B309" s="14" t="s">
        <v>154</v>
      </c>
      <c r="C309" s="14" t="s">
        <v>15</v>
      </c>
      <c r="D309" t="s">
        <v>46</v>
      </c>
      <c r="E309" s="16" t="s">
        <v>133</v>
      </c>
      <c r="F309">
        <v>2027</v>
      </c>
      <c r="G309" s="12">
        <v>93530</v>
      </c>
      <c r="H309" s="13">
        <v>0.43414185090000001</v>
      </c>
      <c r="I309" s="13"/>
      <c r="J309" s="13"/>
      <c r="K309" s="13"/>
      <c r="L309" s="13">
        <v>0.05</v>
      </c>
      <c r="M309" s="13">
        <v>0.25</v>
      </c>
    </row>
    <row r="310" spans="2:13" x14ac:dyDescent="0.25">
      <c r="B310" s="14" t="s">
        <v>154</v>
      </c>
      <c r="C310" s="14" t="s">
        <v>15</v>
      </c>
      <c r="D310" t="s">
        <v>46</v>
      </c>
      <c r="E310" s="16" t="s">
        <v>133</v>
      </c>
      <c r="F310">
        <v>2028</v>
      </c>
      <c r="G310" s="12">
        <v>95015</v>
      </c>
      <c r="H310" s="13">
        <v>0.43876244749999999</v>
      </c>
      <c r="I310" s="13"/>
      <c r="J310" s="13"/>
      <c r="K310" s="13"/>
      <c r="L310" s="13">
        <v>0.05</v>
      </c>
      <c r="M310" s="13">
        <v>0.25</v>
      </c>
    </row>
    <row r="311" spans="2:13" x14ac:dyDescent="0.25">
      <c r="B311" s="14" t="s">
        <v>154</v>
      </c>
      <c r="C311" s="14" t="s">
        <v>15</v>
      </c>
      <c r="D311" t="s">
        <v>46</v>
      </c>
      <c r="E311" s="16" t="s">
        <v>133</v>
      </c>
      <c r="F311">
        <v>2029</v>
      </c>
      <c r="G311" s="12">
        <v>97534</v>
      </c>
      <c r="H311" s="13">
        <v>0.44338304420000002</v>
      </c>
      <c r="I311" s="13"/>
      <c r="J311" s="13"/>
      <c r="K311" s="13"/>
      <c r="L311" s="13">
        <v>0.05</v>
      </c>
      <c r="M311" s="13">
        <v>0.25</v>
      </c>
    </row>
    <row r="312" spans="2:13" x14ac:dyDescent="0.25">
      <c r="B312" s="14" t="s">
        <v>154</v>
      </c>
      <c r="C312" s="14" t="s">
        <v>15</v>
      </c>
      <c r="D312" t="s">
        <v>46</v>
      </c>
      <c r="E312" s="16" t="s">
        <v>133</v>
      </c>
      <c r="F312">
        <v>2030</v>
      </c>
      <c r="G312" s="12">
        <v>101167</v>
      </c>
      <c r="H312" s="13">
        <v>0.4480036409</v>
      </c>
      <c r="I312" s="13"/>
      <c r="J312" s="13"/>
      <c r="K312" s="13"/>
      <c r="L312" s="13">
        <v>0.05</v>
      </c>
      <c r="M312" s="13">
        <v>0.25</v>
      </c>
    </row>
    <row r="313" spans="2:13" x14ac:dyDescent="0.25">
      <c r="B313" s="14" t="s">
        <v>154</v>
      </c>
      <c r="C313" s="14" t="s">
        <v>145</v>
      </c>
      <c r="D313" t="s">
        <v>46</v>
      </c>
      <c r="E313" s="16" t="s">
        <v>133</v>
      </c>
      <c r="F313">
        <v>2026</v>
      </c>
      <c r="G313" s="12">
        <v>210294.289523716</v>
      </c>
      <c r="H313" s="13">
        <v>0.43</v>
      </c>
      <c r="I313" s="13">
        <v>0.34</v>
      </c>
      <c r="J313" s="13">
        <v>0.33</v>
      </c>
      <c r="K313" s="13">
        <v>0.27500000000000002</v>
      </c>
      <c r="L313" s="13"/>
      <c r="M313" s="13">
        <v>0.25</v>
      </c>
    </row>
    <row r="314" spans="2:13" x14ac:dyDescent="0.25">
      <c r="B314" s="14" t="s">
        <v>154</v>
      </c>
      <c r="C314" s="14" t="s">
        <v>145</v>
      </c>
      <c r="D314" t="s">
        <v>46</v>
      </c>
      <c r="E314" s="16" t="s">
        <v>133</v>
      </c>
      <c r="F314">
        <v>2027</v>
      </c>
      <c r="G314" s="12">
        <v>193885.707835793</v>
      </c>
      <c r="H314" s="13">
        <v>0.435</v>
      </c>
      <c r="I314" s="13">
        <v>0.34499999999999997</v>
      </c>
      <c r="J314" s="13">
        <v>0.33500000000000002</v>
      </c>
      <c r="K314" s="13">
        <v>0.28000000000000003</v>
      </c>
      <c r="L314" s="13"/>
      <c r="M314" s="13">
        <v>0.25</v>
      </c>
    </row>
    <row r="315" spans="2:13" x14ac:dyDescent="0.25">
      <c r="B315" s="14" t="s">
        <v>154</v>
      </c>
      <c r="C315" s="14" t="s">
        <v>145</v>
      </c>
      <c r="D315" t="s">
        <v>46</v>
      </c>
      <c r="E315" s="16" t="s">
        <v>133</v>
      </c>
      <c r="F315">
        <v>2028</v>
      </c>
      <c r="G315" s="12">
        <v>176232.79209484899</v>
      </c>
      <c r="H315" s="13">
        <v>0.44</v>
      </c>
      <c r="I315" s="13">
        <v>0.35</v>
      </c>
      <c r="J315" s="13">
        <v>0.34</v>
      </c>
      <c r="K315" s="13">
        <v>0.28499999999999998</v>
      </c>
      <c r="L315" s="13"/>
      <c r="M315" s="13">
        <v>0.25</v>
      </c>
    </row>
    <row r="316" spans="2:13" x14ac:dyDescent="0.25">
      <c r="B316" s="14" t="s">
        <v>154</v>
      </c>
      <c r="C316" s="14" t="s">
        <v>145</v>
      </c>
      <c r="D316" t="s">
        <v>46</v>
      </c>
      <c r="E316" s="16" t="s">
        <v>133</v>
      </c>
      <c r="F316">
        <v>2029</v>
      </c>
      <c r="G316" s="12">
        <v>157142.746406861</v>
      </c>
      <c r="H316" s="13">
        <v>0.44500000000000001</v>
      </c>
      <c r="I316" s="13">
        <v>0.35499999999999998</v>
      </c>
      <c r="J316" s="13">
        <v>0.34499999999999997</v>
      </c>
      <c r="K316" s="13">
        <v>0.28999999999999998</v>
      </c>
      <c r="L316" s="13"/>
      <c r="M316" s="13">
        <v>0.25</v>
      </c>
    </row>
    <row r="317" spans="2:13" x14ac:dyDescent="0.25">
      <c r="B317" s="14" t="s">
        <v>154</v>
      </c>
      <c r="C317" s="14" t="s">
        <v>145</v>
      </c>
      <c r="D317" t="s">
        <v>46</v>
      </c>
      <c r="E317" s="16" t="s">
        <v>133</v>
      </c>
      <c r="F317">
        <v>2030</v>
      </c>
      <c r="G317" s="12">
        <v>159563.452292478</v>
      </c>
      <c r="H317" s="13">
        <v>0.45</v>
      </c>
      <c r="I317" s="13">
        <v>0.36</v>
      </c>
      <c r="J317" s="13">
        <v>0.35</v>
      </c>
      <c r="K317" s="13">
        <v>0.29499999999999998</v>
      </c>
      <c r="L317" s="13"/>
      <c r="M317" s="13">
        <v>0.25</v>
      </c>
    </row>
    <row r="318" spans="2:13" x14ac:dyDescent="0.25">
      <c r="B318" s="14" t="s">
        <v>154</v>
      </c>
      <c r="C318" s="14" t="s">
        <v>121</v>
      </c>
      <c r="D318" t="s">
        <v>141</v>
      </c>
      <c r="E318" s="16" t="s">
        <v>133</v>
      </c>
      <c r="F318">
        <v>2027</v>
      </c>
      <c r="G318" s="12">
        <v>1454790.9003023801</v>
      </c>
      <c r="H318" s="13">
        <v>0.85</v>
      </c>
      <c r="I318" s="13"/>
      <c r="J318" s="13"/>
      <c r="K318" s="13"/>
      <c r="L318" s="13"/>
      <c r="M318" s="13"/>
    </row>
    <row r="319" spans="2:13" x14ac:dyDescent="0.25">
      <c r="B319" s="14" t="s">
        <v>154</v>
      </c>
      <c r="C319" s="14" t="s">
        <v>121</v>
      </c>
      <c r="D319" t="s">
        <v>138</v>
      </c>
      <c r="E319" s="16" t="s">
        <v>133</v>
      </c>
      <c r="F319">
        <v>2027</v>
      </c>
      <c r="G319" s="12">
        <v>247421</v>
      </c>
      <c r="H319" s="13">
        <v>0.42980000000000002</v>
      </c>
      <c r="I319" s="13">
        <v>0.38020826099999999</v>
      </c>
      <c r="J319" s="13"/>
      <c r="K319" s="13"/>
      <c r="L319" s="13"/>
      <c r="M319" s="13"/>
    </row>
    <row r="320" spans="2:13" x14ac:dyDescent="0.25">
      <c r="B320" s="14" t="s">
        <v>154</v>
      </c>
      <c r="C320" s="14" t="s">
        <v>121</v>
      </c>
      <c r="D320" t="s">
        <v>138</v>
      </c>
      <c r="E320" s="16" t="s">
        <v>133</v>
      </c>
      <c r="F320">
        <v>2028</v>
      </c>
      <c r="G320" s="12">
        <v>252452</v>
      </c>
      <c r="H320" s="13">
        <v>0.43640000000000001</v>
      </c>
      <c r="I320" s="13">
        <v>0.3860467313</v>
      </c>
      <c r="J320" s="13"/>
      <c r="K320" s="13"/>
      <c r="L320" s="13"/>
      <c r="M320" s="13"/>
    </row>
    <row r="321" spans="2:13" x14ac:dyDescent="0.25">
      <c r="B321" s="14" t="s">
        <v>154</v>
      </c>
      <c r="C321" s="14" t="s">
        <v>38</v>
      </c>
      <c r="D321" t="s">
        <v>46</v>
      </c>
      <c r="E321" s="16" t="s">
        <v>133</v>
      </c>
      <c r="F321">
        <v>2026</v>
      </c>
      <c r="G321" s="12">
        <v>252184</v>
      </c>
      <c r="H321" s="13">
        <v>0.56999999999999995</v>
      </c>
      <c r="I321" s="13"/>
      <c r="J321" s="13"/>
      <c r="K321" s="13"/>
      <c r="L321" s="13">
        <v>0.2</v>
      </c>
      <c r="M321" s="13">
        <v>0.25</v>
      </c>
    </row>
    <row r="322" spans="2:13" x14ac:dyDescent="0.25">
      <c r="B322" s="14" t="s">
        <v>154</v>
      </c>
      <c r="C322" s="14" t="s">
        <v>38</v>
      </c>
      <c r="D322" t="s">
        <v>46</v>
      </c>
      <c r="E322" s="16" t="s">
        <v>133</v>
      </c>
      <c r="F322">
        <v>2027</v>
      </c>
      <c r="G322" s="12">
        <v>258341</v>
      </c>
      <c r="H322" s="13">
        <v>0.61</v>
      </c>
      <c r="I322" s="13"/>
      <c r="J322" s="13"/>
      <c r="K322" s="13"/>
      <c r="L322" s="13">
        <v>0.2</v>
      </c>
      <c r="M322" s="13">
        <v>0.25</v>
      </c>
    </row>
    <row r="323" spans="2:13" x14ac:dyDescent="0.25">
      <c r="B323" s="14" t="s">
        <v>154</v>
      </c>
      <c r="C323" s="14" t="s">
        <v>38</v>
      </c>
      <c r="D323" t="s">
        <v>46</v>
      </c>
      <c r="E323" s="16" t="s">
        <v>133</v>
      </c>
      <c r="F323">
        <v>2028</v>
      </c>
      <c r="G323" s="12">
        <v>263594</v>
      </c>
      <c r="H323" s="13">
        <v>0.61</v>
      </c>
      <c r="I323" s="13"/>
      <c r="J323" s="13"/>
      <c r="K323" s="13"/>
      <c r="L323" s="13">
        <v>0.2</v>
      </c>
      <c r="M323" s="13">
        <v>0.25</v>
      </c>
    </row>
    <row r="324" spans="2:13" x14ac:dyDescent="0.25">
      <c r="B324" s="14" t="s">
        <v>154</v>
      </c>
      <c r="C324" s="14" t="s">
        <v>38</v>
      </c>
      <c r="D324" t="s">
        <v>46</v>
      </c>
      <c r="E324" s="16" t="s">
        <v>133</v>
      </c>
      <c r="F324">
        <v>2029</v>
      </c>
      <c r="G324" s="12">
        <v>268296</v>
      </c>
      <c r="H324" s="13">
        <v>0.61</v>
      </c>
      <c r="I324" s="13"/>
      <c r="J324" s="13"/>
      <c r="K324" s="13"/>
      <c r="L324" s="13">
        <v>0.2</v>
      </c>
      <c r="M324" s="13">
        <v>0.25</v>
      </c>
    </row>
    <row r="325" spans="2:13" x14ac:dyDescent="0.25">
      <c r="B325" s="14" t="s">
        <v>154</v>
      </c>
      <c r="C325" s="14" t="s">
        <v>38</v>
      </c>
      <c r="D325" t="s">
        <v>46</v>
      </c>
      <c r="E325" s="16" t="s">
        <v>133</v>
      </c>
      <c r="F325">
        <v>2030</v>
      </c>
      <c r="G325" s="12">
        <v>272411</v>
      </c>
      <c r="H325" s="13">
        <v>0.61</v>
      </c>
      <c r="I325" s="13"/>
      <c r="J325" s="13"/>
      <c r="K325" s="13"/>
      <c r="L325" s="13">
        <v>0.2</v>
      </c>
      <c r="M325" s="13">
        <v>0.25</v>
      </c>
    </row>
    <row r="326" spans="2:13" x14ac:dyDescent="0.25">
      <c r="B326" s="14" t="s">
        <v>154</v>
      </c>
      <c r="C326" s="14" t="s">
        <v>52</v>
      </c>
      <c r="D326" t="s">
        <v>137</v>
      </c>
      <c r="E326" s="16" t="s">
        <v>133</v>
      </c>
      <c r="F326">
        <v>2029</v>
      </c>
      <c r="G326" s="12">
        <v>2212286.0454545501</v>
      </c>
      <c r="H326" s="13">
        <v>0.85</v>
      </c>
      <c r="I326" s="13"/>
      <c r="J326" s="13"/>
      <c r="K326" s="13"/>
      <c r="L326" s="13"/>
      <c r="M326" s="13"/>
    </row>
    <row r="327" spans="2:13" x14ac:dyDescent="0.25">
      <c r="B327" s="14" t="s">
        <v>154</v>
      </c>
      <c r="C327" s="14" t="s">
        <v>52</v>
      </c>
      <c r="D327" t="s">
        <v>138</v>
      </c>
      <c r="E327" s="16" t="s">
        <v>133</v>
      </c>
      <c r="F327">
        <v>2029</v>
      </c>
      <c r="G327" s="12">
        <v>256955</v>
      </c>
      <c r="H327" s="13">
        <v>0.443</v>
      </c>
      <c r="I327" s="13">
        <v>0.40560118360000003</v>
      </c>
      <c r="J327" s="13"/>
      <c r="K327" s="13"/>
      <c r="L327" s="13"/>
      <c r="M327" s="13"/>
    </row>
    <row r="328" spans="2:13" x14ac:dyDescent="0.25">
      <c r="B328" s="14" t="s">
        <v>154</v>
      </c>
      <c r="C328" s="14" t="s">
        <v>52</v>
      </c>
      <c r="D328" t="s">
        <v>138</v>
      </c>
      <c r="E328" s="16" t="s">
        <v>133</v>
      </c>
      <c r="F328">
        <v>2030</v>
      </c>
      <c r="G328" s="12">
        <v>260896</v>
      </c>
      <c r="H328" s="13">
        <v>0.4496</v>
      </c>
      <c r="I328" s="13">
        <v>0.41164400029999998</v>
      </c>
      <c r="J328" s="13"/>
      <c r="K328" s="13"/>
      <c r="L328" s="13"/>
      <c r="M328" s="13"/>
    </row>
    <row r="329" spans="2:13" x14ac:dyDescent="0.25">
      <c r="B329" s="14" t="s">
        <v>154</v>
      </c>
      <c r="C329" s="14" t="s">
        <v>146</v>
      </c>
      <c r="D329" t="s">
        <v>46</v>
      </c>
      <c r="E329" s="16" t="s">
        <v>133</v>
      </c>
      <c r="F329">
        <v>2030</v>
      </c>
      <c r="G329" s="12">
        <v>574.23149999999998</v>
      </c>
      <c r="H329" s="13"/>
      <c r="I329" s="13"/>
      <c r="J329" s="13"/>
      <c r="K329" s="13"/>
      <c r="L329" s="13"/>
      <c r="M329" s="13">
        <v>0.25</v>
      </c>
    </row>
    <row r="330" spans="2:13" x14ac:dyDescent="0.25">
      <c r="B330" s="14" t="s">
        <v>154</v>
      </c>
      <c r="C330" s="14" t="s">
        <v>139</v>
      </c>
      <c r="D330" t="s">
        <v>46</v>
      </c>
      <c r="E330" s="16" t="s">
        <v>133</v>
      </c>
      <c r="F330">
        <v>2028</v>
      </c>
      <c r="G330" s="12">
        <v>252452</v>
      </c>
      <c r="H330" s="13">
        <v>0.56389199999999995</v>
      </c>
      <c r="I330" s="13">
        <v>0.51371783999999998</v>
      </c>
      <c r="J330" s="13">
        <v>0.44151600000000002</v>
      </c>
      <c r="K330" s="13"/>
      <c r="L330" s="13">
        <v>7.0000000000000007E-2</v>
      </c>
      <c r="M330" s="13">
        <v>0.25</v>
      </c>
    </row>
    <row r="331" spans="2:13" x14ac:dyDescent="0.25">
      <c r="B331" s="14" t="s">
        <v>154</v>
      </c>
      <c r="C331" s="14" t="s">
        <v>74</v>
      </c>
      <c r="D331" t="s">
        <v>142</v>
      </c>
      <c r="E331" s="16" t="s">
        <v>133</v>
      </c>
      <c r="F331">
        <v>2028</v>
      </c>
      <c r="G331" s="12">
        <v>2675675.6756756799</v>
      </c>
      <c r="H331" s="13">
        <v>1</v>
      </c>
      <c r="I331" s="13"/>
      <c r="J331" s="13"/>
      <c r="K331" s="13"/>
      <c r="L331" s="13">
        <v>0.1</v>
      </c>
      <c r="M331" s="13">
        <v>0</v>
      </c>
    </row>
    <row r="332" spans="2:13" x14ac:dyDescent="0.25">
      <c r="B332" s="14" t="s">
        <v>154</v>
      </c>
      <c r="C332" s="14" t="s">
        <v>74</v>
      </c>
      <c r="D332" t="s">
        <v>46</v>
      </c>
      <c r="E332" s="16" t="s">
        <v>133</v>
      </c>
      <c r="F332">
        <v>2026</v>
      </c>
      <c r="G332" s="12">
        <v>252184</v>
      </c>
      <c r="H332" s="13">
        <v>0.56999999999999995</v>
      </c>
      <c r="I332" s="13"/>
      <c r="J332" s="13"/>
      <c r="K332" s="13"/>
      <c r="L332" s="13">
        <v>0.2</v>
      </c>
      <c r="M332" s="13">
        <v>0.25</v>
      </c>
    </row>
    <row r="333" spans="2:13" x14ac:dyDescent="0.25">
      <c r="B333" s="14" t="s">
        <v>154</v>
      </c>
      <c r="C333" s="14" t="s">
        <v>74</v>
      </c>
      <c r="D333" t="s">
        <v>46</v>
      </c>
      <c r="E333" s="16" t="s">
        <v>133</v>
      </c>
      <c r="F333">
        <v>2027</v>
      </c>
      <c r="G333" s="12">
        <v>258341</v>
      </c>
      <c r="H333" s="13">
        <v>0.61</v>
      </c>
      <c r="I333" s="13"/>
      <c r="J333" s="13"/>
      <c r="K333" s="13"/>
      <c r="L333" s="13">
        <v>0.2</v>
      </c>
      <c r="M333" s="13">
        <v>0.25</v>
      </c>
    </row>
    <row r="334" spans="2:13" x14ac:dyDescent="0.25">
      <c r="B334" s="14" t="s">
        <v>154</v>
      </c>
      <c r="C334" s="14" t="s">
        <v>74</v>
      </c>
      <c r="D334" t="s">
        <v>46</v>
      </c>
      <c r="E334" s="16" t="s">
        <v>133</v>
      </c>
      <c r="F334">
        <v>2028</v>
      </c>
      <c r="G334" s="12">
        <v>263594</v>
      </c>
      <c r="H334" s="13">
        <v>0.61</v>
      </c>
      <c r="I334" s="13"/>
      <c r="J334" s="13"/>
      <c r="K334" s="13"/>
      <c r="L334" s="13">
        <v>0.2</v>
      </c>
      <c r="M334" s="13">
        <v>0.25</v>
      </c>
    </row>
    <row r="335" spans="2:13" x14ac:dyDescent="0.25">
      <c r="B335" s="14" t="s">
        <v>154</v>
      </c>
      <c r="C335" s="14" t="s">
        <v>74</v>
      </c>
      <c r="D335" t="s">
        <v>46</v>
      </c>
      <c r="E335" s="16" t="s">
        <v>133</v>
      </c>
      <c r="F335">
        <v>2029</v>
      </c>
      <c r="G335" s="12">
        <v>268296</v>
      </c>
      <c r="H335" s="13">
        <v>0.61</v>
      </c>
      <c r="I335" s="13"/>
      <c r="J335" s="13"/>
      <c r="K335" s="13"/>
      <c r="L335" s="13">
        <v>0.2</v>
      </c>
      <c r="M335" s="13">
        <v>0.25</v>
      </c>
    </row>
    <row r="336" spans="2:13" x14ac:dyDescent="0.25">
      <c r="B336" s="15" t="s">
        <v>154</v>
      </c>
      <c r="C336" s="14" t="s">
        <v>74</v>
      </c>
      <c r="D336" t="s">
        <v>46</v>
      </c>
      <c r="E336" s="16" t="s">
        <v>133</v>
      </c>
      <c r="F336">
        <v>2030</v>
      </c>
      <c r="G336" s="12">
        <v>272411</v>
      </c>
      <c r="H336" s="13">
        <v>0.61</v>
      </c>
      <c r="I336" s="13"/>
      <c r="J336" s="13"/>
      <c r="K336" s="13"/>
      <c r="L336" s="13">
        <v>0.2</v>
      </c>
      <c r="M336" s="13">
        <v>0.25</v>
      </c>
    </row>
    <row r="337" spans="2:13" x14ac:dyDescent="0.25">
      <c r="B337" s="14" t="s">
        <v>155</v>
      </c>
      <c r="C337" s="14" t="s">
        <v>132</v>
      </c>
      <c r="D337" t="s">
        <v>46</v>
      </c>
      <c r="E337" s="16" t="s">
        <v>133</v>
      </c>
      <c r="F337">
        <v>2026</v>
      </c>
      <c r="G337" s="12">
        <v>966918</v>
      </c>
      <c r="H337" s="13">
        <v>0.99</v>
      </c>
      <c r="I337" s="13">
        <v>0.94099999999999995</v>
      </c>
      <c r="J337" s="13">
        <v>0.87</v>
      </c>
      <c r="K337" s="13">
        <v>0</v>
      </c>
      <c r="L337" s="13">
        <v>7.0000000000000007E-2</v>
      </c>
      <c r="M337" s="13">
        <v>0.25</v>
      </c>
    </row>
    <row r="338" spans="2:13" x14ac:dyDescent="0.25">
      <c r="B338" s="14" t="s">
        <v>155</v>
      </c>
      <c r="C338" s="14" t="s">
        <v>132</v>
      </c>
      <c r="D338" t="s">
        <v>46</v>
      </c>
      <c r="E338" s="16" t="s">
        <v>133</v>
      </c>
      <c r="F338">
        <v>2027</v>
      </c>
      <c r="G338" s="12">
        <v>981479</v>
      </c>
      <c r="H338" s="13">
        <v>0.99</v>
      </c>
      <c r="I338" s="13">
        <v>0.94499999999999995</v>
      </c>
      <c r="J338" s="13">
        <v>0.88</v>
      </c>
      <c r="K338" s="13">
        <v>0</v>
      </c>
      <c r="L338" s="13">
        <v>7.0000000000000007E-2</v>
      </c>
      <c r="M338" s="13">
        <v>0.25</v>
      </c>
    </row>
    <row r="339" spans="2:13" x14ac:dyDescent="0.25">
      <c r="B339" s="14" t="s">
        <v>155</v>
      </c>
      <c r="C339" s="14" t="s">
        <v>132</v>
      </c>
      <c r="D339" t="s">
        <v>46</v>
      </c>
      <c r="E339" s="16" t="s">
        <v>133</v>
      </c>
      <c r="F339">
        <v>2028</v>
      </c>
      <c r="G339" s="12">
        <v>994459</v>
      </c>
      <c r="H339" s="13">
        <v>0.66</v>
      </c>
      <c r="I339" s="13">
        <v>0.63</v>
      </c>
      <c r="J339" s="13">
        <v>0.58666666670000001</v>
      </c>
      <c r="K339" s="13">
        <v>0</v>
      </c>
      <c r="L339" s="13">
        <v>7.0000000000000007E-2</v>
      </c>
      <c r="M339" s="13">
        <v>0.25</v>
      </c>
    </row>
    <row r="340" spans="2:13" x14ac:dyDescent="0.25">
      <c r="B340" s="14" t="s">
        <v>155</v>
      </c>
      <c r="C340" s="14" t="s">
        <v>132</v>
      </c>
      <c r="D340" t="s">
        <v>46</v>
      </c>
      <c r="E340" s="16" t="s">
        <v>133</v>
      </c>
      <c r="F340">
        <v>2029</v>
      </c>
      <c r="G340" s="12">
        <v>1006808.60139232</v>
      </c>
      <c r="H340" s="13">
        <v>0</v>
      </c>
      <c r="I340" s="13">
        <v>0</v>
      </c>
      <c r="J340" s="13">
        <v>0</v>
      </c>
      <c r="K340" s="13">
        <v>0</v>
      </c>
      <c r="L340" s="13">
        <v>7.0000000000000007E-2</v>
      </c>
      <c r="M340" s="13">
        <v>0.25</v>
      </c>
    </row>
    <row r="341" spans="2:13" x14ac:dyDescent="0.25">
      <c r="B341" s="14" t="s">
        <v>155</v>
      </c>
      <c r="C341" s="14" t="s">
        <v>70</v>
      </c>
      <c r="D341" t="s">
        <v>46</v>
      </c>
      <c r="E341" s="16" t="s">
        <v>133</v>
      </c>
      <c r="F341">
        <v>2026</v>
      </c>
      <c r="G341" s="12">
        <v>966918</v>
      </c>
      <c r="H341" s="13">
        <v>0.82</v>
      </c>
      <c r="I341" s="13">
        <v>0.79</v>
      </c>
      <c r="J341" s="13">
        <v>0</v>
      </c>
      <c r="K341" s="13">
        <v>0</v>
      </c>
      <c r="L341" s="13">
        <v>7.0000000000000007E-2</v>
      </c>
      <c r="M341" s="13">
        <v>0.25</v>
      </c>
    </row>
    <row r="342" spans="2:13" x14ac:dyDescent="0.25">
      <c r="B342" s="14" t="s">
        <v>155</v>
      </c>
      <c r="C342" s="14" t="s">
        <v>70</v>
      </c>
      <c r="D342" t="s">
        <v>46</v>
      </c>
      <c r="E342" s="16" t="s">
        <v>133</v>
      </c>
      <c r="F342">
        <v>2027</v>
      </c>
      <c r="G342" s="12">
        <v>981479</v>
      </c>
      <c r="H342" s="13">
        <v>0.83</v>
      </c>
      <c r="I342" s="13">
        <v>0.8</v>
      </c>
      <c r="J342" s="13">
        <v>0</v>
      </c>
      <c r="K342" s="13">
        <v>0</v>
      </c>
      <c r="L342" s="13">
        <v>7.0000000000000007E-2</v>
      </c>
      <c r="M342" s="13">
        <v>0.25</v>
      </c>
    </row>
    <row r="343" spans="2:13" x14ac:dyDescent="0.25">
      <c r="B343" s="14" t="s">
        <v>155</v>
      </c>
      <c r="C343" s="14" t="s">
        <v>70</v>
      </c>
      <c r="D343" t="s">
        <v>46</v>
      </c>
      <c r="E343" s="16" t="s">
        <v>133</v>
      </c>
      <c r="F343">
        <v>2028</v>
      </c>
      <c r="G343" s="12">
        <v>994459</v>
      </c>
      <c r="H343" s="13">
        <v>0.55333333330000001</v>
      </c>
      <c r="I343" s="13">
        <v>0.53333333329999999</v>
      </c>
      <c r="J343" s="13">
        <v>0</v>
      </c>
      <c r="K343" s="13">
        <v>0</v>
      </c>
      <c r="L343" s="13">
        <v>7.0000000000000007E-2</v>
      </c>
      <c r="M343" s="13">
        <v>0.25</v>
      </c>
    </row>
    <row r="344" spans="2:13" x14ac:dyDescent="0.25">
      <c r="B344" s="14" t="s">
        <v>155</v>
      </c>
      <c r="C344" s="14" t="s">
        <v>70</v>
      </c>
      <c r="D344" t="s">
        <v>46</v>
      </c>
      <c r="E344" s="16" t="s">
        <v>133</v>
      </c>
      <c r="F344">
        <v>2029</v>
      </c>
      <c r="G344" s="12">
        <v>1006808.60139232</v>
      </c>
      <c r="H344" s="13">
        <v>0</v>
      </c>
      <c r="I344" s="13">
        <v>0</v>
      </c>
      <c r="J344" s="13">
        <v>0</v>
      </c>
      <c r="K344" s="13">
        <v>0</v>
      </c>
      <c r="L344" s="13">
        <v>7.0000000000000007E-2</v>
      </c>
      <c r="M344" s="13">
        <v>0.25</v>
      </c>
    </row>
    <row r="345" spans="2:13" x14ac:dyDescent="0.25">
      <c r="B345" s="14" t="s">
        <v>155</v>
      </c>
      <c r="C345" s="14" t="s">
        <v>134</v>
      </c>
      <c r="D345" t="s">
        <v>46</v>
      </c>
      <c r="E345" s="16" t="s">
        <v>133</v>
      </c>
      <c r="F345">
        <v>2027</v>
      </c>
      <c r="G345" s="12">
        <v>979443.13608942903</v>
      </c>
      <c r="H345" s="13">
        <v>0</v>
      </c>
      <c r="I345" s="13">
        <v>0</v>
      </c>
      <c r="J345" s="13">
        <v>0</v>
      </c>
      <c r="K345" s="13">
        <v>0</v>
      </c>
      <c r="L345" s="13">
        <v>7.0000000000000007E-2</v>
      </c>
      <c r="M345" s="13">
        <v>0.25</v>
      </c>
    </row>
    <row r="346" spans="2:13" x14ac:dyDescent="0.25">
      <c r="B346" s="14" t="s">
        <v>155</v>
      </c>
      <c r="C346" s="14" t="s">
        <v>134</v>
      </c>
      <c r="D346" t="s">
        <v>46</v>
      </c>
      <c r="E346" s="16" t="s">
        <v>133</v>
      </c>
      <c r="F346">
        <v>2028</v>
      </c>
      <c r="G346" s="12">
        <v>994459</v>
      </c>
      <c r="H346" s="13">
        <v>0.33</v>
      </c>
      <c r="I346" s="13">
        <v>0.318</v>
      </c>
      <c r="J346" s="13">
        <v>0.2944</v>
      </c>
      <c r="K346" s="13">
        <v>0</v>
      </c>
      <c r="L346" s="13">
        <v>7.0000000000000007E-2</v>
      </c>
      <c r="M346" s="13">
        <v>0.25</v>
      </c>
    </row>
    <row r="347" spans="2:13" x14ac:dyDescent="0.25">
      <c r="B347" s="14" t="s">
        <v>155</v>
      </c>
      <c r="C347" s="14" t="s">
        <v>134</v>
      </c>
      <c r="D347" t="s">
        <v>46</v>
      </c>
      <c r="E347" s="16" t="s">
        <v>133</v>
      </c>
      <c r="F347">
        <v>2029</v>
      </c>
      <c r="G347" s="12">
        <v>1006808.60139232</v>
      </c>
      <c r="H347" s="13">
        <v>0.99</v>
      </c>
      <c r="I347" s="13">
        <v>0.96060000000000001</v>
      </c>
      <c r="J347" s="13">
        <v>0.88980000000000004</v>
      </c>
      <c r="K347" s="13">
        <v>0</v>
      </c>
      <c r="L347" s="13">
        <v>7.0000000000000007E-2</v>
      </c>
      <c r="M347" s="13">
        <v>0.25</v>
      </c>
    </row>
    <row r="348" spans="2:13" x14ac:dyDescent="0.25">
      <c r="B348" s="14" t="s">
        <v>155</v>
      </c>
      <c r="C348" s="14" t="s">
        <v>134</v>
      </c>
      <c r="D348" t="s">
        <v>46</v>
      </c>
      <c r="E348" s="16" t="s">
        <v>133</v>
      </c>
      <c r="F348">
        <v>2030</v>
      </c>
      <c r="G348" s="12">
        <v>1024489.59232981</v>
      </c>
      <c r="H348" s="13">
        <v>0.99</v>
      </c>
      <c r="I348" s="13">
        <v>0.96719999999999995</v>
      </c>
      <c r="J348" s="13">
        <v>0.89639999999999997</v>
      </c>
      <c r="K348" s="13">
        <v>0</v>
      </c>
      <c r="L348" s="13">
        <v>7.0000000000000007E-2</v>
      </c>
      <c r="M348" s="13">
        <v>0.25</v>
      </c>
    </row>
    <row r="349" spans="2:13" x14ac:dyDescent="0.25">
      <c r="B349" s="14" t="s">
        <v>155</v>
      </c>
      <c r="C349" s="14" t="s">
        <v>72</v>
      </c>
      <c r="D349" t="s">
        <v>46</v>
      </c>
      <c r="E349" s="16" t="s">
        <v>133</v>
      </c>
      <c r="F349">
        <v>2026</v>
      </c>
      <c r="G349" s="12">
        <v>966918</v>
      </c>
      <c r="H349" s="13">
        <v>0.99</v>
      </c>
      <c r="I349" s="13">
        <v>0.94099999999999995</v>
      </c>
      <c r="J349" s="13">
        <v>0.87</v>
      </c>
      <c r="K349" s="13"/>
      <c r="L349" s="13">
        <v>7.0000000000000007E-2</v>
      </c>
      <c r="M349" s="13">
        <v>0.25</v>
      </c>
    </row>
    <row r="350" spans="2:13" x14ac:dyDescent="0.25">
      <c r="B350" s="14" t="s">
        <v>155</v>
      </c>
      <c r="C350" s="14" t="s">
        <v>72</v>
      </c>
      <c r="D350" t="s">
        <v>46</v>
      </c>
      <c r="E350" s="16" t="s">
        <v>133</v>
      </c>
      <c r="F350">
        <v>2027</v>
      </c>
      <c r="G350" s="12">
        <v>981479</v>
      </c>
      <c r="H350" s="13">
        <v>0.99</v>
      </c>
      <c r="I350" s="13">
        <v>0.94499999999999995</v>
      </c>
      <c r="J350" s="13">
        <v>0.88</v>
      </c>
      <c r="K350" s="13"/>
      <c r="L350" s="13">
        <v>7.0000000000000007E-2</v>
      </c>
      <c r="M350" s="13">
        <v>0.25</v>
      </c>
    </row>
    <row r="351" spans="2:13" x14ac:dyDescent="0.25">
      <c r="B351" s="14" t="s">
        <v>155</v>
      </c>
      <c r="C351" s="14" t="s">
        <v>72</v>
      </c>
      <c r="D351" t="s">
        <v>46</v>
      </c>
      <c r="E351" s="16" t="s">
        <v>133</v>
      </c>
      <c r="F351">
        <v>2028</v>
      </c>
      <c r="G351" s="12">
        <v>994459</v>
      </c>
      <c r="H351" s="13">
        <v>0.99</v>
      </c>
      <c r="I351" s="13">
        <v>0.94499999999999995</v>
      </c>
      <c r="J351" s="13">
        <v>0.88</v>
      </c>
      <c r="K351" s="13"/>
      <c r="L351" s="13">
        <v>7.0000000000000007E-2</v>
      </c>
      <c r="M351" s="13">
        <v>0.25</v>
      </c>
    </row>
    <row r="352" spans="2:13" x14ac:dyDescent="0.25">
      <c r="B352" s="14" t="s">
        <v>155</v>
      </c>
      <c r="C352" s="14" t="s">
        <v>72</v>
      </c>
      <c r="D352" t="s">
        <v>46</v>
      </c>
      <c r="E352" s="16" t="s">
        <v>133</v>
      </c>
      <c r="F352">
        <v>2029</v>
      </c>
      <c r="G352" s="12">
        <v>1006808.60139232</v>
      </c>
      <c r="H352" s="13">
        <v>0.99</v>
      </c>
      <c r="I352" s="13">
        <v>0.94891800000000004</v>
      </c>
      <c r="J352" s="13">
        <v>0.88980000000000004</v>
      </c>
      <c r="K352" s="13"/>
      <c r="L352" s="13">
        <v>7.0000000000000007E-2</v>
      </c>
      <c r="M352" s="13">
        <v>0.25</v>
      </c>
    </row>
    <row r="353" spans="2:13" x14ac:dyDescent="0.25">
      <c r="B353" s="14" t="s">
        <v>155</v>
      </c>
      <c r="C353" s="14" t="s">
        <v>72</v>
      </c>
      <c r="D353" t="s">
        <v>46</v>
      </c>
      <c r="E353" s="16" t="s">
        <v>133</v>
      </c>
      <c r="F353">
        <v>2030</v>
      </c>
      <c r="G353" s="12">
        <v>1024489.59232981</v>
      </c>
      <c r="H353" s="13">
        <v>0.99</v>
      </c>
      <c r="I353" s="13">
        <v>0.95162400000000003</v>
      </c>
      <c r="J353" s="13">
        <v>0.89639999999999997</v>
      </c>
      <c r="K353" s="13"/>
      <c r="L353" s="13">
        <v>7.0000000000000007E-2</v>
      </c>
      <c r="M353" s="13">
        <v>0.25</v>
      </c>
    </row>
    <row r="354" spans="2:13" x14ac:dyDescent="0.25">
      <c r="B354" s="14" t="s">
        <v>155</v>
      </c>
      <c r="C354" s="14" t="s">
        <v>15</v>
      </c>
      <c r="D354" t="s">
        <v>136</v>
      </c>
      <c r="E354" s="16" t="s">
        <v>133</v>
      </c>
      <c r="F354">
        <v>2026</v>
      </c>
      <c r="G354" s="12">
        <v>0</v>
      </c>
      <c r="H354" s="13">
        <v>0</v>
      </c>
      <c r="I354" s="13"/>
      <c r="J354" s="13"/>
      <c r="K354" s="13"/>
      <c r="L354" s="13">
        <v>0.05</v>
      </c>
      <c r="M354" s="13">
        <v>0.25</v>
      </c>
    </row>
    <row r="355" spans="2:13" x14ac:dyDescent="0.25">
      <c r="B355" s="14" t="s">
        <v>155</v>
      </c>
      <c r="C355" s="14" t="s">
        <v>15</v>
      </c>
      <c r="D355" t="s">
        <v>46</v>
      </c>
      <c r="E355" s="16" t="s">
        <v>133</v>
      </c>
      <c r="F355">
        <v>2026</v>
      </c>
      <c r="G355" s="12">
        <v>461742.01776900003</v>
      </c>
      <c r="H355" s="13">
        <v>0.76</v>
      </c>
      <c r="I355" s="13"/>
      <c r="J355" s="13"/>
      <c r="K355" s="13"/>
      <c r="L355" s="13">
        <v>7.0000000000000007E-2</v>
      </c>
      <c r="M355" s="13">
        <v>0.25</v>
      </c>
    </row>
    <row r="356" spans="2:13" x14ac:dyDescent="0.25">
      <c r="B356" s="14" t="s">
        <v>155</v>
      </c>
      <c r="C356" s="14" t="s">
        <v>15</v>
      </c>
      <c r="D356" t="s">
        <v>46</v>
      </c>
      <c r="E356" s="16" t="s">
        <v>133</v>
      </c>
      <c r="F356">
        <v>2027</v>
      </c>
      <c r="G356" s="12">
        <v>464050.72785784502</v>
      </c>
      <c r="H356" s="13">
        <v>0.77</v>
      </c>
      <c r="I356" s="13"/>
      <c r="J356" s="13"/>
      <c r="K356" s="13"/>
      <c r="L356" s="13">
        <v>7.0000000000000007E-2</v>
      </c>
      <c r="M356" s="13">
        <v>0.25</v>
      </c>
    </row>
    <row r="357" spans="2:13" x14ac:dyDescent="0.25">
      <c r="B357" s="14" t="s">
        <v>155</v>
      </c>
      <c r="C357" s="14" t="s">
        <v>15</v>
      </c>
      <c r="D357" t="s">
        <v>46</v>
      </c>
      <c r="E357" s="16" t="s">
        <v>133</v>
      </c>
      <c r="F357">
        <v>2028</v>
      </c>
      <c r="G357" s="12">
        <v>466370.98149713402</v>
      </c>
      <c r="H357" s="13">
        <v>0.78</v>
      </c>
      <c r="I357" s="13"/>
      <c r="J357" s="13"/>
      <c r="K357" s="13"/>
      <c r="L357" s="13">
        <v>7.0000000000000007E-2</v>
      </c>
      <c r="M357" s="13">
        <v>0.25</v>
      </c>
    </row>
    <row r="358" spans="2:13" x14ac:dyDescent="0.25">
      <c r="B358" s="14" t="s">
        <v>155</v>
      </c>
      <c r="C358" s="14" t="s">
        <v>15</v>
      </c>
      <c r="D358" t="s">
        <v>46</v>
      </c>
      <c r="E358" s="16" t="s">
        <v>133</v>
      </c>
      <c r="F358">
        <v>2029</v>
      </c>
      <c r="G358" s="12">
        <v>403067</v>
      </c>
      <c r="H358" s="13">
        <v>0.61</v>
      </c>
      <c r="I358" s="13"/>
      <c r="J358" s="13"/>
      <c r="K358" s="13"/>
      <c r="L358" s="13">
        <v>0.04</v>
      </c>
      <c r="M358" s="13">
        <v>0.25</v>
      </c>
    </row>
    <row r="359" spans="2:13" x14ac:dyDescent="0.25">
      <c r="B359" s="14" t="s">
        <v>155</v>
      </c>
      <c r="C359" s="14" t="s">
        <v>15</v>
      </c>
      <c r="D359" t="s">
        <v>46</v>
      </c>
      <c r="E359" s="16" t="s">
        <v>133</v>
      </c>
      <c r="F359">
        <v>2030</v>
      </c>
      <c r="G359" s="12">
        <v>406701</v>
      </c>
      <c r="H359" s="13">
        <v>0.61</v>
      </c>
      <c r="I359" s="13"/>
      <c r="J359" s="13"/>
      <c r="K359" s="13"/>
      <c r="L359" s="13">
        <v>0.04</v>
      </c>
      <c r="M359" s="13">
        <v>0.25</v>
      </c>
    </row>
    <row r="360" spans="2:13" x14ac:dyDescent="0.25">
      <c r="B360" s="14" t="s">
        <v>155</v>
      </c>
      <c r="C360" s="14" t="s">
        <v>145</v>
      </c>
      <c r="D360" t="s">
        <v>46</v>
      </c>
      <c r="E360" s="16" t="s">
        <v>133</v>
      </c>
      <c r="F360">
        <v>2026</v>
      </c>
      <c r="G360" s="12">
        <v>1034956.79839086</v>
      </c>
      <c r="H360" s="13">
        <v>0.74551861760000004</v>
      </c>
      <c r="I360" s="13">
        <v>0.62840124490000004</v>
      </c>
      <c r="J360" s="13">
        <v>0.60480032800000005</v>
      </c>
      <c r="K360" s="13">
        <v>0.51480649170000004</v>
      </c>
      <c r="L360" s="13"/>
      <c r="M360" s="13">
        <v>0.25</v>
      </c>
    </row>
    <row r="361" spans="2:13" x14ac:dyDescent="0.25">
      <c r="B361" s="14" t="s">
        <v>155</v>
      </c>
      <c r="C361" s="14" t="s">
        <v>145</v>
      </c>
      <c r="D361" t="s">
        <v>46</v>
      </c>
      <c r="E361" s="16" t="s">
        <v>133</v>
      </c>
      <c r="F361">
        <v>2027</v>
      </c>
      <c r="G361" s="12">
        <v>989366.92214137805</v>
      </c>
      <c r="H361" s="13">
        <v>0.75051861760000005</v>
      </c>
      <c r="I361" s="13">
        <v>0.63340124490000005</v>
      </c>
      <c r="J361" s="13">
        <v>0.60980032799999995</v>
      </c>
      <c r="K361" s="13">
        <v>0.51980649170000004</v>
      </c>
      <c r="L361" s="13"/>
      <c r="M361" s="13">
        <v>0.25</v>
      </c>
    </row>
    <row r="362" spans="2:13" x14ac:dyDescent="0.25">
      <c r="B362" s="14" t="s">
        <v>155</v>
      </c>
      <c r="C362" s="14" t="s">
        <v>145</v>
      </c>
      <c r="D362" t="s">
        <v>46</v>
      </c>
      <c r="E362" s="16" t="s">
        <v>133</v>
      </c>
      <c r="F362">
        <v>2028</v>
      </c>
      <c r="G362" s="12">
        <v>944001.81229493802</v>
      </c>
      <c r="H362" s="13">
        <v>0.75551861760000005</v>
      </c>
      <c r="I362" s="13">
        <v>0.63840124490000005</v>
      </c>
      <c r="J362" s="13">
        <v>0.61480032799999995</v>
      </c>
      <c r="K362" s="13">
        <v>0.52480649170000004</v>
      </c>
      <c r="L362" s="13"/>
      <c r="M362" s="13">
        <v>0.25</v>
      </c>
    </row>
    <row r="363" spans="2:13" x14ac:dyDescent="0.25">
      <c r="B363" s="14" t="s">
        <v>155</v>
      </c>
      <c r="C363" s="14" t="s">
        <v>145</v>
      </c>
      <c r="D363" t="s">
        <v>46</v>
      </c>
      <c r="E363" s="16" t="s">
        <v>133</v>
      </c>
      <c r="F363">
        <v>2029</v>
      </c>
      <c r="G363" s="12">
        <v>896036.80106033001</v>
      </c>
      <c r="H363" s="13">
        <v>0.76051861759999995</v>
      </c>
      <c r="I363" s="13">
        <v>0.64340124489999995</v>
      </c>
      <c r="J363" s="13">
        <v>0.61980032799999996</v>
      </c>
      <c r="K363" s="13">
        <v>0.52980649170000005</v>
      </c>
      <c r="L363" s="13"/>
      <c r="M363" s="13">
        <v>0.25</v>
      </c>
    </row>
    <row r="364" spans="2:13" x14ac:dyDescent="0.25">
      <c r="B364" s="14" t="s">
        <v>155</v>
      </c>
      <c r="C364" s="14" t="s">
        <v>38</v>
      </c>
      <c r="D364" t="s">
        <v>46</v>
      </c>
      <c r="E364" s="16" t="s">
        <v>133</v>
      </c>
      <c r="F364">
        <v>2026</v>
      </c>
      <c r="G364" s="12">
        <v>966918</v>
      </c>
      <c r="H364" s="13">
        <v>0.79</v>
      </c>
      <c r="I364" s="13"/>
      <c r="J364" s="13"/>
      <c r="K364" s="13"/>
      <c r="L364" s="13">
        <v>0.2</v>
      </c>
      <c r="M364" s="13">
        <v>0.25</v>
      </c>
    </row>
    <row r="365" spans="2:13" x14ac:dyDescent="0.25">
      <c r="B365" s="14" t="s">
        <v>155</v>
      </c>
      <c r="C365" s="14" t="s">
        <v>38</v>
      </c>
      <c r="D365" t="s">
        <v>46</v>
      </c>
      <c r="E365" s="16" t="s">
        <v>133</v>
      </c>
      <c r="F365">
        <v>2027</v>
      </c>
      <c r="G365" s="12">
        <v>981479</v>
      </c>
      <c r="H365" s="13">
        <v>0.8</v>
      </c>
      <c r="I365" s="13"/>
      <c r="J365" s="13"/>
      <c r="K365" s="13"/>
      <c r="L365" s="13">
        <v>0.2</v>
      </c>
      <c r="M365" s="13">
        <v>0.25</v>
      </c>
    </row>
    <row r="366" spans="2:13" x14ac:dyDescent="0.25">
      <c r="B366" s="14" t="s">
        <v>155</v>
      </c>
      <c r="C366" s="14" t="s">
        <v>38</v>
      </c>
      <c r="D366" t="s">
        <v>46</v>
      </c>
      <c r="E366" s="16" t="s">
        <v>133</v>
      </c>
      <c r="F366">
        <v>2028</v>
      </c>
      <c r="G366" s="12">
        <v>994459</v>
      </c>
      <c r="H366" s="13">
        <v>0.8</v>
      </c>
      <c r="I366" s="13"/>
      <c r="J366" s="13"/>
      <c r="K366" s="13"/>
      <c r="L366" s="13">
        <v>0.2</v>
      </c>
      <c r="M366" s="13">
        <v>0.25</v>
      </c>
    </row>
    <row r="367" spans="2:13" x14ac:dyDescent="0.25">
      <c r="B367" s="14" t="s">
        <v>155</v>
      </c>
      <c r="C367" s="14" t="s">
        <v>38</v>
      </c>
      <c r="D367" t="s">
        <v>46</v>
      </c>
      <c r="E367" s="16" t="s">
        <v>133</v>
      </c>
      <c r="F367">
        <v>2029</v>
      </c>
      <c r="G367" s="12">
        <v>1008901</v>
      </c>
      <c r="H367" s="13">
        <v>0.8</v>
      </c>
      <c r="I367" s="13"/>
      <c r="J367" s="13"/>
      <c r="K367" s="13"/>
      <c r="L367" s="13">
        <v>0.2</v>
      </c>
      <c r="M367" s="13">
        <v>0.25</v>
      </c>
    </row>
    <row r="368" spans="2:13" x14ac:dyDescent="0.25">
      <c r="B368" s="14" t="s">
        <v>155</v>
      </c>
      <c r="C368" s="14" t="s">
        <v>38</v>
      </c>
      <c r="D368" t="s">
        <v>46</v>
      </c>
      <c r="E368" s="16" t="s">
        <v>133</v>
      </c>
      <c r="F368">
        <v>2030</v>
      </c>
      <c r="G368" s="12">
        <v>1026619</v>
      </c>
      <c r="H368" s="13">
        <v>0.8</v>
      </c>
      <c r="I368" s="13"/>
      <c r="J368" s="13"/>
      <c r="K368" s="13"/>
      <c r="L368" s="13">
        <v>0.2</v>
      </c>
      <c r="M368" s="13">
        <v>0.25</v>
      </c>
    </row>
    <row r="369" spans="2:13" x14ac:dyDescent="0.25">
      <c r="B369" s="14" t="s">
        <v>155</v>
      </c>
      <c r="C369" s="14" t="s">
        <v>52</v>
      </c>
      <c r="D369" t="s">
        <v>141</v>
      </c>
      <c r="E369" s="16" t="s">
        <v>133</v>
      </c>
      <c r="F369">
        <v>2027</v>
      </c>
      <c r="G369" s="12">
        <v>7064379.6676792204</v>
      </c>
      <c r="H369" s="13">
        <v>0.85</v>
      </c>
      <c r="I369" s="13"/>
      <c r="J369" s="13"/>
      <c r="K369" s="13"/>
      <c r="L369" s="13"/>
      <c r="M369" s="13"/>
    </row>
    <row r="370" spans="2:13" x14ac:dyDescent="0.25">
      <c r="B370" s="14" t="s">
        <v>155</v>
      </c>
      <c r="C370" s="14" t="s">
        <v>52</v>
      </c>
      <c r="D370" t="s">
        <v>141</v>
      </c>
      <c r="E370" s="16" t="s">
        <v>133</v>
      </c>
      <c r="F370">
        <v>2030</v>
      </c>
      <c r="G370" s="12">
        <v>4423436.4375</v>
      </c>
      <c r="H370" s="13">
        <v>1</v>
      </c>
      <c r="I370" s="13"/>
      <c r="J370" s="13"/>
      <c r="K370" s="13"/>
      <c r="L370" s="13"/>
      <c r="M370" s="13"/>
    </row>
    <row r="371" spans="2:13" x14ac:dyDescent="0.25">
      <c r="B371" s="14" t="s">
        <v>155</v>
      </c>
      <c r="C371" s="14" t="s">
        <v>52</v>
      </c>
      <c r="D371" t="s">
        <v>138</v>
      </c>
      <c r="E371" s="16" t="s">
        <v>133</v>
      </c>
      <c r="F371">
        <v>2026</v>
      </c>
      <c r="G371" s="12">
        <v>966918</v>
      </c>
      <c r="H371" s="13">
        <v>0.79</v>
      </c>
      <c r="I371" s="13">
        <v>0.68100000000000005</v>
      </c>
      <c r="J371" s="13"/>
      <c r="K371" s="13"/>
      <c r="L371" s="13"/>
      <c r="M371" s="13"/>
    </row>
    <row r="372" spans="2:13" x14ac:dyDescent="0.25">
      <c r="B372" s="14" t="s">
        <v>155</v>
      </c>
      <c r="C372" s="14" t="s">
        <v>52</v>
      </c>
      <c r="D372" t="s">
        <v>138</v>
      </c>
      <c r="E372" s="16" t="s">
        <v>133</v>
      </c>
      <c r="F372">
        <v>2027</v>
      </c>
      <c r="G372" s="12">
        <v>981479</v>
      </c>
      <c r="H372" s="13">
        <v>0.8</v>
      </c>
      <c r="I372" s="13">
        <v>0.69099999999999995</v>
      </c>
      <c r="J372" s="13"/>
      <c r="K372" s="13"/>
      <c r="L372" s="13"/>
      <c r="M372" s="13"/>
    </row>
    <row r="373" spans="2:13" x14ac:dyDescent="0.25">
      <c r="B373" s="14" t="s">
        <v>155</v>
      </c>
      <c r="C373" s="14" t="s">
        <v>52</v>
      </c>
      <c r="D373" t="s">
        <v>138</v>
      </c>
      <c r="E373" s="16" t="s">
        <v>133</v>
      </c>
      <c r="F373">
        <v>2028</v>
      </c>
      <c r="G373" s="12">
        <v>994459</v>
      </c>
      <c r="H373" s="13">
        <v>0.8</v>
      </c>
      <c r="I373" s="13">
        <v>0.69099999999999995</v>
      </c>
      <c r="J373" s="13"/>
      <c r="K373" s="13"/>
      <c r="L373" s="13"/>
      <c r="M373" s="13"/>
    </row>
    <row r="374" spans="2:13" x14ac:dyDescent="0.25">
      <c r="B374" s="14" t="s">
        <v>155</v>
      </c>
      <c r="C374" s="14" t="s">
        <v>52</v>
      </c>
      <c r="D374" t="s">
        <v>138</v>
      </c>
      <c r="E374" s="16" t="s">
        <v>133</v>
      </c>
      <c r="F374">
        <v>2029</v>
      </c>
      <c r="G374" s="12">
        <v>1008901</v>
      </c>
      <c r="H374" s="13">
        <v>0.8</v>
      </c>
      <c r="I374" s="13">
        <v>0.51300000000000001</v>
      </c>
      <c r="J374" s="13"/>
      <c r="K374" s="13"/>
      <c r="L374" s="13"/>
      <c r="M374" s="13"/>
    </row>
    <row r="375" spans="2:13" x14ac:dyDescent="0.25">
      <c r="B375" s="14" t="s">
        <v>155</v>
      </c>
      <c r="C375" s="14" t="s">
        <v>52</v>
      </c>
      <c r="D375" t="s">
        <v>138</v>
      </c>
      <c r="E375" s="16" t="s">
        <v>133</v>
      </c>
      <c r="F375">
        <v>2030</v>
      </c>
      <c r="G375" s="12">
        <v>1026619</v>
      </c>
      <c r="H375" s="13">
        <v>0.8</v>
      </c>
      <c r="I375" s="13">
        <v>0.51959999999999995</v>
      </c>
      <c r="J375" s="13"/>
      <c r="K375" s="13"/>
      <c r="L375" s="13"/>
      <c r="M375" s="13"/>
    </row>
    <row r="376" spans="2:13" x14ac:dyDescent="0.25">
      <c r="B376" s="14" t="s">
        <v>155</v>
      </c>
      <c r="C376" s="14" t="s">
        <v>146</v>
      </c>
      <c r="D376" t="s">
        <v>46</v>
      </c>
      <c r="E376" s="16" t="s">
        <v>133</v>
      </c>
      <c r="F376">
        <v>2028</v>
      </c>
      <c r="G376" s="12">
        <v>25331</v>
      </c>
      <c r="H376" s="13"/>
      <c r="I376" s="13"/>
      <c r="J376" s="13"/>
      <c r="K376" s="13"/>
      <c r="L376" s="13"/>
      <c r="M376" s="13">
        <v>0.25</v>
      </c>
    </row>
    <row r="377" spans="2:13" x14ac:dyDescent="0.25">
      <c r="B377" s="14" t="s">
        <v>155</v>
      </c>
      <c r="C377" s="14" t="s">
        <v>146</v>
      </c>
      <c r="D377" t="s">
        <v>46</v>
      </c>
      <c r="E377" s="16" t="s">
        <v>133</v>
      </c>
      <c r="F377">
        <v>2029</v>
      </c>
      <c r="G377" s="12">
        <v>25698</v>
      </c>
      <c r="H377" s="13"/>
      <c r="I377" s="13"/>
      <c r="J377" s="13"/>
      <c r="K377" s="13"/>
      <c r="L377" s="13"/>
      <c r="M377" s="13">
        <v>0.25</v>
      </c>
    </row>
    <row r="378" spans="2:13" x14ac:dyDescent="0.25">
      <c r="B378" s="14" t="s">
        <v>155</v>
      </c>
      <c r="C378" s="14" t="s">
        <v>146</v>
      </c>
      <c r="D378" t="s">
        <v>46</v>
      </c>
      <c r="E378" s="16" t="s">
        <v>133</v>
      </c>
      <c r="F378">
        <v>2030</v>
      </c>
      <c r="G378" s="12">
        <v>26150</v>
      </c>
      <c r="H378" s="13"/>
      <c r="I378" s="13"/>
      <c r="J378" s="13"/>
      <c r="K378" s="13"/>
      <c r="L378" s="13"/>
      <c r="M378" s="13">
        <v>0.25</v>
      </c>
    </row>
    <row r="379" spans="2:13" x14ac:dyDescent="0.25">
      <c r="B379" s="14" t="s">
        <v>155</v>
      </c>
      <c r="C379" s="14" t="s">
        <v>139</v>
      </c>
      <c r="D379" t="s">
        <v>46</v>
      </c>
      <c r="E379" s="16" t="s">
        <v>133</v>
      </c>
      <c r="F379">
        <v>2026</v>
      </c>
      <c r="G379" s="12">
        <v>966918</v>
      </c>
      <c r="H379" s="13">
        <v>0.99</v>
      </c>
      <c r="I379" s="13">
        <v>0.94</v>
      </c>
      <c r="J379" s="13">
        <v>0</v>
      </c>
      <c r="K379" s="13"/>
      <c r="L379" s="13">
        <v>0.04</v>
      </c>
      <c r="M379" s="13">
        <v>0.25</v>
      </c>
    </row>
    <row r="380" spans="2:13" x14ac:dyDescent="0.25">
      <c r="B380" s="14" t="s">
        <v>155</v>
      </c>
      <c r="C380" s="14" t="s">
        <v>139</v>
      </c>
      <c r="D380" t="s">
        <v>46</v>
      </c>
      <c r="E380" s="16" t="s">
        <v>133</v>
      </c>
      <c r="F380">
        <v>2027</v>
      </c>
      <c r="G380" s="12">
        <v>981479</v>
      </c>
      <c r="H380" s="13">
        <v>0.99</v>
      </c>
      <c r="I380" s="13">
        <v>0.95</v>
      </c>
      <c r="J380" s="13">
        <v>0</v>
      </c>
      <c r="K380" s="13"/>
      <c r="L380" s="13">
        <v>0.04</v>
      </c>
      <c r="M380" s="13">
        <v>0.25</v>
      </c>
    </row>
    <row r="381" spans="2:13" x14ac:dyDescent="0.25">
      <c r="B381" s="14" t="s">
        <v>155</v>
      </c>
      <c r="C381" s="14" t="s">
        <v>139</v>
      </c>
      <c r="D381" t="s">
        <v>46</v>
      </c>
      <c r="E381" s="16" t="s">
        <v>133</v>
      </c>
      <c r="F381">
        <v>2028</v>
      </c>
      <c r="G381" s="12">
        <v>994459</v>
      </c>
      <c r="H381" s="13">
        <v>0.99</v>
      </c>
      <c r="I381" s="13">
        <v>0.95</v>
      </c>
      <c r="J381" s="13">
        <v>0</v>
      </c>
      <c r="K381" s="13"/>
      <c r="L381" s="13">
        <v>0.04</v>
      </c>
      <c r="M381" s="13">
        <v>0.25</v>
      </c>
    </row>
    <row r="382" spans="2:13" x14ac:dyDescent="0.25">
      <c r="B382" s="14" t="s">
        <v>155</v>
      </c>
      <c r="C382" s="14" t="s">
        <v>139</v>
      </c>
      <c r="D382" t="s">
        <v>46</v>
      </c>
      <c r="E382" s="16" t="s">
        <v>133</v>
      </c>
      <c r="F382">
        <v>2029</v>
      </c>
      <c r="G382" s="12">
        <v>1006808.60139232</v>
      </c>
      <c r="H382" s="13">
        <v>0.99</v>
      </c>
      <c r="I382" s="13">
        <v>0.95979999999999999</v>
      </c>
      <c r="J382" s="13">
        <v>0</v>
      </c>
      <c r="K382" s="13"/>
      <c r="L382" s="13">
        <v>0.04</v>
      </c>
      <c r="M382" s="13">
        <v>0.25</v>
      </c>
    </row>
    <row r="383" spans="2:13" x14ac:dyDescent="0.25">
      <c r="B383" s="14" t="s">
        <v>155</v>
      </c>
      <c r="C383" s="14" t="s">
        <v>139</v>
      </c>
      <c r="D383" t="s">
        <v>46</v>
      </c>
      <c r="E383" s="16" t="s">
        <v>133</v>
      </c>
      <c r="F383">
        <v>2030</v>
      </c>
      <c r="G383" s="12">
        <v>1024489.59232981</v>
      </c>
      <c r="H383" s="13">
        <v>0.99</v>
      </c>
      <c r="I383" s="13">
        <v>0.96640000000000004</v>
      </c>
      <c r="J383" s="13">
        <v>0</v>
      </c>
      <c r="K383" s="13"/>
      <c r="L383" s="13">
        <v>0.04</v>
      </c>
      <c r="M383" s="13">
        <v>0.25</v>
      </c>
    </row>
    <row r="384" spans="2:13" x14ac:dyDescent="0.25">
      <c r="B384" s="15" t="s">
        <v>155</v>
      </c>
      <c r="C384" s="14" t="s">
        <v>74</v>
      </c>
      <c r="D384" t="s">
        <v>142</v>
      </c>
      <c r="E384" s="16" t="s">
        <v>133</v>
      </c>
      <c r="F384">
        <v>2028</v>
      </c>
      <c r="G384" s="12">
        <v>9117117.11711712</v>
      </c>
      <c r="H384" s="13">
        <v>1</v>
      </c>
      <c r="I384" s="13"/>
      <c r="J384" s="13"/>
      <c r="K384" s="13"/>
      <c r="L384" s="13">
        <v>0.1</v>
      </c>
      <c r="M384" s="13">
        <v>0</v>
      </c>
    </row>
    <row r="385" spans="2:13" x14ac:dyDescent="0.25">
      <c r="B385" s="14" t="s">
        <v>156</v>
      </c>
      <c r="C385" s="14" t="s">
        <v>132</v>
      </c>
      <c r="D385" t="s">
        <v>46</v>
      </c>
      <c r="E385" s="16" t="s">
        <v>133</v>
      </c>
      <c r="F385">
        <v>2026</v>
      </c>
      <c r="G385" s="12">
        <v>955994</v>
      </c>
      <c r="H385" s="13">
        <v>0.84</v>
      </c>
      <c r="I385" s="13">
        <v>0.81950000000000001</v>
      </c>
      <c r="J385" s="13">
        <v>0.79</v>
      </c>
      <c r="K385" s="13">
        <v>0</v>
      </c>
      <c r="L385" s="13">
        <v>7.0000000000000007E-2</v>
      </c>
      <c r="M385" s="13">
        <v>0.25</v>
      </c>
    </row>
    <row r="386" spans="2:13" x14ac:dyDescent="0.25">
      <c r="B386" s="14" t="s">
        <v>156</v>
      </c>
      <c r="C386" s="14" t="s">
        <v>132</v>
      </c>
      <c r="D386" t="s">
        <v>46</v>
      </c>
      <c r="E386" s="16" t="s">
        <v>133</v>
      </c>
      <c r="F386">
        <v>2027</v>
      </c>
      <c r="G386" s="12">
        <v>967495</v>
      </c>
      <c r="H386" s="13">
        <v>0.85</v>
      </c>
      <c r="I386" s="13">
        <v>0.82950000000000002</v>
      </c>
      <c r="J386" s="13">
        <v>0.8</v>
      </c>
      <c r="K386" s="13">
        <v>0</v>
      </c>
      <c r="L386" s="13">
        <v>7.0000000000000007E-2</v>
      </c>
      <c r="M386" s="13">
        <v>0.25</v>
      </c>
    </row>
    <row r="387" spans="2:13" x14ac:dyDescent="0.25">
      <c r="B387" s="14" t="s">
        <v>156</v>
      </c>
      <c r="C387" s="14" t="s">
        <v>132</v>
      </c>
      <c r="D387" t="s">
        <v>46</v>
      </c>
      <c r="E387" s="16" t="s">
        <v>133</v>
      </c>
      <c r="F387">
        <v>2028</v>
      </c>
      <c r="G387" s="12">
        <v>990191.39934037195</v>
      </c>
      <c r="H387" s="13">
        <v>0</v>
      </c>
      <c r="I387" s="13">
        <v>0</v>
      </c>
      <c r="J387" s="13">
        <v>0</v>
      </c>
      <c r="K387" s="13">
        <v>0</v>
      </c>
      <c r="L387" s="13">
        <v>7.0000000000000007E-2</v>
      </c>
      <c r="M387" s="13">
        <v>0.25</v>
      </c>
    </row>
    <row r="388" spans="2:13" x14ac:dyDescent="0.25">
      <c r="B388" s="14" t="s">
        <v>156</v>
      </c>
      <c r="C388" s="14" t="s">
        <v>132</v>
      </c>
      <c r="D388" t="s">
        <v>46</v>
      </c>
      <c r="E388" s="16" t="s">
        <v>133</v>
      </c>
      <c r="F388">
        <v>2029</v>
      </c>
      <c r="G388" s="12">
        <v>1000122.72417086</v>
      </c>
      <c r="H388" s="13">
        <v>0</v>
      </c>
      <c r="I388" s="13">
        <v>0</v>
      </c>
      <c r="J388" s="13">
        <v>0</v>
      </c>
      <c r="K388" s="13">
        <v>0</v>
      </c>
      <c r="L388" s="13">
        <v>7.0000000000000007E-2</v>
      </c>
      <c r="M388" s="13">
        <v>0.25</v>
      </c>
    </row>
    <row r="389" spans="2:13" x14ac:dyDescent="0.25">
      <c r="B389" s="14" t="s">
        <v>156</v>
      </c>
      <c r="C389" s="14" t="s">
        <v>70</v>
      </c>
      <c r="D389" t="s">
        <v>46</v>
      </c>
      <c r="E389" s="16" t="s">
        <v>133</v>
      </c>
      <c r="F389">
        <v>2026</v>
      </c>
      <c r="G389" s="12">
        <v>955994</v>
      </c>
      <c r="H389" s="13">
        <v>0.79</v>
      </c>
      <c r="I389" s="13">
        <v>0.73</v>
      </c>
      <c r="J389" s="13">
        <v>0</v>
      </c>
      <c r="K389" s="13">
        <v>0</v>
      </c>
      <c r="L389" s="13">
        <v>7.0000000000000007E-2</v>
      </c>
      <c r="M389" s="13">
        <v>0.25</v>
      </c>
    </row>
    <row r="390" spans="2:13" x14ac:dyDescent="0.25">
      <c r="B390" s="14" t="s">
        <v>156</v>
      </c>
      <c r="C390" s="14" t="s">
        <v>70</v>
      </c>
      <c r="D390" t="s">
        <v>46</v>
      </c>
      <c r="E390" s="16" t="s">
        <v>133</v>
      </c>
      <c r="F390">
        <v>2027</v>
      </c>
      <c r="G390" s="12">
        <v>967495</v>
      </c>
      <c r="H390" s="13">
        <v>0.8</v>
      </c>
      <c r="I390" s="13">
        <v>0.74</v>
      </c>
      <c r="J390" s="13">
        <v>0</v>
      </c>
      <c r="K390" s="13">
        <v>0</v>
      </c>
      <c r="L390" s="13">
        <v>7.0000000000000007E-2</v>
      </c>
      <c r="M390" s="13">
        <v>0.25</v>
      </c>
    </row>
    <row r="391" spans="2:13" x14ac:dyDescent="0.25">
      <c r="B391" s="14" t="s">
        <v>156</v>
      </c>
      <c r="C391" s="14" t="s">
        <v>70</v>
      </c>
      <c r="D391" t="s">
        <v>46</v>
      </c>
      <c r="E391" s="16" t="s">
        <v>133</v>
      </c>
      <c r="F391">
        <v>2028</v>
      </c>
      <c r="G391" s="12">
        <v>990191.39934037195</v>
      </c>
      <c r="H391" s="13">
        <v>0</v>
      </c>
      <c r="I391" s="13">
        <v>0</v>
      </c>
      <c r="J391" s="13">
        <v>0</v>
      </c>
      <c r="K391" s="13">
        <v>0</v>
      </c>
      <c r="L391" s="13">
        <v>7.0000000000000007E-2</v>
      </c>
      <c r="M391" s="13">
        <v>0.25</v>
      </c>
    </row>
    <row r="392" spans="2:13" x14ac:dyDescent="0.25">
      <c r="B392" s="14" t="s">
        <v>156</v>
      </c>
      <c r="C392" s="14" t="s">
        <v>70</v>
      </c>
      <c r="D392" t="s">
        <v>46</v>
      </c>
      <c r="E392" s="16" t="s">
        <v>133</v>
      </c>
      <c r="F392">
        <v>2029</v>
      </c>
      <c r="G392" s="12">
        <v>1000122.72417086</v>
      </c>
      <c r="H392" s="13">
        <v>0</v>
      </c>
      <c r="I392" s="13">
        <v>0</v>
      </c>
      <c r="J392" s="13">
        <v>0</v>
      </c>
      <c r="K392" s="13">
        <v>0</v>
      </c>
      <c r="L392" s="13">
        <v>7.0000000000000007E-2</v>
      </c>
      <c r="M392" s="13">
        <v>0.25</v>
      </c>
    </row>
    <row r="393" spans="2:13" x14ac:dyDescent="0.25">
      <c r="B393" s="14" t="s">
        <v>156</v>
      </c>
      <c r="C393" s="14" t="s">
        <v>134</v>
      </c>
      <c r="D393" t="s">
        <v>46</v>
      </c>
      <c r="E393" s="16" t="s">
        <v>133</v>
      </c>
      <c r="F393">
        <v>2027</v>
      </c>
      <c r="G393" s="12">
        <v>975482.95602796704</v>
      </c>
      <c r="H393" s="13">
        <v>0</v>
      </c>
      <c r="I393" s="13">
        <v>0</v>
      </c>
      <c r="J393" s="13">
        <v>0</v>
      </c>
      <c r="K393" s="13">
        <v>0</v>
      </c>
      <c r="L393" s="13">
        <v>7.0000000000000007E-2</v>
      </c>
      <c r="M393" s="13">
        <v>0.25</v>
      </c>
    </row>
    <row r="394" spans="2:13" x14ac:dyDescent="0.25">
      <c r="B394" s="14" t="s">
        <v>156</v>
      </c>
      <c r="C394" s="14" t="s">
        <v>134</v>
      </c>
      <c r="D394" t="s">
        <v>46</v>
      </c>
      <c r="E394" s="16" t="s">
        <v>133</v>
      </c>
      <c r="F394">
        <v>2028</v>
      </c>
      <c r="G394" s="12">
        <v>982083</v>
      </c>
      <c r="H394" s="13">
        <v>0.85319999999999996</v>
      </c>
      <c r="I394" s="13">
        <v>0.8327</v>
      </c>
      <c r="J394" s="13">
        <v>0.80320000000000003</v>
      </c>
      <c r="K394" s="13">
        <v>0</v>
      </c>
      <c r="L394" s="13">
        <v>7.0000000000000007E-2</v>
      </c>
      <c r="M394" s="13">
        <v>0.25</v>
      </c>
    </row>
    <row r="395" spans="2:13" x14ac:dyDescent="0.25">
      <c r="B395" s="14" t="s">
        <v>156</v>
      </c>
      <c r="C395" s="14" t="s">
        <v>134</v>
      </c>
      <c r="D395" t="s">
        <v>46</v>
      </c>
      <c r="E395" s="16" t="s">
        <v>133</v>
      </c>
      <c r="F395">
        <v>2029</v>
      </c>
      <c r="G395" s="12">
        <v>1000122.72417086</v>
      </c>
      <c r="H395" s="13">
        <v>0.6187447076</v>
      </c>
      <c r="I395" s="13">
        <v>0.59418797459999995</v>
      </c>
      <c r="J395" s="13">
        <v>0.55885023690000002</v>
      </c>
      <c r="K395" s="13">
        <v>0</v>
      </c>
      <c r="L395" s="13">
        <v>7.0000000000000007E-2</v>
      </c>
      <c r="M395" s="13">
        <v>0.25</v>
      </c>
    </row>
    <row r="396" spans="2:13" x14ac:dyDescent="0.25">
      <c r="B396" s="14" t="s">
        <v>156</v>
      </c>
      <c r="C396" s="14" t="s">
        <v>134</v>
      </c>
      <c r="D396" t="s">
        <v>46</v>
      </c>
      <c r="E396" s="16" t="s">
        <v>133</v>
      </c>
      <c r="F396">
        <v>2030</v>
      </c>
      <c r="G396" s="12">
        <v>1012748.10990969</v>
      </c>
      <c r="H396" s="13">
        <v>0.62534470760000005</v>
      </c>
      <c r="I396" s="13">
        <v>0.6007879746</v>
      </c>
      <c r="J396" s="13">
        <v>0.56545023689999996</v>
      </c>
      <c r="K396" s="13">
        <v>0</v>
      </c>
      <c r="L396" s="13">
        <v>7.0000000000000007E-2</v>
      </c>
      <c r="M396" s="13">
        <v>0.25</v>
      </c>
    </row>
    <row r="397" spans="2:13" x14ac:dyDescent="0.25">
      <c r="B397" s="14" t="s">
        <v>156</v>
      </c>
      <c r="C397" s="14" t="s">
        <v>72</v>
      </c>
      <c r="D397" t="s">
        <v>46</v>
      </c>
      <c r="E397" s="16" t="s">
        <v>133</v>
      </c>
      <c r="F397">
        <v>2026</v>
      </c>
      <c r="G397" s="12">
        <v>955994</v>
      </c>
      <c r="H397" s="13">
        <v>0.84</v>
      </c>
      <c r="I397" s="13">
        <v>0.81540000000000001</v>
      </c>
      <c r="J397" s="13">
        <v>0.78</v>
      </c>
      <c r="K397" s="13"/>
      <c r="L397" s="13">
        <v>7.0000000000000007E-2</v>
      </c>
      <c r="M397" s="13">
        <v>0.25</v>
      </c>
    </row>
    <row r="398" spans="2:13" x14ac:dyDescent="0.25">
      <c r="B398" s="14" t="s">
        <v>156</v>
      </c>
      <c r="C398" s="14" t="s">
        <v>72</v>
      </c>
      <c r="D398" t="s">
        <v>46</v>
      </c>
      <c r="E398" s="16" t="s">
        <v>133</v>
      </c>
      <c r="F398">
        <v>2027</v>
      </c>
      <c r="G398" s="12">
        <v>967495</v>
      </c>
      <c r="H398" s="13">
        <v>0.85</v>
      </c>
      <c r="I398" s="13">
        <v>0.82540000000000002</v>
      </c>
      <c r="J398" s="13">
        <v>0.79</v>
      </c>
      <c r="K398" s="13"/>
      <c r="L398" s="13">
        <v>7.0000000000000007E-2</v>
      </c>
      <c r="M398" s="13">
        <v>0.25</v>
      </c>
    </row>
    <row r="399" spans="2:13" x14ac:dyDescent="0.25">
      <c r="B399" s="14" t="s">
        <v>156</v>
      </c>
      <c r="C399" s="14" t="s">
        <v>72</v>
      </c>
      <c r="D399" t="s">
        <v>46</v>
      </c>
      <c r="E399" s="16" t="s">
        <v>133</v>
      </c>
      <c r="F399">
        <v>2028</v>
      </c>
      <c r="G399" s="12">
        <v>982083</v>
      </c>
      <c r="H399" s="13">
        <v>0.86</v>
      </c>
      <c r="I399" s="13">
        <v>0.83540000000000003</v>
      </c>
      <c r="J399" s="13">
        <v>0.8</v>
      </c>
      <c r="K399" s="13"/>
      <c r="L399" s="13">
        <v>7.0000000000000007E-2</v>
      </c>
      <c r="M399" s="13">
        <v>0.25</v>
      </c>
    </row>
    <row r="400" spans="2:13" x14ac:dyDescent="0.25">
      <c r="B400" s="14" t="s">
        <v>156</v>
      </c>
      <c r="C400" s="14" t="s">
        <v>72</v>
      </c>
      <c r="D400" t="s">
        <v>46</v>
      </c>
      <c r="E400" s="16" t="s">
        <v>133</v>
      </c>
      <c r="F400">
        <v>2029</v>
      </c>
      <c r="G400" s="12">
        <v>1000122.72417086</v>
      </c>
      <c r="H400" s="13">
        <v>0.60537083820000004</v>
      </c>
      <c r="I400" s="13">
        <v>0.58136243389999998</v>
      </c>
      <c r="J400" s="13">
        <v>0.54681375440000002</v>
      </c>
      <c r="K400" s="13"/>
      <c r="L400" s="13">
        <v>0.08</v>
      </c>
      <c r="M400" s="13">
        <v>0.25</v>
      </c>
    </row>
    <row r="401" spans="2:13" x14ac:dyDescent="0.25">
      <c r="B401" s="14" t="s">
        <v>156</v>
      </c>
      <c r="C401" s="14" t="s">
        <v>72</v>
      </c>
      <c r="D401" t="s">
        <v>46</v>
      </c>
      <c r="E401" s="16" t="s">
        <v>133</v>
      </c>
      <c r="F401">
        <v>2030</v>
      </c>
      <c r="G401" s="12">
        <v>1012748.10990969</v>
      </c>
      <c r="H401" s="13">
        <v>0.61197083819999998</v>
      </c>
      <c r="I401" s="13">
        <v>0.58796243390000003</v>
      </c>
      <c r="J401" s="13">
        <v>0.55341375439999996</v>
      </c>
      <c r="K401" s="13"/>
      <c r="L401" s="13">
        <v>0.08</v>
      </c>
      <c r="M401" s="13">
        <v>0.25</v>
      </c>
    </row>
    <row r="402" spans="2:13" x14ac:dyDescent="0.25">
      <c r="B402" s="14" t="s">
        <v>156</v>
      </c>
      <c r="C402" s="14" t="s">
        <v>102</v>
      </c>
      <c r="D402" t="s">
        <v>46</v>
      </c>
      <c r="E402" s="16" t="s">
        <v>133</v>
      </c>
      <c r="F402">
        <v>2027</v>
      </c>
      <c r="G402" s="12">
        <v>975482.95602796704</v>
      </c>
      <c r="H402" s="13">
        <v>0.70836880099999999</v>
      </c>
      <c r="I402" s="13"/>
      <c r="J402" s="13"/>
      <c r="K402" s="13"/>
      <c r="L402" s="13">
        <v>7.0000000000000007E-2</v>
      </c>
      <c r="M402" s="13">
        <v>0.25</v>
      </c>
    </row>
    <row r="403" spans="2:13" x14ac:dyDescent="0.25">
      <c r="B403" s="14" t="s">
        <v>156</v>
      </c>
      <c r="C403" s="14" t="s">
        <v>102</v>
      </c>
      <c r="D403" t="s">
        <v>46</v>
      </c>
      <c r="E403" s="16" t="s">
        <v>133</v>
      </c>
      <c r="F403">
        <v>2028</v>
      </c>
      <c r="G403" s="12">
        <v>990191.39934037195</v>
      </c>
      <c r="H403" s="13">
        <v>0.85664256120000004</v>
      </c>
      <c r="I403" s="13"/>
      <c r="J403" s="13"/>
      <c r="K403" s="13"/>
      <c r="L403" s="13">
        <v>7.0000000000000007E-2</v>
      </c>
      <c r="M403" s="13">
        <v>0.25</v>
      </c>
    </row>
    <row r="404" spans="2:13" x14ac:dyDescent="0.25">
      <c r="B404" s="14" t="s">
        <v>156</v>
      </c>
      <c r="C404" s="14" t="s">
        <v>102</v>
      </c>
      <c r="D404" t="s">
        <v>46</v>
      </c>
      <c r="E404" s="16" t="s">
        <v>133</v>
      </c>
      <c r="F404">
        <v>2029</v>
      </c>
      <c r="G404" s="12">
        <v>1000122.72417086</v>
      </c>
      <c r="H404" s="13">
        <v>0.86324256119999998</v>
      </c>
      <c r="I404" s="13"/>
      <c r="J404" s="13"/>
      <c r="K404" s="13"/>
      <c r="L404" s="13">
        <v>7.0000000000000007E-2</v>
      </c>
      <c r="M404" s="13">
        <v>0.25</v>
      </c>
    </row>
    <row r="405" spans="2:13" x14ac:dyDescent="0.25">
      <c r="B405" s="14" t="s">
        <v>156</v>
      </c>
      <c r="C405" s="14" t="s">
        <v>102</v>
      </c>
      <c r="D405" t="s">
        <v>46</v>
      </c>
      <c r="E405" s="16" t="s">
        <v>133</v>
      </c>
      <c r="F405">
        <v>2030</v>
      </c>
      <c r="G405" s="12">
        <v>1012748.10990969</v>
      </c>
      <c r="H405" s="13">
        <v>0.86984256120000003</v>
      </c>
      <c r="I405" s="13"/>
      <c r="J405" s="13"/>
      <c r="K405" s="13"/>
      <c r="L405" s="13">
        <v>7.0000000000000007E-2</v>
      </c>
      <c r="M405" s="13">
        <v>0.25</v>
      </c>
    </row>
    <row r="406" spans="2:13" x14ac:dyDescent="0.25">
      <c r="B406" s="14" t="s">
        <v>156</v>
      </c>
      <c r="C406" s="14" t="s">
        <v>15</v>
      </c>
      <c r="D406" t="s">
        <v>136</v>
      </c>
      <c r="E406" s="16" t="s">
        <v>133</v>
      </c>
      <c r="F406">
        <v>2026</v>
      </c>
      <c r="G406" s="12">
        <v>1803160</v>
      </c>
      <c r="H406" s="13">
        <v>0.8</v>
      </c>
      <c r="I406" s="13"/>
      <c r="J406" s="13"/>
      <c r="K406" s="13"/>
      <c r="L406" s="13">
        <v>0.05</v>
      </c>
      <c r="M406" s="13">
        <v>0.25</v>
      </c>
    </row>
    <row r="407" spans="2:13" x14ac:dyDescent="0.25">
      <c r="B407" s="14" t="s">
        <v>156</v>
      </c>
      <c r="C407" s="14" t="s">
        <v>15</v>
      </c>
      <c r="D407" t="s">
        <v>136</v>
      </c>
      <c r="E407" s="16" t="s">
        <v>133</v>
      </c>
      <c r="F407">
        <v>2027</v>
      </c>
      <c r="G407" s="12">
        <v>0</v>
      </c>
      <c r="H407" s="13">
        <v>0</v>
      </c>
      <c r="I407" s="13"/>
      <c r="J407" s="13"/>
      <c r="K407" s="13"/>
      <c r="L407" s="13">
        <v>0.05</v>
      </c>
      <c r="M407" s="13">
        <v>0.25</v>
      </c>
    </row>
    <row r="408" spans="2:13" x14ac:dyDescent="0.25">
      <c r="B408" s="14" t="s">
        <v>156</v>
      </c>
      <c r="C408" s="14" t="s">
        <v>15</v>
      </c>
      <c r="D408" t="s">
        <v>46</v>
      </c>
      <c r="E408" s="16" t="s">
        <v>133</v>
      </c>
      <c r="F408">
        <v>2026</v>
      </c>
      <c r="G408" s="12">
        <v>478403</v>
      </c>
      <c r="H408" s="13">
        <v>0.59</v>
      </c>
      <c r="I408" s="13"/>
      <c r="J408" s="13"/>
      <c r="K408" s="13"/>
      <c r="L408" s="13">
        <v>0.04</v>
      </c>
      <c r="M408" s="13">
        <v>0.25</v>
      </c>
    </row>
    <row r="409" spans="2:13" x14ac:dyDescent="0.25">
      <c r="B409" s="14" t="s">
        <v>156</v>
      </c>
      <c r="C409" s="14" t="s">
        <v>15</v>
      </c>
      <c r="D409" t="s">
        <v>46</v>
      </c>
      <c r="E409" s="16" t="s">
        <v>133</v>
      </c>
      <c r="F409">
        <v>2027</v>
      </c>
      <c r="G409" s="12">
        <v>490363</v>
      </c>
      <c r="H409" s="13">
        <v>0.6</v>
      </c>
      <c r="I409" s="13"/>
      <c r="J409" s="13"/>
      <c r="K409" s="13"/>
      <c r="L409" s="13">
        <v>0.04</v>
      </c>
      <c r="M409" s="13">
        <v>0.25</v>
      </c>
    </row>
    <row r="410" spans="2:13" x14ac:dyDescent="0.25">
      <c r="B410" s="14" t="s">
        <v>156</v>
      </c>
      <c r="C410" s="14" t="s">
        <v>15</v>
      </c>
      <c r="D410" t="s">
        <v>46</v>
      </c>
      <c r="E410" s="16" t="s">
        <v>133</v>
      </c>
      <c r="F410">
        <v>2028</v>
      </c>
      <c r="G410" s="12">
        <v>496555</v>
      </c>
      <c r="H410" s="13">
        <v>0.6</v>
      </c>
      <c r="I410" s="13"/>
      <c r="J410" s="13"/>
      <c r="K410" s="13"/>
      <c r="L410" s="13">
        <v>0.04</v>
      </c>
      <c r="M410" s="13">
        <v>0.25</v>
      </c>
    </row>
    <row r="411" spans="2:13" x14ac:dyDescent="0.25">
      <c r="B411" s="14" t="s">
        <v>156</v>
      </c>
      <c r="C411" s="14" t="s">
        <v>15</v>
      </c>
      <c r="D411" t="s">
        <v>46</v>
      </c>
      <c r="E411" s="16" t="s">
        <v>133</v>
      </c>
      <c r="F411">
        <v>2029</v>
      </c>
      <c r="G411" s="12">
        <v>406935</v>
      </c>
      <c r="H411" s="13">
        <v>0.39300000000000002</v>
      </c>
      <c r="I411" s="13"/>
      <c r="J411" s="13"/>
      <c r="K411" s="13"/>
      <c r="L411" s="13">
        <v>0.04</v>
      </c>
      <c r="M411" s="13">
        <v>0.25</v>
      </c>
    </row>
    <row r="412" spans="2:13" x14ac:dyDescent="0.25">
      <c r="B412" s="14" t="s">
        <v>156</v>
      </c>
      <c r="C412" s="14" t="s">
        <v>15</v>
      </c>
      <c r="D412" t="s">
        <v>46</v>
      </c>
      <c r="E412" s="16" t="s">
        <v>133</v>
      </c>
      <c r="F412">
        <v>2030</v>
      </c>
      <c r="G412" s="12">
        <v>411277</v>
      </c>
      <c r="H412" s="13">
        <v>0.39960000000000001</v>
      </c>
      <c r="I412" s="13"/>
      <c r="J412" s="13"/>
      <c r="K412" s="13"/>
      <c r="L412" s="13">
        <v>0.04</v>
      </c>
      <c r="M412" s="13">
        <v>0.25</v>
      </c>
    </row>
    <row r="413" spans="2:13" x14ac:dyDescent="0.25">
      <c r="B413" s="14" t="s">
        <v>156</v>
      </c>
      <c r="C413" s="14" t="s">
        <v>145</v>
      </c>
      <c r="D413" t="s">
        <v>46</v>
      </c>
      <c r="E413" s="16" t="s">
        <v>133</v>
      </c>
      <c r="F413">
        <v>2026</v>
      </c>
      <c r="G413" s="12">
        <v>267760</v>
      </c>
      <c r="H413" s="13">
        <v>0.69459451319999999</v>
      </c>
      <c r="I413" s="13">
        <v>0.60723275659999998</v>
      </c>
      <c r="J413" s="13">
        <v>0.60544056420000003</v>
      </c>
      <c r="K413" s="13">
        <v>0.54281728380000005</v>
      </c>
      <c r="L413" s="13"/>
      <c r="M413" s="13">
        <v>0.25</v>
      </c>
    </row>
    <row r="414" spans="2:13" x14ac:dyDescent="0.25">
      <c r="B414" s="14" t="s">
        <v>156</v>
      </c>
      <c r="C414" s="14" t="s">
        <v>145</v>
      </c>
      <c r="D414" t="s">
        <v>46</v>
      </c>
      <c r="E414" s="16" t="s">
        <v>133</v>
      </c>
      <c r="F414">
        <v>2027</v>
      </c>
      <c r="G414" s="12">
        <v>271776.40000000002</v>
      </c>
      <c r="H414" s="13">
        <v>0.69959451319999999</v>
      </c>
      <c r="I414" s="13">
        <v>0.61223275659999998</v>
      </c>
      <c r="J414" s="13">
        <v>0.61044056420000004</v>
      </c>
      <c r="K414" s="13">
        <v>0.54781728380000005</v>
      </c>
      <c r="L414" s="13"/>
      <c r="M414" s="13">
        <v>0.25</v>
      </c>
    </row>
    <row r="415" spans="2:13" x14ac:dyDescent="0.25">
      <c r="B415" s="14" t="s">
        <v>156</v>
      </c>
      <c r="C415" s="14" t="s">
        <v>145</v>
      </c>
      <c r="D415" t="s">
        <v>46</v>
      </c>
      <c r="E415" s="16" t="s">
        <v>133</v>
      </c>
      <c r="F415">
        <v>2028</v>
      </c>
      <c r="G415" s="12">
        <v>429104.73822222202</v>
      </c>
      <c r="H415" s="13">
        <v>0.70459451319999999</v>
      </c>
      <c r="I415" s="13">
        <v>0.61723275659999999</v>
      </c>
      <c r="J415" s="13">
        <v>0.61544056420000004</v>
      </c>
      <c r="K415" s="13">
        <v>0.55281728379999995</v>
      </c>
      <c r="L415" s="13"/>
      <c r="M415" s="13">
        <v>0.25</v>
      </c>
    </row>
    <row r="416" spans="2:13" x14ac:dyDescent="0.25">
      <c r="B416" s="14" t="s">
        <v>156</v>
      </c>
      <c r="C416" s="14" t="s">
        <v>145</v>
      </c>
      <c r="D416" t="s">
        <v>46</v>
      </c>
      <c r="E416" s="16" t="s">
        <v>133</v>
      </c>
      <c r="F416">
        <v>2029</v>
      </c>
      <c r="G416" s="12">
        <v>435541.30929555499</v>
      </c>
      <c r="H416" s="13">
        <v>0.7095945132</v>
      </c>
      <c r="I416" s="13">
        <v>0.62223275659999999</v>
      </c>
      <c r="J416" s="13">
        <v>0.62044056420000004</v>
      </c>
      <c r="K416" s="13">
        <v>0.55781728379999995</v>
      </c>
      <c r="L416" s="13"/>
      <c r="M416" s="13">
        <v>0.25</v>
      </c>
    </row>
    <row r="417" spans="2:13" x14ac:dyDescent="0.25">
      <c r="B417" s="14" t="s">
        <v>156</v>
      </c>
      <c r="C417" s="14" t="s">
        <v>145</v>
      </c>
      <c r="D417" t="s">
        <v>46</v>
      </c>
      <c r="E417" s="16" t="s">
        <v>133</v>
      </c>
      <c r="F417">
        <v>2030</v>
      </c>
      <c r="G417" s="12">
        <v>442074.42893498897</v>
      </c>
      <c r="H417" s="13">
        <v>0.7145945132</v>
      </c>
      <c r="I417" s="13">
        <v>0.6272327566</v>
      </c>
      <c r="J417" s="13">
        <v>0.62544056420000005</v>
      </c>
      <c r="K417" s="13">
        <v>0.56281728379999996</v>
      </c>
      <c r="L417" s="13"/>
      <c r="M417" s="13">
        <v>0.25</v>
      </c>
    </row>
    <row r="418" spans="2:13" x14ac:dyDescent="0.25">
      <c r="B418" s="14" t="s">
        <v>156</v>
      </c>
      <c r="C418" s="14" t="s">
        <v>38</v>
      </c>
      <c r="D418" t="s">
        <v>142</v>
      </c>
      <c r="E418" s="16" t="s">
        <v>133</v>
      </c>
      <c r="F418">
        <v>2028</v>
      </c>
      <c r="G418" s="12">
        <v>5399930.3637880003</v>
      </c>
      <c r="H418" s="13">
        <v>1</v>
      </c>
      <c r="I418" s="13"/>
      <c r="J418" s="13"/>
      <c r="K418" s="13"/>
      <c r="L418" s="13">
        <v>9.9099099100000004E-2</v>
      </c>
      <c r="M418" s="13">
        <v>0.25</v>
      </c>
    </row>
    <row r="419" spans="2:13" x14ac:dyDescent="0.25">
      <c r="B419" s="14" t="s">
        <v>156</v>
      </c>
      <c r="C419" s="14" t="s">
        <v>38</v>
      </c>
      <c r="D419" t="s">
        <v>46</v>
      </c>
      <c r="E419" s="16" t="s">
        <v>133</v>
      </c>
      <c r="F419">
        <v>2027</v>
      </c>
      <c r="G419" s="12">
        <v>967495</v>
      </c>
      <c r="H419" s="13">
        <v>0.71</v>
      </c>
      <c r="I419" s="13"/>
      <c r="J419" s="13"/>
      <c r="K419" s="13"/>
      <c r="L419" s="13">
        <v>0.2</v>
      </c>
      <c r="M419" s="13">
        <v>0.25</v>
      </c>
    </row>
    <row r="420" spans="2:13" x14ac:dyDescent="0.25">
      <c r="B420" s="14" t="s">
        <v>156</v>
      </c>
      <c r="C420" s="14" t="s">
        <v>38</v>
      </c>
      <c r="D420" t="s">
        <v>46</v>
      </c>
      <c r="E420" s="16" t="s">
        <v>133</v>
      </c>
      <c r="F420">
        <v>2028</v>
      </c>
      <c r="G420" s="12">
        <v>982083</v>
      </c>
      <c r="H420" s="13">
        <v>0.71660000000000001</v>
      </c>
      <c r="I420" s="13"/>
      <c r="J420" s="13"/>
      <c r="K420" s="13"/>
      <c r="L420" s="13">
        <v>0.2</v>
      </c>
      <c r="M420" s="13">
        <v>0.25</v>
      </c>
    </row>
    <row r="421" spans="2:13" x14ac:dyDescent="0.25">
      <c r="B421" s="14" t="s">
        <v>156</v>
      </c>
      <c r="C421" s="14" t="s">
        <v>38</v>
      </c>
      <c r="D421" t="s">
        <v>46</v>
      </c>
      <c r="E421" s="16" t="s">
        <v>133</v>
      </c>
      <c r="F421">
        <v>2029</v>
      </c>
      <c r="G421" s="12">
        <v>991933</v>
      </c>
      <c r="H421" s="13">
        <v>0.72319999999999995</v>
      </c>
      <c r="I421" s="13"/>
      <c r="J421" s="13"/>
      <c r="K421" s="13"/>
      <c r="L421" s="13">
        <v>0.2</v>
      </c>
      <c r="M421" s="13">
        <v>0.25</v>
      </c>
    </row>
    <row r="422" spans="2:13" x14ac:dyDescent="0.25">
      <c r="B422" s="14" t="s">
        <v>156</v>
      </c>
      <c r="C422" s="14" t="s">
        <v>38</v>
      </c>
      <c r="D422" t="s">
        <v>46</v>
      </c>
      <c r="E422" s="16" t="s">
        <v>133</v>
      </c>
      <c r="F422">
        <v>2030</v>
      </c>
      <c r="G422" s="12">
        <v>1004455</v>
      </c>
      <c r="H422" s="13">
        <v>0.7298</v>
      </c>
      <c r="I422" s="13"/>
      <c r="J422" s="13"/>
      <c r="K422" s="13"/>
      <c r="L422" s="13">
        <v>0.2</v>
      </c>
      <c r="M422" s="13">
        <v>0.25</v>
      </c>
    </row>
    <row r="423" spans="2:13" x14ac:dyDescent="0.25">
      <c r="B423" s="14" t="s">
        <v>156</v>
      </c>
      <c r="C423" s="14" t="s">
        <v>52</v>
      </c>
      <c r="D423" t="s">
        <v>141</v>
      </c>
      <c r="E423" s="16" t="s">
        <v>133</v>
      </c>
      <c r="F423">
        <v>2026</v>
      </c>
      <c r="G423" s="12">
        <v>6122088</v>
      </c>
      <c r="H423" s="13">
        <v>0.95</v>
      </c>
      <c r="I423" s="13"/>
      <c r="J423" s="13"/>
      <c r="K423" s="13"/>
      <c r="L423" s="13"/>
      <c r="M423" s="13"/>
    </row>
    <row r="424" spans="2:13" x14ac:dyDescent="0.25">
      <c r="B424" s="14" t="s">
        <v>156</v>
      </c>
      <c r="C424" s="14" t="s">
        <v>52</v>
      </c>
      <c r="D424" t="s">
        <v>141</v>
      </c>
      <c r="E424" s="16" t="s">
        <v>133</v>
      </c>
      <c r="F424">
        <v>2029</v>
      </c>
      <c r="G424" s="12">
        <v>4216537.125</v>
      </c>
      <c r="H424" s="13">
        <v>0.85</v>
      </c>
      <c r="I424" s="13"/>
      <c r="J424" s="13"/>
      <c r="K424" s="13"/>
      <c r="L424" s="13"/>
      <c r="M424" s="13"/>
    </row>
    <row r="425" spans="2:13" x14ac:dyDescent="0.25">
      <c r="B425" s="14" t="s">
        <v>156</v>
      </c>
      <c r="C425" s="14" t="s">
        <v>52</v>
      </c>
      <c r="D425" t="s">
        <v>138</v>
      </c>
      <c r="E425" s="16" t="s">
        <v>133</v>
      </c>
      <c r="F425">
        <v>2026</v>
      </c>
      <c r="G425" s="12">
        <v>963887</v>
      </c>
      <c r="H425" s="13">
        <v>0.65</v>
      </c>
      <c r="I425" s="13">
        <v>0.58599999999999997</v>
      </c>
      <c r="J425" s="13"/>
      <c r="K425" s="13"/>
      <c r="L425" s="13"/>
      <c r="M425" s="13"/>
    </row>
    <row r="426" spans="2:13" x14ac:dyDescent="0.25">
      <c r="B426" s="14" t="s">
        <v>156</v>
      </c>
      <c r="C426" s="14" t="s">
        <v>52</v>
      </c>
      <c r="D426" t="s">
        <v>138</v>
      </c>
      <c r="E426" s="16" t="s">
        <v>133</v>
      </c>
      <c r="F426">
        <v>2027</v>
      </c>
      <c r="G426" s="12">
        <v>975292</v>
      </c>
      <c r="H426" s="13">
        <v>0.66</v>
      </c>
      <c r="I426" s="13">
        <v>0.59599999999999997</v>
      </c>
      <c r="J426" s="13"/>
      <c r="K426" s="13"/>
      <c r="L426" s="13"/>
      <c r="M426" s="13"/>
    </row>
    <row r="427" spans="2:13" x14ac:dyDescent="0.25">
      <c r="B427" s="14" t="s">
        <v>156</v>
      </c>
      <c r="C427" s="14" t="s">
        <v>52</v>
      </c>
      <c r="D427" t="s">
        <v>138</v>
      </c>
      <c r="E427" s="16" t="s">
        <v>133</v>
      </c>
      <c r="F427">
        <v>2028</v>
      </c>
      <c r="G427" s="12">
        <v>989998</v>
      </c>
      <c r="H427" s="13">
        <v>0.66</v>
      </c>
      <c r="I427" s="13">
        <v>0.59599999999999997</v>
      </c>
      <c r="J427" s="13"/>
      <c r="K427" s="13"/>
      <c r="L427" s="13"/>
      <c r="M427" s="13"/>
    </row>
    <row r="428" spans="2:13" x14ac:dyDescent="0.25">
      <c r="B428" s="14" t="s">
        <v>156</v>
      </c>
      <c r="C428" s="14" t="s">
        <v>52</v>
      </c>
      <c r="D428" t="s">
        <v>138</v>
      </c>
      <c r="E428" s="16" t="s">
        <v>133</v>
      </c>
      <c r="F428">
        <v>2029</v>
      </c>
      <c r="G428" s="12">
        <v>999927</v>
      </c>
      <c r="H428" s="13">
        <v>0.66</v>
      </c>
      <c r="I428" s="13">
        <v>0.54130500000000004</v>
      </c>
      <c r="J428" s="13"/>
      <c r="K428" s="13"/>
      <c r="L428" s="13"/>
      <c r="M428" s="13"/>
    </row>
    <row r="429" spans="2:13" x14ac:dyDescent="0.25">
      <c r="B429" s="14" t="s">
        <v>156</v>
      </c>
      <c r="C429" s="14" t="s">
        <v>52</v>
      </c>
      <c r="D429" t="s">
        <v>138</v>
      </c>
      <c r="E429" s="16" t="s">
        <v>133</v>
      </c>
      <c r="F429">
        <v>2030</v>
      </c>
      <c r="G429" s="12">
        <v>1012550</v>
      </c>
      <c r="H429" s="13">
        <v>0.66</v>
      </c>
      <c r="I429" s="13">
        <v>0.54813599999999996</v>
      </c>
      <c r="J429" s="13"/>
      <c r="K429" s="13"/>
      <c r="L429" s="13"/>
      <c r="M429" s="13"/>
    </row>
    <row r="430" spans="2:13" x14ac:dyDescent="0.25">
      <c r="B430" s="14" t="s">
        <v>156</v>
      </c>
      <c r="C430" s="14" t="s">
        <v>139</v>
      </c>
      <c r="D430" t="s">
        <v>46</v>
      </c>
      <c r="E430" s="16" t="s">
        <v>133</v>
      </c>
      <c r="F430">
        <v>2026</v>
      </c>
      <c r="G430" s="12">
        <v>955994</v>
      </c>
      <c r="H430" s="13">
        <v>0.84</v>
      </c>
      <c r="I430" s="13">
        <v>0.80310000000000004</v>
      </c>
      <c r="J430" s="13">
        <v>0.80310000000000004</v>
      </c>
      <c r="K430" s="13"/>
      <c r="L430" s="13">
        <v>7.0000000000000007E-2</v>
      </c>
      <c r="M430" s="13">
        <v>0.25</v>
      </c>
    </row>
    <row r="431" spans="2:13" x14ac:dyDescent="0.25">
      <c r="B431" s="14" t="s">
        <v>156</v>
      </c>
      <c r="C431" s="14" t="s">
        <v>139</v>
      </c>
      <c r="D431" t="s">
        <v>46</v>
      </c>
      <c r="E431" s="16" t="s">
        <v>133</v>
      </c>
      <c r="F431">
        <v>2027</v>
      </c>
      <c r="G431" s="12">
        <v>967495</v>
      </c>
      <c r="H431" s="13">
        <v>0.85</v>
      </c>
      <c r="I431" s="13">
        <v>0.81310000000000004</v>
      </c>
      <c r="J431" s="13">
        <v>0.81310000000000004</v>
      </c>
      <c r="K431" s="13"/>
      <c r="L431" s="13">
        <v>7.0000000000000007E-2</v>
      </c>
      <c r="M431" s="13">
        <v>0.25</v>
      </c>
    </row>
    <row r="432" spans="2:13" x14ac:dyDescent="0.25">
      <c r="B432" s="14" t="s">
        <v>156</v>
      </c>
      <c r="C432" s="14" t="s">
        <v>139</v>
      </c>
      <c r="D432" t="s">
        <v>46</v>
      </c>
      <c r="E432" s="16" t="s">
        <v>133</v>
      </c>
      <c r="F432">
        <v>2028</v>
      </c>
      <c r="G432" s="12">
        <v>982083</v>
      </c>
      <c r="H432" s="13">
        <v>0.86</v>
      </c>
      <c r="I432" s="13">
        <v>0.82310000000000005</v>
      </c>
      <c r="J432" s="13">
        <v>0.82310000000000005</v>
      </c>
      <c r="K432" s="13"/>
      <c r="L432" s="13">
        <v>7.0000000000000007E-2</v>
      </c>
      <c r="M432" s="13">
        <v>0.25</v>
      </c>
    </row>
    <row r="433" spans="2:13" x14ac:dyDescent="0.25">
      <c r="B433" s="14" t="s">
        <v>156</v>
      </c>
      <c r="C433" s="14" t="s">
        <v>139</v>
      </c>
      <c r="D433" t="s">
        <v>46</v>
      </c>
      <c r="E433" s="16" t="s">
        <v>133</v>
      </c>
      <c r="F433">
        <v>2029</v>
      </c>
      <c r="G433" s="12">
        <v>1000122.72417086</v>
      </c>
      <c r="H433" s="13">
        <v>0.81979999999999997</v>
      </c>
      <c r="I433" s="13">
        <v>0.78700000000000003</v>
      </c>
      <c r="J433" s="13">
        <v>0.73980000000000001</v>
      </c>
      <c r="K433" s="13"/>
      <c r="L433" s="13">
        <v>7.0000000000000007E-2</v>
      </c>
      <c r="M433" s="13">
        <v>0.25</v>
      </c>
    </row>
    <row r="434" spans="2:13" x14ac:dyDescent="0.25">
      <c r="B434" s="14" t="s">
        <v>156</v>
      </c>
      <c r="C434" s="14" t="s">
        <v>139</v>
      </c>
      <c r="D434" t="s">
        <v>46</v>
      </c>
      <c r="E434" s="16" t="s">
        <v>133</v>
      </c>
      <c r="F434">
        <v>2030</v>
      </c>
      <c r="G434" s="12">
        <v>1012748.10990969</v>
      </c>
      <c r="H434" s="13">
        <v>0.82640000000000002</v>
      </c>
      <c r="I434" s="13">
        <v>0.79359999999999997</v>
      </c>
      <c r="J434" s="13">
        <v>0.74639999999999995</v>
      </c>
      <c r="K434" s="13"/>
      <c r="L434" s="13">
        <v>7.0000000000000007E-2</v>
      </c>
      <c r="M434" s="13">
        <v>0.25</v>
      </c>
    </row>
    <row r="435" spans="2:13" x14ac:dyDescent="0.25">
      <c r="B435" s="14" t="s">
        <v>156</v>
      </c>
      <c r="C435" s="14" t="s">
        <v>74</v>
      </c>
      <c r="D435" t="s">
        <v>46</v>
      </c>
      <c r="E435" s="16" t="s">
        <v>133</v>
      </c>
      <c r="F435">
        <v>2026</v>
      </c>
      <c r="G435" s="12">
        <v>963887</v>
      </c>
      <c r="H435" s="13">
        <v>0.65</v>
      </c>
      <c r="I435" s="13"/>
      <c r="J435" s="13"/>
      <c r="K435" s="13"/>
      <c r="L435" s="13">
        <v>0.2</v>
      </c>
      <c r="M435" s="13">
        <v>0.25</v>
      </c>
    </row>
    <row r="436" spans="2:13" x14ac:dyDescent="0.25">
      <c r="B436" s="14" t="s">
        <v>156</v>
      </c>
      <c r="C436" s="14" t="s">
        <v>74</v>
      </c>
      <c r="D436" t="s">
        <v>46</v>
      </c>
      <c r="E436" s="16" t="s">
        <v>133</v>
      </c>
      <c r="F436">
        <v>2027</v>
      </c>
      <c r="G436" s="12">
        <v>975292</v>
      </c>
      <c r="H436" s="13">
        <v>0.66</v>
      </c>
      <c r="I436" s="13"/>
      <c r="J436" s="13"/>
      <c r="K436" s="13"/>
      <c r="L436" s="13">
        <v>0.2</v>
      </c>
      <c r="M436" s="13">
        <v>0.25</v>
      </c>
    </row>
    <row r="437" spans="2:13" x14ac:dyDescent="0.25">
      <c r="B437" s="14" t="s">
        <v>156</v>
      </c>
      <c r="C437" s="14" t="s">
        <v>74</v>
      </c>
      <c r="D437" t="s">
        <v>46</v>
      </c>
      <c r="E437" s="16" t="s">
        <v>133</v>
      </c>
      <c r="F437">
        <v>2028</v>
      </c>
      <c r="G437" s="12">
        <v>989998</v>
      </c>
      <c r="H437" s="13">
        <v>0.66</v>
      </c>
      <c r="I437" s="13"/>
      <c r="J437" s="13"/>
      <c r="K437" s="13"/>
      <c r="L437" s="13">
        <v>0.2</v>
      </c>
      <c r="M437" s="13">
        <v>0.25</v>
      </c>
    </row>
    <row r="438" spans="2:13" x14ac:dyDescent="0.25">
      <c r="B438" s="14" t="s">
        <v>156</v>
      </c>
      <c r="C438" s="14" t="s">
        <v>74</v>
      </c>
      <c r="D438" t="s">
        <v>46</v>
      </c>
      <c r="E438" s="16" t="s">
        <v>133</v>
      </c>
      <c r="F438">
        <v>2029</v>
      </c>
      <c r="G438" s="12">
        <v>999927</v>
      </c>
      <c r="H438" s="13">
        <v>0.66</v>
      </c>
      <c r="I438" s="13"/>
      <c r="J438" s="13"/>
      <c r="K438" s="13"/>
      <c r="L438" s="13">
        <v>0.2</v>
      </c>
      <c r="M438" s="13">
        <v>0.25</v>
      </c>
    </row>
    <row r="439" spans="2:13" x14ac:dyDescent="0.25">
      <c r="B439" s="15" t="s">
        <v>156</v>
      </c>
      <c r="C439" s="14" t="s">
        <v>74</v>
      </c>
      <c r="D439" t="s">
        <v>46</v>
      </c>
      <c r="E439" s="16" t="s">
        <v>133</v>
      </c>
      <c r="F439">
        <v>2030</v>
      </c>
      <c r="G439" s="12">
        <v>1012550</v>
      </c>
      <c r="H439" s="13">
        <v>0.66</v>
      </c>
      <c r="I439" s="13"/>
      <c r="J439" s="13"/>
      <c r="K439" s="13"/>
      <c r="L439" s="13">
        <v>0.2</v>
      </c>
      <c r="M439" s="13">
        <v>0.25</v>
      </c>
    </row>
    <row r="440" spans="2:13" x14ac:dyDescent="0.25">
      <c r="B440" s="14" t="s">
        <v>157</v>
      </c>
      <c r="C440" s="14" t="s">
        <v>132</v>
      </c>
      <c r="D440" t="s">
        <v>46</v>
      </c>
      <c r="E440" s="16" t="s">
        <v>133</v>
      </c>
      <c r="F440">
        <v>2026</v>
      </c>
      <c r="G440" s="12">
        <v>4362230</v>
      </c>
      <c r="H440" s="13">
        <v>0.84</v>
      </c>
      <c r="I440" s="13">
        <v>0.79500000000000004</v>
      </c>
      <c r="J440" s="13">
        <v>0.73</v>
      </c>
      <c r="K440" s="13">
        <v>0</v>
      </c>
      <c r="L440" s="13">
        <v>0.1</v>
      </c>
      <c r="M440" s="13">
        <v>0.25</v>
      </c>
    </row>
    <row r="441" spans="2:13" x14ac:dyDescent="0.25">
      <c r="B441" s="14" t="s">
        <v>157</v>
      </c>
      <c r="C441" s="14" t="s">
        <v>132</v>
      </c>
      <c r="D441" t="s">
        <v>46</v>
      </c>
      <c r="E441" s="16" t="s">
        <v>133</v>
      </c>
      <c r="F441">
        <v>2027</v>
      </c>
      <c r="G441" s="12">
        <v>4465233</v>
      </c>
      <c r="H441" s="13">
        <v>0.85</v>
      </c>
      <c r="I441" s="13">
        <v>0.80500000000000005</v>
      </c>
      <c r="J441" s="13">
        <v>0.74</v>
      </c>
      <c r="K441" s="13">
        <v>0</v>
      </c>
      <c r="L441" s="13">
        <v>0.1</v>
      </c>
      <c r="M441" s="13">
        <v>0.25</v>
      </c>
    </row>
    <row r="442" spans="2:13" x14ac:dyDescent="0.25">
      <c r="B442" s="14" t="s">
        <v>157</v>
      </c>
      <c r="C442" s="14" t="s">
        <v>132</v>
      </c>
      <c r="D442" t="s">
        <v>46</v>
      </c>
      <c r="E442" s="16" t="s">
        <v>133</v>
      </c>
      <c r="F442">
        <v>2028</v>
      </c>
      <c r="G442" s="12">
        <v>4550342</v>
      </c>
      <c r="H442" s="13">
        <v>0.85</v>
      </c>
      <c r="I442" s="13">
        <v>0.80500000000000005</v>
      </c>
      <c r="J442" s="13">
        <v>0.74</v>
      </c>
      <c r="K442" s="13">
        <v>0</v>
      </c>
      <c r="L442" s="13">
        <v>0.1</v>
      </c>
      <c r="M442" s="13">
        <v>0.25</v>
      </c>
    </row>
    <row r="443" spans="2:13" x14ac:dyDescent="0.25">
      <c r="B443" s="14" t="s">
        <v>157</v>
      </c>
      <c r="C443" s="14" t="s">
        <v>132</v>
      </c>
      <c r="D443" t="s">
        <v>46</v>
      </c>
      <c r="E443" s="16" t="s">
        <v>133</v>
      </c>
      <c r="F443">
        <v>2029</v>
      </c>
      <c r="G443" s="12">
        <v>4594850.2246120004</v>
      </c>
      <c r="H443" s="13">
        <v>0</v>
      </c>
      <c r="I443" s="13">
        <v>0</v>
      </c>
      <c r="J443" s="13">
        <v>0</v>
      </c>
      <c r="K443" s="13">
        <v>0</v>
      </c>
      <c r="L443" s="13">
        <v>0.1</v>
      </c>
      <c r="M443" s="13">
        <v>0.25</v>
      </c>
    </row>
    <row r="444" spans="2:13" x14ac:dyDescent="0.25">
      <c r="B444" s="14" t="s">
        <v>157</v>
      </c>
      <c r="C444" s="14" t="s">
        <v>132</v>
      </c>
      <c r="D444" t="s">
        <v>46</v>
      </c>
      <c r="E444" s="16" t="s">
        <v>133</v>
      </c>
      <c r="F444">
        <v>2030</v>
      </c>
      <c r="G444" s="12">
        <v>4671265.4327306598</v>
      </c>
      <c r="H444" s="13">
        <v>0</v>
      </c>
      <c r="I444" s="13">
        <v>0</v>
      </c>
      <c r="J444" s="13">
        <v>0</v>
      </c>
      <c r="K444" s="13">
        <v>0</v>
      </c>
      <c r="L444" s="13">
        <v>0.1</v>
      </c>
      <c r="M444" s="13">
        <v>0.25</v>
      </c>
    </row>
    <row r="445" spans="2:13" x14ac:dyDescent="0.25">
      <c r="B445" s="14" t="s">
        <v>157</v>
      </c>
      <c r="C445" s="14" t="s">
        <v>70</v>
      </c>
      <c r="D445" t="s">
        <v>46</v>
      </c>
      <c r="E445" s="16" t="s">
        <v>133</v>
      </c>
      <c r="F445">
        <v>2026</v>
      </c>
      <c r="G445" s="12">
        <v>4362230</v>
      </c>
      <c r="H445" s="13">
        <v>0.74</v>
      </c>
      <c r="I445" s="13">
        <v>0.64</v>
      </c>
      <c r="J445" s="13">
        <v>0</v>
      </c>
      <c r="K445" s="13">
        <v>0</v>
      </c>
      <c r="L445" s="13">
        <v>0.2</v>
      </c>
      <c r="M445" s="13">
        <v>0.25</v>
      </c>
    </row>
    <row r="446" spans="2:13" x14ac:dyDescent="0.25">
      <c r="B446" s="14" t="s">
        <v>157</v>
      </c>
      <c r="C446" s="14" t="s">
        <v>70</v>
      </c>
      <c r="D446" t="s">
        <v>46</v>
      </c>
      <c r="E446" s="16" t="s">
        <v>133</v>
      </c>
      <c r="F446">
        <v>2027</v>
      </c>
      <c r="G446" s="12">
        <v>4465233</v>
      </c>
      <c r="H446" s="13">
        <v>0.75</v>
      </c>
      <c r="I446" s="13">
        <v>0.65</v>
      </c>
      <c r="J446" s="13">
        <v>0</v>
      </c>
      <c r="K446" s="13">
        <v>0</v>
      </c>
      <c r="L446" s="13">
        <v>0.2</v>
      </c>
      <c r="M446" s="13">
        <v>0.25</v>
      </c>
    </row>
    <row r="447" spans="2:13" x14ac:dyDescent="0.25">
      <c r="B447" s="14" t="s">
        <v>157</v>
      </c>
      <c r="C447" s="14" t="s">
        <v>70</v>
      </c>
      <c r="D447" t="s">
        <v>46</v>
      </c>
      <c r="E447" s="16" t="s">
        <v>133</v>
      </c>
      <c r="F447">
        <v>2028</v>
      </c>
      <c r="G447" s="12">
        <v>4550342</v>
      </c>
      <c r="H447" s="13">
        <v>0.75</v>
      </c>
      <c r="I447" s="13">
        <v>0.65</v>
      </c>
      <c r="J447" s="13">
        <v>0</v>
      </c>
      <c r="K447" s="13">
        <v>0</v>
      </c>
      <c r="L447" s="13">
        <v>0.2</v>
      </c>
      <c r="M447" s="13">
        <v>0.25</v>
      </c>
    </row>
    <row r="448" spans="2:13" x14ac:dyDescent="0.25">
      <c r="B448" s="14" t="s">
        <v>157</v>
      </c>
      <c r="C448" s="14" t="s">
        <v>70</v>
      </c>
      <c r="D448" t="s">
        <v>46</v>
      </c>
      <c r="E448" s="16" t="s">
        <v>133</v>
      </c>
      <c r="F448">
        <v>2029</v>
      </c>
      <c r="G448" s="12">
        <v>4594850.2246120004</v>
      </c>
      <c r="H448" s="13">
        <v>0</v>
      </c>
      <c r="I448" s="13">
        <v>0</v>
      </c>
      <c r="J448" s="13">
        <v>0</v>
      </c>
      <c r="K448" s="13">
        <v>0</v>
      </c>
      <c r="L448" s="13">
        <v>0.2</v>
      </c>
      <c r="M448" s="13">
        <v>0.25</v>
      </c>
    </row>
    <row r="449" spans="2:13" x14ac:dyDescent="0.25">
      <c r="B449" s="14" t="s">
        <v>157</v>
      </c>
      <c r="C449" s="14" t="s">
        <v>70</v>
      </c>
      <c r="D449" t="s">
        <v>46</v>
      </c>
      <c r="E449" s="16" t="s">
        <v>133</v>
      </c>
      <c r="F449">
        <v>2030</v>
      </c>
      <c r="G449" s="12">
        <v>4671265.4327306598</v>
      </c>
      <c r="H449" s="13">
        <v>0</v>
      </c>
      <c r="I449" s="13">
        <v>0</v>
      </c>
      <c r="J449" s="13">
        <v>0</v>
      </c>
      <c r="K449" s="13">
        <v>0</v>
      </c>
      <c r="L449" s="13">
        <v>0.2</v>
      </c>
      <c r="M449" s="13">
        <v>0.25</v>
      </c>
    </row>
    <row r="450" spans="2:13" x14ac:dyDescent="0.25">
      <c r="B450" s="14" t="s">
        <v>157</v>
      </c>
      <c r="C450" s="14" t="s">
        <v>134</v>
      </c>
      <c r="D450" t="s">
        <v>46</v>
      </c>
      <c r="E450" s="16" t="s">
        <v>133</v>
      </c>
      <c r="F450">
        <v>2028</v>
      </c>
      <c r="G450" s="12">
        <v>4524341.0565815503</v>
      </c>
      <c r="H450" s="13">
        <v>0</v>
      </c>
      <c r="I450" s="13">
        <v>0</v>
      </c>
      <c r="J450" s="13">
        <v>0</v>
      </c>
      <c r="K450" s="13">
        <v>0</v>
      </c>
      <c r="L450" s="13">
        <v>7.0000000000000007E-2</v>
      </c>
      <c r="M450" s="13">
        <v>0.25</v>
      </c>
    </row>
    <row r="451" spans="2:13" x14ac:dyDescent="0.25">
      <c r="B451" s="14" t="s">
        <v>157</v>
      </c>
      <c r="C451" s="14" t="s">
        <v>134</v>
      </c>
      <c r="D451" t="s">
        <v>46</v>
      </c>
      <c r="E451" s="16" t="s">
        <v>133</v>
      </c>
      <c r="F451">
        <v>2029</v>
      </c>
      <c r="G451" s="12">
        <v>4594850.2246120004</v>
      </c>
      <c r="H451" s="13">
        <v>0.85980000000000001</v>
      </c>
      <c r="I451" s="13">
        <v>0.81469999999999998</v>
      </c>
      <c r="J451" s="13">
        <v>0.74980000000000002</v>
      </c>
      <c r="K451" s="13">
        <v>0</v>
      </c>
      <c r="L451" s="13">
        <v>7.0000000000000007E-2</v>
      </c>
      <c r="M451" s="13">
        <v>0.25</v>
      </c>
    </row>
    <row r="452" spans="2:13" x14ac:dyDescent="0.25">
      <c r="B452" s="14" t="s">
        <v>157</v>
      </c>
      <c r="C452" s="14" t="s">
        <v>134</v>
      </c>
      <c r="D452" t="s">
        <v>46</v>
      </c>
      <c r="E452" s="16" t="s">
        <v>133</v>
      </c>
      <c r="F452">
        <v>2030</v>
      </c>
      <c r="G452" s="12">
        <v>4671265.4327306598</v>
      </c>
      <c r="H452" s="13">
        <v>0.86639999999999995</v>
      </c>
      <c r="I452" s="13">
        <v>0.82130000000000003</v>
      </c>
      <c r="J452" s="13">
        <v>0.75639999999999996</v>
      </c>
      <c r="K452" s="13">
        <v>0</v>
      </c>
      <c r="L452" s="13">
        <v>7.0000000000000007E-2</v>
      </c>
      <c r="M452" s="13">
        <v>0.25</v>
      </c>
    </row>
    <row r="453" spans="2:13" x14ac:dyDescent="0.25">
      <c r="B453" s="14" t="s">
        <v>157</v>
      </c>
      <c r="C453" s="14" t="s">
        <v>72</v>
      </c>
      <c r="D453" t="s">
        <v>46</v>
      </c>
      <c r="E453" s="16" t="s">
        <v>133</v>
      </c>
      <c r="F453">
        <v>2026</v>
      </c>
      <c r="G453" s="12">
        <v>4362230</v>
      </c>
      <c r="H453" s="13">
        <v>0.84</v>
      </c>
      <c r="I453" s="13">
        <v>0.79100000000000004</v>
      </c>
      <c r="J453" s="13">
        <v>0.72</v>
      </c>
      <c r="K453" s="13"/>
      <c r="L453" s="13">
        <v>0.09</v>
      </c>
      <c r="M453" s="13">
        <v>0.25</v>
      </c>
    </row>
    <row r="454" spans="2:13" x14ac:dyDescent="0.25">
      <c r="B454" s="14" t="s">
        <v>157</v>
      </c>
      <c r="C454" s="14" t="s">
        <v>72</v>
      </c>
      <c r="D454" t="s">
        <v>46</v>
      </c>
      <c r="E454" s="16" t="s">
        <v>133</v>
      </c>
      <c r="F454">
        <v>2027</v>
      </c>
      <c r="G454" s="12">
        <v>4465233</v>
      </c>
      <c r="H454" s="13">
        <v>0.85</v>
      </c>
      <c r="I454" s="13">
        <v>0.80100000000000005</v>
      </c>
      <c r="J454" s="13">
        <v>0.73</v>
      </c>
      <c r="K454" s="13"/>
      <c r="L454" s="13">
        <v>0.09</v>
      </c>
      <c r="M454" s="13">
        <v>0.25</v>
      </c>
    </row>
    <row r="455" spans="2:13" x14ac:dyDescent="0.25">
      <c r="B455" s="14" t="s">
        <v>157</v>
      </c>
      <c r="C455" s="14" t="s">
        <v>72</v>
      </c>
      <c r="D455" t="s">
        <v>46</v>
      </c>
      <c r="E455" s="16" t="s">
        <v>133</v>
      </c>
      <c r="F455">
        <v>2028</v>
      </c>
      <c r="G455" s="12">
        <v>4550342</v>
      </c>
      <c r="H455" s="13">
        <v>0.85</v>
      </c>
      <c r="I455" s="13">
        <v>0.80100000000000005</v>
      </c>
      <c r="J455" s="13">
        <v>0.73</v>
      </c>
      <c r="K455" s="13"/>
      <c r="L455" s="13">
        <v>0.09</v>
      </c>
      <c r="M455" s="13">
        <v>0.25</v>
      </c>
    </row>
    <row r="456" spans="2:13" x14ac:dyDescent="0.25">
      <c r="B456" s="14" t="s">
        <v>157</v>
      </c>
      <c r="C456" s="14" t="s">
        <v>72</v>
      </c>
      <c r="D456" t="s">
        <v>46</v>
      </c>
      <c r="E456" s="16" t="s">
        <v>133</v>
      </c>
      <c r="F456">
        <v>2029</v>
      </c>
      <c r="G456" s="12">
        <v>4594850.2246120004</v>
      </c>
      <c r="H456" s="13">
        <v>0.85980000000000001</v>
      </c>
      <c r="I456" s="13">
        <v>0.81059999999999999</v>
      </c>
      <c r="J456" s="13">
        <v>0.73980000000000001</v>
      </c>
      <c r="K456" s="13"/>
      <c r="L456" s="13">
        <v>0.08</v>
      </c>
      <c r="M456" s="13">
        <v>0.25</v>
      </c>
    </row>
    <row r="457" spans="2:13" x14ac:dyDescent="0.25">
      <c r="B457" s="14" t="s">
        <v>157</v>
      </c>
      <c r="C457" s="14" t="s">
        <v>72</v>
      </c>
      <c r="D457" t="s">
        <v>46</v>
      </c>
      <c r="E457" s="16" t="s">
        <v>133</v>
      </c>
      <c r="F457">
        <v>2030</v>
      </c>
      <c r="G457" s="12">
        <v>4671265.4327306598</v>
      </c>
      <c r="H457" s="13">
        <v>0.86639999999999995</v>
      </c>
      <c r="I457" s="13">
        <v>0.81720000000000004</v>
      </c>
      <c r="J457" s="13">
        <v>0.74639999999999995</v>
      </c>
      <c r="K457" s="13"/>
      <c r="L457" s="13">
        <v>0.08</v>
      </c>
      <c r="M457" s="13">
        <v>0.25</v>
      </c>
    </row>
    <row r="458" spans="2:13" x14ac:dyDescent="0.25">
      <c r="B458" s="14" t="s">
        <v>157</v>
      </c>
      <c r="C458" s="14" t="s">
        <v>102</v>
      </c>
      <c r="D458" t="s">
        <v>46</v>
      </c>
      <c r="E458" s="16" t="s">
        <v>133</v>
      </c>
      <c r="F458">
        <v>2029</v>
      </c>
      <c r="G458" s="12">
        <v>4594850.2246120004</v>
      </c>
      <c r="H458" s="13">
        <v>7.1913701799999993E-2</v>
      </c>
      <c r="I458" s="13"/>
      <c r="J458" s="13"/>
      <c r="K458" s="13"/>
      <c r="L458" s="13">
        <v>7.0000000000000007E-2</v>
      </c>
      <c r="M458" s="13">
        <v>0.25</v>
      </c>
    </row>
    <row r="459" spans="2:13" x14ac:dyDescent="0.25">
      <c r="B459" s="14" t="s">
        <v>157</v>
      </c>
      <c r="C459" s="14" t="s">
        <v>102</v>
      </c>
      <c r="D459" t="s">
        <v>46</v>
      </c>
      <c r="E459" s="16" t="s">
        <v>133</v>
      </c>
      <c r="F459">
        <v>2030</v>
      </c>
      <c r="G459" s="12">
        <v>4671265.4327306598</v>
      </c>
      <c r="H459" s="13">
        <v>0.86956442190000005</v>
      </c>
      <c r="I459" s="13"/>
      <c r="J459" s="13"/>
      <c r="K459" s="13"/>
      <c r="L459" s="13">
        <v>7.0000000000000007E-2</v>
      </c>
      <c r="M459" s="13">
        <v>0.25</v>
      </c>
    </row>
    <row r="460" spans="2:13" x14ac:dyDescent="0.25">
      <c r="B460" s="14" t="s">
        <v>157</v>
      </c>
      <c r="C460" s="14" t="s">
        <v>15</v>
      </c>
      <c r="D460" t="s">
        <v>136</v>
      </c>
      <c r="E460" s="16" t="s">
        <v>133</v>
      </c>
      <c r="F460">
        <v>2027</v>
      </c>
      <c r="G460" s="12">
        <v>0</v>
      </c>
      <c r="H460" s="13">
        <v>0</v>
      </c>
      <c r="I460" s="13"/>
      <c r="J460" s="13"/>
      <c r="K460" s="13"/>
      <c r="L460" s="13">
        <v>0.05</v>
      </c>
      <c r="M460" s="13">
        <v>0.25</v>
      </c>
    </row>
    <row r="461" spans="2:13" x14ac:dyDescent="0.25">
      <c r="B461" s="14" t="s">
        <v>157</v>
      </c>
      <c r="C461" s="14" t="s">
        <v>15</v>
      </c>
      <c r="D461" t="s">
        <v>136</v>
      </c>
      <c r="E461" s="16" t="s">
        <v>133</v>
      </c>
      <c r="F461">
        <v>2028</v>
      </c>
      <c r="G461" s="12">
        <v>8219271</v>
      </c>
      <c r="H461" s="13">
        <v>0.8</v>
      </c>
      <c r="I461" s="13"/>
      <c r="J461" s="13"/>
      <c r="K461" s="13"/>
      <c r="L461" s="13">
        <v>0.05</v>
      </c>
      <c r="M461" s="13">
        <v>0.25</v>
      </c>
    </row>
    <row r="462" spans="2:13" x14ac:dyDescent="0.25">
      <c r="B462" s="14" t="s">
        <v>157</v>
      </c>
      <c r="C462" s="14" t="s">
        <v>15</v>
      </c>
      <c r="D462" t="s">
        <v>136</v>
      </c>
      <c r="E462" s="16" t="s">
        <v>133</v>
      </c>
      <c r="F462">
        <v>2029</v>
      </c>
      <c r="G462" s="12">
        <v>0</v>
      </c>
      <c r="H462" s="13">
        <v>0</v>
      </c>
      <c r="I462" s="13"/>
      <c r="J462" s="13"/>
      <c r="K462" s="13"/>
      <c r="L462" s="13">
        <v>0.05</v>
      </c>
      <c r="M462" s="13">
        <v>0.25</v>
      </c>
    </row>
    <row r="463" spans="2:13" x14ac:dyDescent="0.25">
      <c r="B463" s="14" t="s">
        <v>157</v>
      </c>
      <c r="C463" s="14" t="s">
        <v>15</v>
      </c>
      <c r="D463" t="s">
        <v>46</v>
      </c>
      <c r="E463" s="16" t="s">
        <v>133</v>
      </c>
      <c r="F463">
        <v>2027</v>
      </c>
      <c r="G463" s="12">
        <v>1872191</v>
      </c>
      <c r="H463" s="13">
        <v>0</v>
      </c>
      <c r="I463" s="13"/>
      <c r="J463" s="13"/>
      <c r="K463" s="13"/>
      <c r="L463" s="13">
        <v>0.05</v>
      </c>
      <c r="M463" s="13">
        <v>0.25</v>
      </c>
    </row>
    <row r="464" spans="2:13" x14ac:dyDescent="0.25">
      <c r="B464" s="14" t="s">
        <v>157</v>
      </c>
      <c r="C464" s="14" t="s">
        <v>15</v>
      </c>
      <c r="D464" t="s">
        <v>46</v>
      </c>
      <c r="E464" s="16" t="s">
        <v>133</v>
      </c>
      <c r="F464">
        <v>2028</v>
      </c>
      <c r="G464" s="12">
        <v>1929139</v>
      </c>
      <c r="H464" s="13">
        <v>0.67868988399999997</v>
      </c>
      <c r="I464" s="13"/>
      <c r="J464" s="13"/>
      <c r="K464" s="13"/>
      <c r="L464" s="13">
        <v>0.05</v>
      </c>
      <c r="M464" s="13">
        <v>0.25</v>
      </c>
    </row>
    <row r="465" spans="2:13" x14ac:dyDescent="0.25">
      <c r="B465" s="14" t="s">
        <v>157</v>
      </c>
      <c r="C465" s="14" t="s">
        <v>15</v>
      </c>
      <c r="D465" t="s">
        <v>46</v>
      </c>
      <c r="E465" s="16" t="s">
        <v>133</v>
      </c>
      <c r="F465">
        <v>2029</v>
      </c>
      <c r="G465" s="12">
        <v>1981607</v>
      </c>
      <c r="H465" s="13">
        <v>0.67868988399999997</v>
      </c>
      <c r="I465" s="13"/>
      <c r="J465" s="13"/>
      <c r="K465" s="13"/>
      <c r="L465" s="13">
        <v>0.05</v>
      </c>
      <c r="M465" s="13">
        <v>0.25</v>
      </c>
    </row>
    <row r="466" spans="2:13" x14ac:dyDescent="0.25">
      <c r="B466" s="14" t="s">
        <v>157</v>
      </c>
      <c r="C466" s="14" t="s">
        <v>15</v>
      </c>
      <c r="D466" t="s">
        <v>46</v>
      </c>
      <c r="E466" s="16" t="s">
        <v>133</v>
      </c>
      <c r="F466">
        <v>2030</v>
      </c>
      <c r="G466" s="12">
        <v>2037521</v>
      </c>
      <c r="H466" s="13">
        <v>0.67868988399999997</v>
      </c>
      <c r="I466" s="13"/>
      <c r="J466" s="13"/>
      <c r="K466" s="13"/>
      <c r="L466" s="13">
        <v>0.05</v>
      </c>
      <c r="M466" s="13">
        <v>0.25</v>
      </c>
    </row>
    <row r="467" spans="2:13" x14ac:dyDescent="0.25">
      <c r="B467" s="14" t="s">
        <v>157</v>
      </c>
      <c r="C467" s="14" t="s">
        <v>145</v>
      </c>
      <c r="D467" t="s">
        <v>46</v>
      </c>
      <c r="E467" s="16" t="s">
        <v>133</v>
      </c>
      <c r="F467">
        <v>2026</v>
      </c>
      <c r="G467" s="12">
        <v>1845038.16</v>
      </c>
      <c r="H467" s="13">
        <v>0.81</v>
      </c>
      <c r="I467" s="13">
        <v>0.73</v>
      </c>
      <c r="J467" s="13">
        <v>0.71</v>
      </c>
      <c r="K467" s="13">
        <v>0.55500000000000005</v>
      </c>
      <c r="L467" s="13"/>
      <c r="M467" s="13">
        <v>0.25</v>
      </c>
    </row>
    <row r="468" spans="2:13" x14ac:dyDescent="0.25">
      <c r="B468" s="14" t="s">
        <v>157</v>
      </c>
      <c r="C468" s="14" t="s">
        <v>145</v>
      </c>
      <c r="D468" t="s">
        <v>46</v>
      </c>
      <c r="E468" s="16" t="s">
        <v>133</v>
      </c>
      <c r="F468">
        <v>2027</v>
      </c>
      <c r="G468" s="12">
        <v>2636344.8477975</v>
      </c>
      <c r="H468" s="13">
        <v>0.81499999999999995</v>
      </c>
      <c r="I468" s="13">
        <v>0.73499999999999999</v>
      </c>
      <c r="J468" s="13">
        <v>0.71499999999999997</v>
      </c>
      <c r="K468" s="13">
        <v>0.56000000000000005</v>
      </c>
      <c r="L468" s="13"/>
      <c r="M468" s="13">
        <v>0.25</v>
      </c>
    </row>
    <row r="469" spans="2:13" x14ac:dyDescent="0.25">
      <c r="B469" s="14" t="s">
        <v>157</v>
      </c>
      <c r="C469" s="14" t="s">
        <v>145</v>
      </c>
      <c r="D469" t="s">
        <v>46</v>
      </c>
      <c r="E469" s="16" t="s">
        <v>133</v>
      </c>
      <c r="F469">
        <v>2028</v>
      </c>
      <c r="G469" s="12">
        <v>2675890.0205144598</v>
      </c>
      <c r="H469" s="13">
        <v>0.82</v>
      </c>
      <c r="I469" s="13">
        <v>0.74</v>
      </c>
      <c r="J469" s="13">
        <v>0.72</v>
      </c>
      <c r="K469" s="13">
        <v>0.56499999999999995</v>
      </c>
      <c r="L469" s="13"/>
      <c r="M469" s="13">
        <v>0.25</v>
      </c>
    </row>
    <row r="470" spans="2:13" x14ac:dyDescent="0.25">
      <c r="B470" s="14" t="s">
        <v>157</v>
      </c>
      <c r="C470" s="14" t="s">
        <v>145</v>
      </c>
      <c r="D470" t="s">
        <v>46</v>
      </c>
      <c r="E470" s="16" t="s">
        <v>133</v>
      </c>
      <c r="F470">
        <v>2029</v>
      </c>
      <c r="G470" s="12">
        <v>2716028.3708221801</v>
      </c>
      <c r="H470" s="13">
        <v>0.82499999999999996</v>
      </c>
      <c r="I470" s="13">
        <v>0.745</v>
      </c>
      <c r="J470" s="13">
        <v>0.72499999999999998</v>
      </c>
      <c r="K470" s="13">
        <v>0.56999999999999995</v>
      </c>
      <c r="L470" s="13"/>
      <c r="M470" s="13">
        <v>0.25</v>
      </c>
    </row>
    <row r="471" spans="2:13" x14ac:dyDescent="0.25">
      <c r="B471" s="14" t="s">
        <v>157</v>
      </c>
      <c r="C471" s="14" t="s">
        <v>145</v>
      </c>
      <c r="D471" t="s">
        <v>46</v>
      </c>
      <c r="E471" s="16" t="s">
        <v>133</v>
      </c>
      <c r="F471">
        <v>2030</v>
      </c>
      <c r="G471" s="12">
        <v>2756768.7963845101</v>
      </c>
      <c r="H471" s="13">
        <v>0.83</v>
      </c>
      <c r="I471" s="13">
        <v>0.75</v>
      </c>
      <c r="J471" s="13">
        <v>0.73</v>
      </c>
      <c r="K471" s="13">
        <v>0.57499999999999996</v>
      </c>
      <c r="L471" s="13"/>
      <c r="M471" s="13">
        <v>0.25</v>
      </c>
    </row>
    <row r="472" spans="2:13" x14ac:dyDescent="0.25">
      <c r="B472" s="14" t="s">
        <v>157</v>
      </c>
      <c r="C472" s="14" t="s">
        <v>52</v>
      </c>
      <c r="D472" t="s">
        <v>137</v>
      </c>
      <c r="E472" s="16" t="s">
        <v>133</v>
      </c>
      <c r="F472">
        <v>2026</v>
      </c>
      <c r="G472" s="12">
        <v>23895522.4746744</v>
      </c>
      <c r="H472" s="13">
        <v>1</v>
      </c>
      <c r="I472" s="13"/>
      <c r="J472" s="13"/>
      <c r="K472" s="13"/>
      <c r="L472" s="13"/>
      <c r="M472" s="13"/>
    </row>
    <row r="473" spans="2:13" x14ac:dyDescent="0.25">
      <c r="B473" s="14" t="s">
        <v>157</v>
      </c>
      <c r="C473" s="14" t="s">
        <v>52</v>
      </c>
      <c r="D473" t="s">
        <v>141</v>
      </c>
      <c r="E473" s="16" t="s">
        <v>133</v>
      </c>
      <c r="F473">
        <v>2028</v>
      </c>
      <c r="G473" s="12">
        <v>9744981</v>
      </c>
      <c r="H473" s="13">
        <v>0.85</v>
      </c>
      <c r="I473" s="13"/>
      <c r="J473" s="13"/>
      <c r="K473" s="13"/>
      <c r="L473" s="13"/>
      <c r="M473" s="13"/>
    </row>
    <row r="474" spans="2:13" x14ac:dyDescent="0.25">
      <c r="B474" s="14" t="s">
        <v>157</v>
      </c>
      <c r="C474" s="14" t="s">
        <v>52</v>
      </c>
      <c r="D474" t="s">
        <v>141</v>
      </c>
      <c r="E474" s="16" t="s">
        <v>133</v>
      </c>
      <c r="F474">
        <v>2029</v>
      </c>
      <c r="G474" s="12">
        <v>9744981</v>
      </c>
      <c r="H474" s="13">
        <v>0.85</v>
      </c>
      <c r="I474" s="13"/>
      <c r="J474" s="13"/>
      <c r="K474" s="13"/>
      <c r="L474" s="13"/>
      <c r="M474" s="13"/>
    </row>
    <row r="475" spans="2:13" x14ac:dyDescent="0.25">
      <c r="B475" s="14" t="s">
        <v>157</v>
      </c>
      <c r="C475" s="14" t="s">
        <v>52</v>
      </c>
      <c r="D475" t="s">
        <v>138</v>
      </c>
      <c r="E475" s="16" t="s">
        <v>133</v>
      </c>
      <c r="F475">
        <v>2026</v>
      </c>
      <c r="G475" s="12">
        <v>4672989</v>
      </c>
      <c r="H475" s="13">
        <v>0.65</v>
      </c>
      <c r="I475" s="13">
        <v>0.49</v>
      </c>
      <c r="J475" s="13"/>
      <c r="K475" s="13"/>
      <c r="L475" s="13"/>
      <c r="M475" s="13"/>
    </row>
    <row r="476" spans="2:13" x14ac:dyDescent="0.25">
      <c r="B476" s="14" t="s">
        <v>157</v>
      </c>
      <c r="C476" s="14" t="s">
        <v>52</v>
      </c>
      <c r="D476" t="s">
        <v>138</v>
      </c>
      <c r="E476" s="16" t="s">
        <v>133</v>
      </c>
      <c r="F476">
        <v>2027</v>
      </c>
      <c r="G476" s="12">
        <v>4672989</v>
      </c>
      <c r="H476" s="13">
        <v>0.65</v>
      </c>
      <c r="I476" s="13">
        <v>0.49</v>
      </c>
      <c r="J476" s="13"/>
      <c r="K476" s="13"/>
      <c r="L476" s="13"/>
      <c r="M476" s="13"/>
    </row>
    <row r="477" spans="2:13" x14ac:dyDescent="0.25">
      <c r="B477" s="14" t="s">
        <v>157</v>
      </c>
      <c r="C477" s="14" t="s">
        <v>52</v>
      </c>
      <c r="D477" t="s">
        <v>138</v>
      </c>
      <c r="E477" s="16" t="s">
        <v>133</v>
      </c>
      <c r="F477">
        <v>2028</v>
      </c>
      <c r="G477" s="12">
        <v>4762058</v>
      </c>
      <c r="H477" s="13">
        <v>0.65</v>
      </c>
      <c r="I477" s="13">
        <v>0.49</v>
      </c>
      <c r="J477" s="13"/>
      <c r="K477" s="13"/>
      <c r="L477" s="13"/>
      <c r="M477" s="13"/>
    </row>
    <row r="478" spans="2:13" x14ac:dyDescent="0.25">
      <c r="B478" s="14" t="s">
        <v>157</v>
      </c>
      <c r="C478" s="14" t="s">
        <v>52</v>
      </c>
      <c r="D478" t="s">
        <v>138</v>
      </c>
      <c r="E478" s="16" t="s">
        <v>133</v>
      </c>
      <c r="F478">
        <v>2029</v>
      </c>
      <c r="G478" s="12">
        <v>4836272</v>
      </c>
      <c r="H478" s="13">
        <v>0.65</v>
      </c>
      <c r="I478" s="13">
        <v>0.50714999999999999</v>
      </c>
      <c r="J478" s="13"/>
      <c r="K478" s="13"/>
      <c r="L478" s="13"/>
      <c r="M478" s="13"/>
    </row>
    <row r="479" spans="2:13" x14ac:dyDescent="0.25">
      <c r="B479" s="14" t="s">
        <v>157</v>
      </c>
      <c r="C479" s="14" t="s">
        <v>52</v>
      </c>
      <c r="D479" t="s">
        <v>138</v>
      </c>
      <c r="E479" s="16" t="s">
        <v>133</v>
      </c>
      <c r="F479">
        <v>2030</v>
      </c>
      <c r="G479" s="12">
        <v>4916702</v>
      </c>
      <c r="H479" s="13">
        <v>0.65</v>
      </c>
      <c r="I479" s="13">
        <v>0.50714999999999999</v>
      </c>
      <c r="J479" s="13"/>
      <c r="K479" s="13"/>
      <c r="L479" s="13"/>
      <c r="M479" s="13"/>
    </row>
    <row r="480" spans="2:13" x14ac:dyDescent="0.25">
      <c r="B480" s="14" t="s">
        <v>157</v>
      </c>
      <c r="C480" s="14" t="s">
        <v>109</v>
      </c>
      <c r="D480" t="s">
        <v>151</v>
      </c>
      <c r="E480" s="16" t="s">
        <v>133</v>
      </c>
      <c r="F480">
        <v>2026</v>
      </c>
      <c r="G480" s="12">
        <v>9189189.18918919</v>
      </c>
      <c r="H480" s="13">
        <v>1</v>
      </c>
      <c r="I480" s="13">
        <v>0.85</v>
      </c>
      <c r="J480" s="13"/>
      <c r="K480" s="13"/>
      <c r="L480" s="13"/>
      <c r="M480" s="13"/>
    </row>
    <row r="481" spans="2:13" x14ac:dyDescent="0.25">
      <c r="B481" s="14" t="s">
        <v>157</v>
      </c>
      <c r="C481" s="14" t="s">
        <v>109</v>
      </c>
      <c r="D481" t="s">
        <v>151</v>
      </c>
      <c r="E481" s="16" t="s">
        <v>133</v>
      </c>
      <c r="F481">
        <v>2027</v>
      </c>
      <c r="G481" s="12">
        <v>5405405.4054054003</v>
      </c>
      <c r="H481" s="13">
        <v>1</v>
      </c>
      <c r="I481" s="13">
        <v>0.85</v>
      </c>
      <c r="J481" s="13"/>
      <c r="K481" s="13"/>
      <c r="L481" s="13"/>
      <c r="M481" s="13"/>
    </row>
    <row r="482" spans="2:13" x14ac:dyDescent="0.25">
      <c r="B482" s="14" t="s">
        <v>157</v>
      </c>
      <c r="C482" s="14" t="s">
        <v>109</v>
      </c>
      <c r="D482" t="s">
        <v>151</v>
      </c>
      <c r="E482" s="16" t="s">
        <v>133</v>
      </c>
      <c r="F482">
        <v>2028</v>
      </c>
      <c r="G482" s="12">
        <v>3513513.5135135101</v>
      </c>
      <c r="H482" s="13">
        <v>1</v>
      </c>
      <c r="I482" s="13">
        <v>0.85</v>
      </c>
      <c r="J482" s="13"/>
      <c r="K482" s="13"/>
      <c r="L482" s="13"/>
      <c r="M482" s="13"/>
    </row>
    <row r="483" spans="2:13" x14ac:dyDescent="0.25">
      <c r="B483" s="14" t="s">
        <v>157</v>
      </c>
      <c r="C483" s="14" t="s">
        <v>109</v>
      </c>
      <c r="D483" t="s">
        <v>151</v>
      </c>
      <c r="E483" s="16" t="s">
        <v>133</v>
      </c>
      <c r="F483">
        <v>2029</v>
      </c>
      <c r="G483" s="12">
        <v>0</v>
      </c>
      <c r="H483" s="13"/>
      <c r="I483" s="13"/>
      <c r="J483" s="13"/>
      <c r="K483" s="13"/>
      <c r="L483" s="13"/>
      <c r="M483" s="13"/>
    </row>
    <row r="484" spans="2:13" x14ac:dyDescent="0.25">
      <c r="B484" s="14" t="s">
        <v>157</v>
      </c>
      <c r="C484" s="14" t="s">
        <v>109</v>
      </c>
      <c r="D484" t="s">
        <v>151</v>
      </c>
      <c r="E484" s="16" t="s">
        <v>133</v>
      </c>
      <c r="F484">
        <v>2030</v>
      </c>
      <c r="G484" s="12">
        <v>0</v>
      </c>
      <c r="H484" s="13"/>
      <c r="I484" s="13"/>
      <c r="J484" s="13"/>
      <c r="K484" s="13"/>
      <c r="L484" s="13"/>
      <c r="M484" s="13"/>
    </row>
    <row r="485" spans="2:13" x14ac:dyDescent="0.25">
      <c r="B485" s="14" t="s">
        <v>157</v>
      </c>
      <c r="C485" s="14" t="s">
        <v>139</v>
      </c>
      <c r="D485" t="s">
        <v>46</v>
      </c>
      <c r="E485" s="16" t="s">
        <v>133</v>
      </c>
      <c r="F485">
        <v>2026</v>
      </c>
      <c r="G485" s="12">
        <v>4362230</v>
      </c>
      <c r="H485" s="13">
        <v>0.84</v>
      </c>
      <c r="I485" s="13">
        <v>0.79100000000000004</v>
      </c>
      <c r="J485" s="13">
        <v>0</v>
      </c>
      <c r="K485" s="13"/>
      <c r="L485" s="13">
        <v>7.0000000000000007E-2</v>
      </c>
      <c r="M485" s="13">
        <v>0.25</v>
      </c>
    </row>
    <row r="486" spans="2:13" x14ac:dyDescent="0.25">
      <c r="B486" s="14" t="s">
        <v>157</v>
      </c>
      <c r="C486" s="14" t="s">
        <v>139</v>
      </c>
      <c r="D486" t="s">
        <v>46</v>
      </c>
      <c r="E486" s="16" t="s">
        <v>133</v>
      </c>
      <c r="F486">
        <v>2027</v>
      </c>
      <c r="G486" s="12">
        <v>4465233</v>
      </c>
      <c r="H486" s="13">
        <v>0.85</v>
      </c>
      <c r="I486" s="13">
        <v>0.80100000000000005</v>
      </c>
      <c r="J486" s="13">
        <v>0</v>
      </c>
      <c r="K486" s="13"/>
      <c r="L486" s="13">
        <v>7.0000000000000007E-2</v>
      </c>
      <c r="M486" s="13">
        <v>0.25</v>
      </c>
    </row>
    <row r="487" spans="2:13" x14ac:dyDescent="0.25">
      <c r="B487" s="14" t="s">
        <v>157</v>
      </c>
      <c r="C487" s="14" t="s">
        <v>139</v>
      </c>
      <c r="D487" t="s">
        <v>46</v>
      </c>
      <c r="E487" s="16" t="s">
        <v>133</v>
      </c>
      <c r="F487">
        <v>2028</v>
      </c>
      <c r="G487" s="12">
        <v>4550342</v>
      </c>
      <c r="H487" s="13">
        <v>0.85</v>
      </c>
      <c r="I487" s="13">
        <v>0.80100000000000005</v>
      </c>
      <c r="J487" s="13">
        <v>0</v>
      </c>
      <c r="K487" s="13"/>
      <c r="L487" s="13">
        <v>7.0000000000000007E-2</v>
      </c>
      <c r="M487" s="13">
        <v>0.25</v>
      </c>
    </row>
    <row r="488" spans="2:13" x14ac:dyDescent="0.25">
      <c r="B488" s="14" t="s">
        <v>157</v>
      </c>
      <c r="C488" s="14" t="s">
        <v>139</v>
      </c>
      <c r="D488" t="s">
        <v>46</v>
      </c>
      <c r="E488" s="16" t="s">
        <v>133</v>
      </c>
      <c r="F488">
        <v>2029</v>
      </c>
      <c r="G488" s="12">
        <v>4594850.2246120004</v>
      </c>
      <c r="H488" s="13">
        <v>0.85980000000000001</v>
      </c>
      <c r="I488" s="13">
        <v>0.81079999999999997</v>
      </c>
      <c r="J488" s="13">
        <v>0</v>
      </c>
      <c r="K488" s="13"/>
      <c r="L488" s="13">
        <v>7.0000000000000007E-2</v>
      </c>
      <c r="M488" s="13">
        <v>0.25</v>
      </c>
    </row>
    <row r="489" spans="2:13" x14ac:dyDescent="0.25">
      <c r="B489" s="14" t="s">
        <v>157</v>
      </c>
      <c r="C489" s="14" t="s">
        <v>139</v>
      </c>
      <c r="D489" t="s">
        <v>46</v>
      </c>
      <c r="E489" s="16" t="s">
        <v>133</v>
      </c>
      <c r="F489">
        <v>2030</v>
      </c>
      <c r="G489" s="12">
        <v>4671265.4327306598</v>
      </c>
      <c r="H489" s="13">
        <v>0.86639999999999995</v>
      </c>
      <c r="I489" s="13">
        <v>0.81740000000000002</v>
      </c>
      <c r="J489" s="13">
        <v>0</v>
      </c>
      <c r="K489" s="13"/>
      <c r="L489" s="13">
        <v>7.0000000000000007E-2</v>
      </c>
      <c r="M489" s="13">
        <v>0.25</v>
      </c>
    </row>
    <row r="490" spans="2:13" x14ac:dyDescent="0.25">
      <c r="B490" s="14" t="s">
        <v>157</v>
      </c>
      <c r="C490" s="14" t="s">
        <v>74</v>
      </c>
      <c r="D490" t="s">
        <v>14</v>
      </c>
      <c r="E490" s="16" t="s">
        <v>133</v>
      </c>
      <c r="F490">
        <v>2026</v>
      </c>
      <c r="G490" s="12">
        <v>2500000</v>
      </c>
      <c r="H490" s="13">
        <v>1</v>
      </c>
      <c r="I490" s="13"/>
      <c r="J490" s="13"/>
      <c r="K490" s="13"/>
      <c r="L490" s="13">
        <v>0.1</v>
      </c>
      <c r="M490" s="13">
        <v>0</v>
      </c>
    </row>
    <row r="491" spans="2:13" x14ac:dyDescent="0.25">
      <c r="B491" s="14" t="s">
        <v>157</v>
      </c>
      <c r="C491" s="14" t="s">
        <v>74</v>
      </c>
      <c r="D491" t="s">
        <v>46</v>
      </c>
      <c r="E491" s="16" t="s">
        <v>133</v>
      </c>
      <c r="F491">
        <v>2026</v>
      </c>
      <c r="G491" s="12">
        <v>3775109</v>
      </c>
      <c r="H491" s="13">
        <v>0.6</v>
      </c>
      <c r="I491" s="13"/>
      <c r="J491" s="13"/>
      <c r="K491" s="13"/>
      <c r="L491" s="13">
        <v>0.2</v>
      </c>
      <c r="M491" s="13">
        <v>0.25</v>
      </c>
    </row>
    <row r="492" spans="2:13" x14ac:dyDescent="0.25">
      <c r="B492" s="14" t="s">
        <v>157</v>
      </c>
      <c r="C492" s="14" t="s">
        <v>74</v>
      </c>
      <c r="D492" t="s">
        <v>46</v>
      </c>
      <c r="E492" s="16" t="s">
        <v>133</v>
      </c>
      <c r="F492">
        <v>2027</v>
      </c>
      <c r="G492" s="12">
        <v>3844102</v>
      </c>
      <c r="H492" s="13">
        <v>0.61</v>
      </c>
      <c r="I492" s="13"/>
      <c r="J492" s="13"/>
      <c r="K492" s="13"/>
      <c r="L492" s="13">
        <v>0.2</v>
      </c>
      <c r="M492" s="13">
        <v>0.25</v>
      </c>
    </row>
    <row r="493" spans="2:13" x14ac:dyDescent="0.25">
      <c r="B493" s="14" t="s">
        <v>157</v>
      </c>
      <c r="C493" s="14" t="s">
        <v>74</v>
      </c>
      <c r="D493" t="s">
        <v>46</v>
      </c>
      <c r="E493" s="16" t="s">
        <v>133</v>
      </c>
      <c r="F493">
        <v>2028</v>
      </c>
      <c r="G493" s="12">
        <v>3917372</v>
      </c>
      <c r="H493" s="13">
        <v>0.61</v>
      </c>
      <c r="I493" s="13"/>
      <c r="J493" s="13"/>
      <c r="K493" s="13"/>
      <c r="L493" s="13">
        <v>0.2</v>
      </c>
      <c r="M493" s="13">
        <v>0.25</v>
      </c>
    </row>
    <row r="494" spans="2:13" x14ac:dyDescent="0.25">
      <c r="B494" s="14" t="s">
        <v>157</v>
      </c>
      <c r="C494" s="14" t="s">
        <v>74</v>
      </c>
      <c r="D494" t="s">
        <v>46</v>
      </c>
      <c r="E494" s="16" t="s">
        <v>133</v>
      </c>
      <c r="F494">
        <v>2029</v>
      </c>
      <c r="G494" s="12">
        <v>3978422</v>
      </c>
      <c r="H494" s="13">
        <v>0.61</v>
      </c>
      <c r="I494" s="13"/>
      <c r="J494" s="13"/>
      <c r="K494" s="13"/>
      <c r="L494" s="13">
        <v>0.2</v>
      </c>
      <c r="M494" s="13">
        <v>0.25</v>
      </c>
    </row>
    <row r="495" spans="2:13" x14ac:dyDescent="0.25">
      <c r="B495" s="15" t="s">
        <v>157</v>
      </c>
      <c r="C495" s="14" t="s">
        <v>74</v>
      </c>
      <c r="D495" t="s">
        <v>46</v>
      </c>
      <c r="E495" s="16" t="s">
        <v>133</v>
      </c>
      <c r="F495">
        <v>2030</v>
      </c>
      <c r="G495" s="12">
        <v>4044585</v>
      </c>
      <c r="H495" s="13">
        <v>0.61</v>
      </c>
      <c r="I495" s="13"/>
      <c r="J495" s="13"/>
      <c r="K495" s="13"/>
      <c r="L495" s="13">
        <v>0.2</v>
      </c>
      <c r="M495" s="13">
        <v>0.25</v>
      </c>
    </row>
    <row r="496" spans="2:13" x14ac:dyDescent="0.25">
      <c r="B496" s="14" t="s">
        <v>158</v>
      </c>
      <c r="C496" s="14" t="s">
        <v>70</v>
      </c>
      <c r="D496" t="s">
        <v>46</v>
      </c>
      <c r="E496" s="16" t="s">
        <v>133</v>
      </c>
      <c r="F496">
        <v>2026</v>
      </c>
      <c r="G496" s="12">
        <v>194008</v>
      </c>
      <c r="H496" s="13">
        <v>0.74</v>
      </c>
      <c r="I496" s="13">
        <v>0.7</v>
      </c>
      <c r="J496" s="13">
        <v>0</v>
      </c>
      <c r="K496" s="13">
        <v>0</v>
      </c>
      <c r="L496" s="13">
        <v>7.0000000000000007E-2</v>
      </c>
      <c r="M496" s="13">
        <v>0.25</v>
      </c>
    </row>
    <row r="497" spans="2:13" x14ac:dyDescent="0.25">
      <c r="B497" s="14" t="s">
        <v>158</v>
      </c>
      <c r="C497" s="14" t="s">
        <v>70</v>
      </c>
      <c r="D497" t="s">
        <v>46</v>
      </c>
      <c r="E497" s="16" t="s">
        <v>133</v>
      </c>
      <c r="F497">
        <v>2027</v>
      </c>
      <c r="G497" s="12">
        <v>197437</v>
      </c>
      <c r="H497" s="13">
        <v>0.74660000000000004</v>
      </c>
      <c r="I497" s="13">
        <v>0.70660000000000001</v>
      </c>
      <c r="J497" s="13">
        <v>6.6E-3</v>
      </c>
      <c r="K497" s="13">
        <v>0</v>
      </c>
      <c r="L497" s="13">
        <v>7.0000000000000007E-2</v>
      </c>
      <c r="M497" s="13">
        <v>0.25</v>
      </c>
    </row>
    <row r="498" spans="2:13" x14ac:dyDescent="0.25">
      <c r="B498" s="14" t="s">
        <v>158</v>
      </c>
      <c r="C498" s="14" t="s">
        <v>70</v>
      </c>
      <c r="D498" t="s">
        <v>46</v>
      </c>
      <c r="E498" s="16" t="s">
        <v>133</v>
      </c>
      <c r="F498">
        <v>2028</v>
      </c>
      <c r="G498" s="12">
        <v>201218</v>
      </c>
      <c r="H498" s="13">
        <v>0.75319999999999998</v>
      </c>
      <c r="I498" s="13">
        <v>0.71319999999999995</v>
      </c>
      <c r="J498" s="13">
        <v>1.32E-2</v>
      </c>
      <c r="K498" s="13">
        <v>0</v>
      </c>
      <c r="L498" s="13">
        <v>7.0000000000000007E-2</v>
      </c>
      <c r="M498" s="13">
        <v>0.25</v>
      </c>
    </row>
    <row r="499" spans="2:13" x14ac:dyDescent="0.25">
      <c r="B499" s="14" t="s">
        <v>158</v>
      </c>
      <c r="C499" s="14" t="s">
        <v>70</v>
      </c>
      <c r="D499" t="s">
        <v>46</v>
      </c>
      <c r="E499" s="16" t="s">
        <v>133</v>
      </c>
      <c r="F499">
        <v>2029</v>
      </c>
      <c r="G499" s="12">
        <v>205301</v>
      </c>
      <c r="H499" s="13">
        <v>0.75980000000000003</v>
      </c>
      <c r="I499" s="13">
        <v>0.7198</v>
      </c>
      <c r="J499" s="13">
        <v>1.9800000000000002E-2</v>
      </c>
      <c r="K499" s="13">
        <v>0</v>
      </c>
      <c r="L499" s="13">
        <v>7.0000000000000007E-2</v>
      </c>
      <c r="M499" s="13">
        <v>0.25</v>
      </c>
    </row>
    <row r="500" spans="2:13" x14ac:dyDescent="0.25">
      <c r="B500" s="14" t="s">
        <v>158</v>
      </c>
      <c r="C500" s="14" t="s">
        <v>70</v>
      </c>
      <c r="D500" t="s">
        <v>46</v>
      </c>
      <c r="E500" s="16" t="s">
        <v>133</v>
      </c>
      <c r="F500">
        <v>2030</v>
      </c>
      <c r="G500" s="12">
        <v>209362</v>
      </c>
      <c r="H500" s="13">
        <v>0.76639999999999997</v>
      </c>
      <c r="I500" s="13">
        <v>0.72640000000000005</v>
      </c>
      <c r="J500" s="13">
        <v>2.64E-2</v>
      </c>
      <c r="K500" s="13">
        <v>0</v>
      </c>
      <c r="L500" s="13">
        <v>7.0000000000000007E-2</v>
      </c>
      <c r="M500" s="13">
        <v>0.25</v>
      </c>
    </row>
    <row r="501" spans="2:13" x14ac:dyDescent="0.25">
      <c r="B501" s="14" t="s">
        <v>158</v>
      </c>
      <c r="C501" s="14" t="s">
        <v>102</v>
      </c>
      <c r="D501" t="s">
        <v>46</v>
      </c>
      <c r="E501" s="16" t="s">
        <v>133</v>
      </c>
      <c r="F501">
        <v>2026</v>
      </c>
      <c r="G501" s="12">
        <v>216837</v>
      </c>
      <c r="H501" s="13">
        <v>0.56815000000000004</v>
      </c>
      <c r="I501" s="13"/>
      <c r="J501" s="13"/>
      <c r="K501" s="13"/>
      <c r="L501" s="13">
        <v>7.0000000000000007E-2</v>
      </c>
      <c r="M501" s="13">
        <v>0.25</v>
      </c>
    </row>
    <row r="502" spans="2:13" x14ac:dyDescent="0.25">
      <c r="B502" s="14" t="s">
        <v>158</v>
      </c>
      <c r="C502" s="14" t="s">
        <v>102</v>
      </c>
      <c r="D502" t="s">
        <v>46</v>
      </c>
      <c r="E502" s="16" t="s">
        <v>133</v>
      </c>
      <c r="F502">
        <v>2027</v>
      </c>
      <c r="G502" s="12">
        <v>220669.491819925</v>
      </c>
      <c r="H502" s="13">
        <v>0.62639999999999996</v>
      </c>
      <c r="I502" s="13"/>
      <c r="J502" s="13"/>
      <c r="K502" s="13"/>
      <c r="L502" s="13">
        <v>7.0000000000000007E-2</v>
      </c>
      <c r="M502" s="13">
        <v>0.25</v>
      </c>
    </row>
    <row r="503" spans="2:13" x14ac:dyDescent="0.25">
      <c r="B503" s="14" t="s">
        <v>158</v>
      </c>
      <c r="C503" s="14" t="s">
        <v>102</v>
      </c>
      <c r="D503" t="s">
        <v>46</v>
      </c>
      <c r="E503" s="16" t="s">
        <v>133</v>
      </c>
      <c r="F503">
        <v>2028</v>
      </c>
      <c r="G503" s="12">
        <v>224895.40362253101</v>
      </c>
      <c r="H503" s="13">
        <v>0.63300000000000001</v>
      </c>
      <c r="I503" s="13"/>
      <c r="J503" s="13"/>
      <c r="K503" s="13"/>
      <c r="L503" s="13">
        <v>7.0000000000000007E-2</v>
      </c>
      <c r="M503" s="13">
        <v>0.25</v>
      </c>
    </row>
    <row r="504" spans="2:13" x14ac:dyDescent="0.25">
      <c r="B504" s="14" t="s">
        <v>158</v>
      </c>
      <c r="C504" s="14" t="s">
        <v>102</v>
      </c>
      <c r="D504" t="s">
        <v>46</v>
      </c>
      <c r="E504" s="16" t="s">
        <v>133</v>
      </c>
      <c r="F504">
        <v>2029</v>
      </c>
      <c r="G504" s="12">
        <v>229458.85188755099</v>
      </c>
      <c r="H504" s="13">
        <v>0.63959999999999995</v>
      </c>
      <c r="I504" s="13"/>
      <c r="J504" s="13"/>
      <c r="K504" s="13"/>
      <c r="L504" s="13">
        <v>7.0000000000000007E-2</v>
      </c>
      <c r="M504" s="13">
        <v>0.25</v>
      </c>
    </row>
    <row r="505" spans="2:13" x14ac:dyDescent="0.25">
      <c r="B505" s="14" t="s">
        <v>158</v>
      </c>
      <c r="C505" s="14" t="s">
        <v>102</v>
      </c>
      <c r="D505" t="s">
        <v>46</v>
      </c>
      <c r="E505" s="16" t="s">
        <v>133</v>
      </c>
      <c r="F505">
        <v>2030</v>
      </c>
      <c r="G505" s="12">
        <v>233997.711403653</v>
      </c>
      <c r="H505" s="13">
        <v>0.6462</v>
      </c>
      <c r="I505" s="13"/>
      <c r="J505" s="13"/>
      <c r="K505" s="13"/>
      <c r="L505" s="13">
        <v>7.0000000000000007E-2</v>
      </c>
      <c r="M505" s="13">
        <v>0.25</v>
      </c>
    </row>
    <row r="506" spans="2:13" x14ac:dyDescent="0.25">
      <c r="B506" s="14" t="s">
        <v>158</v>
      </c>
      <c r="C506" s="14" t="s">
        <v>15</v>
      </c>
      <c r="D506" t="s">
        <v>136</v>
      </c>
      <c r="E506" s="16" t="s">
        <v>133</v>
      </c>
      <c r="F506">
        <v>2027</v>
      </c>
      <c r="G506" s="12">
        <v>0</v>
      </c>
      <c r="H506" s="13">
        <v>0</v>
      </c>
      <c r="I506" s="13"/>
      <c r="J506" s="13"/>
      <c r="K506" s="13"/>
      <c r="L506" s="13">
        <v>0.05</v>
      </c>
      <c r="M506" s="13">
        <v>0.25</v>
      </c>
    </row>
    <row r="507" spans="2:13" x14ac:dyDescent="0.25">
      <c r="B507" s="14" t="s">
        <v>158</v>
      </c>
      <c r="C507" s="14" t="s">
        <v>15</v>
      </c>
      <c r="D507" t="s">
        <v>136</v>
      </c>
      <c r="E507" s="16" t="s">
        <v>133</v>
      </c>
      <c r="F507">
        <v>2028</v>
      </c>
      <c r="G507" s="12">
        <v>415425.5</v>
      </c>
      <c r="H507" s="13">
        <v>0.8</v>
      </c>
      <c r="I507" s="13"/>
      <c r="J507" s="13"/>
      <c r="K507" s="13"/>
      <c r="L507" s="13">
        <v>0.05</v>
      </c>
      <c r="M507" s="13">
        <v>0.25</v>
      </c>
    </row>
    <row r="508" spans="2:13" x14ac:dyDescent="0.25">
      <c r="B508" s="14" t="s">
        <v>158</v>
      </c>
      <c r="C508" s="14" t="s">
        <v>15</v>
      </c>
      <c r="D508" t="s">
        <v>136</v>
      </c>
      <c r="E508" s="16" t="s">
        <v>133</v>
      </c>
      <c r="F508">
        <v>2029</v>
      </c>
      <c r="G508" s="12">
        <v>0</v>
      </c>
      <c r="H508" s="13">
        <v>0</v>
      </c>
      <c r="I508" s="13"/>
      <c r="J508" s="13"/>
      <c r="K508" s="13"/>
      <c r="L508" s="13">
        <v>0.05</v>
      </c>
      <c r="M508" s="13">
        <v>0.25</v>
      </c>
    </row>
    <row r="509" spans="2:13" x14ac:dyDescent="0.25">
      <c r="B509" s="14" t="s">
        <v>158</v>
      </c>
      <c r="C509" s="14" t="s">
        <v>15</v>
      </c>
      <c r="D509" t="s">
        <v>46</v>
      </c>
      <c r="E509" s="16" t="s">
        <v>133</v>
      </c>
      <c r="F509">
        <v>2027</v>
      </c>
      <c r="G509" s="12">
        <v>87185</v>
      </c>
      <c r="H509" s="13">
        <v>0</v>
      </c>
      <c r="I509" s="13"/>
      <c r="J509" s="13"/>
      <c r="K509" s="13"/>
      <c r="L509" s="13">
        <v>0.05</v>
      </c>
      <c r="M509" s="13">
        <v>0.25</v>
      </c>
    </row>
    <row r="510" spans="2:13" x14ac:dyDescent="0.25">
      <c r="B510" s="14" t="s">
        <v>158</v>
      </c>
      <c r="C510" s="14" t="s">
        <v>15</v>
      </c>
      <c r="D510" t="s">
        <v>46</v>
      </c>
      <c r="E510" s="16" t="s">
        <v>133</v>
      </c>
      <c r="F510">
        <v>2028</v>
      </c>
      <c r="G510" s="12">
        <v>87851</v>
      </c>
      <c r="H510" s="13">
        <v>0.80102499999999999</v>
      </c>
      <c r="I510" s="13"/>
      <c r="J510" s="13"/>
      <c r="K510" s="13"/>
      <c r="L510" s="13">
        <v>0.05</v>
      </c>
      <c r="M510" s="13">
        <v>0.25</v>
      </c>
    </row>
    <row r="511" spans="2:13" x14ac:dyDescent="0.25">
      <c r="B511" s="14" t="s">
        <v>158</v>
      </c>
      <c r="C511" s="14" t="s">
        <v>15</v>
      </c>
      <c r="D511" t="s">
        <v>46</v>
      </c>
      <c r="E511" s="16" t="s">
        <v>133</v>
      </c>
      <c r="F511">
        <v>2029</v>
      </c>
      <c r="G511" s="12">
        <v>88749</v>
      </c>
      <c r="H511" s="13">
        <v>0.80102499999999999</v>
      </c>
      <c r="I511" s="13"/>
      <c r="J511" s="13"/>
      <c r="K511" s="13"/>
      <c r="L511" s="13">
        <v>0.05</v>
      </c>
      <c r="M511" s="13">
        <v>0.25</v>
      </c>
    </row>
    <row r="512" spans="2:13" x14ac:dyDescent="0.25">
      <c r="B512" s="14" t="s">
        <v>158</v>
      </c>
      <c r="C512" s="14" t="s">
        <v>15</v>
      </c>
      <c r="D512" t="s">
        <v>46</v>
      </c>
      <c r="E512" s="16" t="s">
        <v>133</v>
      </c>
      <c r="F512">
        <v>2030</v>
      </c>
      <c r="G512" s="12">
        <v>89981</v>
      </c>
      <c r="H512" s="13">
        <v>0.80102499999999999</v>
      </c>
      <c r="I512" s="13"/>
      <c r="J512" s="13"/>
      <c r="K512" s="13"/>
      <c r="L512" s="13">
        <v>0.05</v>
      </c>
      <c r="M512" s="13">
        <v>0.25</v>
      </c>
    </row>
    <row r="513" spans="2:13" x14ac:dyDescent="0.25">
      <c r="B513" s="14" t="s">
        <v>158</v>
      </c>
      <c r="C513" s="14" t="s">
        <v>145</v>
      </c>
      <c r="D513" t="s">
        <v>46</v>
      </c>
      <c r="E513" s="16" t="s">
        <v>133</v>
      </c>
      <c r="F513">
        <v>2028</v>
      </c>
      <c r="G513" s="12">
        <v>132522.60171432499</v>
      </c>
      <c r="H513" s="13">
        <v>0.80500000000000005</v>
      </c>
      <c r="I513" s="13">
        <v>0.76649999999999996</v>
      </c>
      <c r="J513" s="13">
        <v>0.72992500000000005</v>
      </c>
      <c r="K513" s="13"/>
      <c r="L513" s="13"/>
      <c r="M513" s="13">
        <v>0.25</v>
      </c>
    </row>
    <row r="514" spans="2:13" x14ac:dyDescent="0.25">
      <c r="B514" s="14" t="s">
        <v>158</v>
      </c>
      <c r="C514" s="14" t="s">
        <v>145</v>
      </c>
      <c r="D514" t="s">
        <v>46</v>
      </c>
      <c r="E514" s="16" t="s">
        <v>133</v>
      </c>
      <c r="F514">
        <v>2029</v>
      </c>
      <c r="G514" s="12">
        <v>135192.4016716</v>
      </c>
      <c r="H514" s="13">
        <v>0.81</v>
      </c>
      <c r="I514" s="13">
        <v>0.77149999999999996</v>
      </c>
      <c r="J514" s="13">
        <v>0.73492500000000005</v>
      </c>
      <c r="K514" s="13">
        <v>0.62568625</v>
      </c>
      <c r="L514" s="13"/>
      <c r="M514" s="13">
        <v>0.25</v>
      </c>
    </row>
    <row r="515" spans="2:13" x14ac:dyDescent="0.25">
      <c r="B515" s="14" t="s">
        <v>158</v>
      </c>
      <c r="C515" s="14" t="s">
        <v>145</v>
      </c>
      <c r="D515" t="s">
        <v>46</v>
      </c>
      <c r="E515" s="16" t="s">
        <v>133</v>
      </c>
      <c r="F515">
        <v>2030</v>
      </c>
      <c r="G515" s="12">
        <v>137668.99970092799</v>
      </c>
      <c r="H515" s="13">
        <v>0.81499999999999995</v>
      </c>
      <c r="I515" s="13">
        <v>0.77649999999999997</v>
      </c>
      <c r="J515" s="13">
        <v>0.73992500000000005</v>
      </c>
      <c r="K515" s="13">
        <v>0.63068625</v>
      </c>
      <c r="L515" s="13"/>
      <c r="M515" s="13">
        <v>0.25</v>
      </c>
    </row>
    <row r="516" spans="2:13" x14ac:dyDescent="0.25">
      <c r="B516" s="14" t="s">
        <v>158</v>
      </c>
      <c r="C516" s="14" t="s">
        <v>52</v>
      </c>
      <c r="D516" t="s">
        <v>141</v>
      </c>
      <c r="E516" s="16" t="s">
        <v>133</v>
      </c>
      <c r="F516">
        <v>2028</v>
      </c>
      <c r="G516" s="12">
        <v>850183.3125</v>
      </c>
      <c r="H516" s="13">
        <v>1</v>
      </c>
      <c r="I516" s="13"/>
      <c r="J516" s="13"/>
      <c r="K516" s="13"/>
      <c r="L516" s="13"/>
      <c r="M516" s="13"/>
    </row>
    <row r="517" spans="2:13" x14ac:dyDescent="0.25">
      <c r="B517" s="15" t="s">
        <v>158</v>
      </c>
      <c r="C517" s="14" t="s">
        <v>146</v>
      </c>
      <c r="D517" t="s">
        <v>46</v>
      </c>
      <c r="E517" s="16" t="s">
        <v>133</v>
      </c>
      <c r="F517">
        <v>2030</v>
      </c>
      <c r="G517" s="12">
        <v>9499.1321342195006</v>
      </c>
      <c r="H517" s="13"/>
      <c r="I517" s="13"/>
      <c r="J517" s="13"/>
      <c r="K517" s="13"/>
      <c r="L517" s="13"/>
      <c r="M517" s="13">
        <v>0.25</v>
      </c>
    </row>
    <row r="518" spans="2:13" x14ac:dyDescent="0.25">
      <c r="B518" s="14" t="s">
        <v>159</v>
      </c>
      <c r="C518" s="14" t="s">
        <v>132</v>
      </c>
      <c r="D518" t="s">
        <v>46</v>
      </c>
      <c r="E518" s="16" t="s">
        <v>133</v>
      </c>
      <c r="F518">
        <v>2026</v>
      </c>
      <c r="G518" s="12">
        <v>24541</v>
      </c>
      <c r="H518" s="13">
        <v>0.99</v>
      </c>
      <c r="I518" s="13">
        <v>0.96950000000000003</v>
      </c>
      <c r="J518" s="13">
        <v>0.94</v>
      </c>
      <c r="K518" s="13">
        <v>0</v>
      </c>
      <c r="L518" s="13">
        <v>7.0000000000000007E-2</v>
      </c>
      <c r="M518" s="13">
        <v>0.25</v>
      </c>
    </row>
    <row r="519" spans="2:13" x14ac:dyDescent="0.25">
      <c r="B519" s="14" t="s">
        <v>159</v>
      </c>
      <c r="C519" s="14" t="s">
        <v>132</v>
      </c>
      <c r="D519" t="s">
        <v>46</v>
      </c>
      <c r="E519" s="16" t="s">
        <v>133</v>
      </c>
      <c r="F519">
        <v>2027</v>
      </c>
      <c r="G519" s="12">
        <v>24660.136053567701</v>
      </c>
      <c r="H519" s="13">
        <v>0.99</v>
      </c>
      <c r="I519" s="13">
        <v>0.97609999999999997</v>
      </c>
      <c r="J519" s="13">
        <v>0.9466</v>
      </c>
      <c r="K519" s="13">
        <v>0</v>
      </c>
      <c r="L519" s="13">
        <v>7.0000000000000007E-2</v>
      </c>
      <c r="M519" s="13">
        <v>0.25</v>
      </c>
    </row>
    <row r="520" spans="2:13" x14ac:dyDescent="0.25">
      <c r="B520" s="14" t="s">
        <v>159</v>
      </c>
      <c r="C520" s="14" t="s">
        <v>132</v>
      </c>
      <c r="D520" t="s">
        <v>46</v>
      </c>
      <c r="E520" s="16" t="s">
        <v>133</v>
      </c>
      <c r="F520">
        <v>2028</v>
      </c>
      <c r="G520" s="12">
        <v>24809.056120527301</v>
      </c>
      <c r="H520" s="13">
        <v>0.495</v>
      </c>
      <c r="I520" s="13">
        <v>0.49135000000000001</v>
      </c>
      <c r="J520" s="13">
        <v>0.47660000000000002</v>
      </c>
      <c r="K520" s="13">
        <v>0</v>
      </c>
      <c r="L520" s="13">
        <v>7.0000000000000007E-2</v>
      </c>
      <c r="M520" s="13">
        <v>0.25</v>
      </c>
    </row>
    <row r="521" spans="2:13" x14ac:dyDescent="0.25">
      <c r="B521" s="14" t="s">
        <v>159</v>
      </c>
      <c r="C521" s="14" t="s">
        <v>132</v>
      </c>
      <c r="D521" t="s">
        <v>46</v>
      </c>
      <c r="E521" s="16" t="s">
        <v>133</v>
      </c>
      <c r="F521">
        <v>2029</v>
      </c>
      <c r="G521" s="12">
        <v>24944.624733207798</v>
      </c>
      <c r="H521" s="13">
        <v>0</v>
      </c>
      <c r="I521" s="13">
        <v>0</v>
      </c>
      <c r="J521" s="13">
        <v>0</v>
      </c>
      <c r="K521" s="13">
        <v>0</v>
      </c>
      <c r="L521" s="13">
        <v>7.0000000000000007E-2</v>
      </c>
      <c r="M521" s="13">
        <v>0.25</v>
      </c>
    </row>
    <row r="522" spans="2:13" x14ac:dyDescent="0.25">
      <c r="B522" s="14" t="s">
        <v>159</v>
      </c>
      <c r="C522" s="14" t="s">
        <v>70</v>
      </c>
      <c r="D522" t="s">
        <v>46</v>
      </c>
      <c r="E522" s="16" t="s">
        <v>133</v>
      </c>
      <c r="F522">
        <v>2026</v>
      </c>
      <c r="G522" s="12">
        <v>24541</v>
      </c>
      <c r="H522" s="13">
        <v>0.9</v>
      </c>
      <c r="I522" s="13">
        <v>0.9</v>
      </c>
      <c r="J522" s="13">
        <v>0</v>
      </c>
      <c r="K522" s="13">
        <v>0</v>
      </c>
      <c r="L522" s="13">
        <v>7.0000000000000007E-2</v>
      </c>
      <c r="M522" s="13">
        <v>0.25</v>
      </c>
    </row>
    <row r="523" spans="2:13" x14ac:dyDescent="0.25">
      <c r="B523" s="14" t="s">
        <v>159</v>
      </c>
      <c r="C523" s="14" t="s">
        <v>70</v>
      </c>
      <c r="D523" t="s">
        <v>46</v>
      </c>
      <c r="E523" s="16" t="s">
        <v>133</v>
      </c>
      <c r="F523">
        <v>2027</v>
      </c>
      <c r="G523" s="12">
        <v>24660.136053567701</v>
      </c>
      <c r="H523" s="13">
        <v>0.90659999999999996</v>
      </c>
      <c r="I523" s="13">
        <v>0.90659999999999996</v>
      </c>
      <c r="J523" s="13">
        <v>6.6E-3</v>
      </c>
      <c r="K523" s="13">
        <v>0</v>
      </c>
      <c r="L523" s="13">
        <v>7.0000000000000007E-2</v>
      </c>
      <c r="M523" s="13">
        <v>0.25</v>
      </c>
    </row>
    <row r="524" spans="2:13" x14ac:dyDescent="0.25">
      <c r="B524" s="14" t="s">
        <v>159</v>
      </c>
      <c r="C524" s="14" t="s">
        <v>70</v>
      </c>
      <c r="D524" t="s">
        <v>46</v>
      </c>
      <c r="E524" s="16" t="s">
        <v>133</v>
      </c>
      <c r="F524">
        <v>2028</v>
      </c>
      <c r="G524" s="12">
        <v>24809.056120527301</v>
      </c>
      <c r="H524" s="13">
        <v>0.45660000000000001</v>
      </c>
      <c r="I524" s="13">
        <v>0.45660000000000001</v>
      </c>
      <c r="J524" s="13">
        <v>6.6E-3</v>
      </c>
      <c r="K524" s="13">
        <v>0</v>
      </c>
      <c r="L524" s="13">
        <v>7.0000000000000007E-2</v>
      </c>
      <c r="M524" s="13">
        <v>0.25</v>
      </c>
    </row>
    <row r="525" spans="2:13" x14ac:dyDescent="0.25">
      <c r="B525" s="14" t="s">
        <v>159</v>
      </c>
      <c r="C525" s="14" t="s">
        <v>70</v>
      </c>
      <c r="D525" t="s">
        <v>46</v>
      </c>
      <c r="E525" s="16" t="s">
        <v>133</v>
      </c>
      <c r="F525">
        <v>2029</v>
      </c>
      <c r="G525" s="12">
        <v>24944.624733207798</v>
      </c>
      <c r="H525" s="13">
        <v>0</v>
      </c>
      <c r="I525" s="13">
        <v>0</v>
      </c>
      <c r="J525" s="13">
        <v>0</v>
      </c>
      <c r="K525" s="13">
        <v>0</v>
      </c>
      <c r="L525" s="13">
        <v>7.0000000000000007E-2</v>
      </c>
      <c r="M525" s="13">
        <v>0.25</v>
      </c>
    </row>
    <row r="526" spans="2:13" x14ac:dyDescent="0.25">
      <c r="B526" s="14" t="s">
        <v>159</v>
      </c>
      <c r="C526" s="14" t="s">
        <v>134</v>
      </c>
      <c r="D526" t="s">
        <v>46</v>
      </c>
      <c r="E526" s="16" t="s">
        <v>133</v>
      </c>
      <c r="F526">
        <v>2027</v>
      </c>
      <c r="G526" s="12">
        <v>24660.136053567701</v>
      </c>
      <c r="H526" s="13">
        <v>0</v>
      </c>
      <c r="I526" s="13">
        <v>0</v>
      </c>
      <c r="J526" s="13">
        <v>0</v>
      </c>
      <c r="K526" s="13">
        <v>0</v>
      </c>
      <c r="L526" s="13">
        <v>7.0000000000000007E-2</v>
      </c>
      <c r="M526" s="13">
        <v>0.25</v>
      </c>
    </row>
    <row r="527" spans="2:13" x14ac:dyDescent="0.25">
      <c r="B527" s="14" t="s">
        <v>159</v>
      </c>
      <c r="C527" s="14" t="s">
        <v>134</v>
      </c>
      <c r="D527" t="s">
        <v>46</v>
      </c>
      <c r="E527" s="16" t="s">
        <v>133</v>
      </c>
      <c r="F527">
        <v>2028</v>
      </c>
      <c r="G527" s="12">
        <v>24809.056120527301</v>
      </c>
      <c r="H527" s="13">
        <v>0.495</v>
      </c>
      <c r="I527" s="13">
        <v>0.49135000000000001</v>
      </c>
      <c r="J527" s="13">
        <v>0.47660000000000002</v>
      </c>
      <c r="K527" s="13">
        <v>0</v>
      </c>
      <c r="L527" s="13">
        <v>7.0000000000000007E-2</v>
      </c>
      <c r="M527" s="13">
        <v>0.25</v>
      </c>
    </row>
    <row r="528" spans="2:13" x14ac:dyDescent="0.25">
      <c r="B528" s="14" t="s">
        <v>159</v>
      </c>
      <c r="C528" s="14" t="s">
        <v>134</v>
      </c>
      <c r="D528" t="s">
        <v>46</v>
      </c>
      <c r="E528" s="16" t="s">
        <v>133</v>
      </c>
      <c r="F528">
        <v>2029</v>
      </c>
      <c r="G528" s="12">
        <v>24944.624733207798</v>
      </c>
      <c r="H528" s="13">
        <v>0.99</v>
      </c>
      <c r="I528" s="13">
        <v>0.98929999999999996</v>
      </c>
      <c r="J528" s="13">
        <v>0.95979999999999999</v>
      </c>
      <c r="K528" s="13">
        <v>0</v>
      </c>
      <c r="L528" s="13">
        <v>7.0000000000000007E-2</v>
      </c>
      <c r="M528" s="13">
        <v>0.25</v>
      </c>
    </row>
    <row r="529" spans="2:13" x14ac:dyDescent="0.25">
      <c r="B529" s="14" t="s">
        <v>159</v>
      </c>
      <c r="C529" s="14" t="s">
        <v>134</v>
      </c>
      <c r="D529" t="s">
        <v>46</v>
      </c>
      <c r="E529" s="16" t="s">
        <v>133</v>
      </c>
      <c r="F529">
        <v>2030</v>
      </c>
      <c r="G529" s="12">
        <v>25090.463695333801</v>
      </c>
      <c r="H529" s="13">
        <v>0.99</v>
      </c>
      <c r="I529" s="13">
        <v>0.99</v>
      </c>
      <c r="J529" s="13">
        <v>0.96640000000000004</v>
      </c>
      <c r="K529" s="13">
        <v>0</v>
      </c>
      <c r="L529" s="13">
        <v>7.0000000000000007E-2</v>
      </c>
      <c r="M529" s="13">
        <v>0.25</v>
      </c>
    </row>
    <row r="530" spans="2:13" x14ac:dyDescent="0.25">
      <c r="B530" s="14" t="s">
        <v>159</v>
      </c>
      <c r="C530" s="14" t="s">
        <v>15</v>
      </c>
      <c r="D530" t="s">
        <v>136</v>
      </c>
      <c r="E530" s="16" t="s">
        <v>133</v>
      </c>
      <c r="F530">
        <v>2026</v>
      </c>
      <c r="G530" s="12">
        <v>0</v>
      </c>
      <c r="H530" s="13">
        <v>0</v>
      </c>
      <c r="I530" s="13"/>
      <c r="J530" s="13"/>
      <c r="K530" s="13"/>
      <c r="L530" s="13">
        <v>0.05</v>
      </c>
      <c r="M530" s="13">
        <v>0.25</v>
      </c>
    </row>
    <row r="531" spans="2:13" x14ac:dyDescent="0.25">
      <c r="B531" s="14" t="s">
        <v>159</v>
      </c>
      <c r="C531" s="14" t="s">
        <v>15</v>
      </c>
      <c r="D531" t="s">
        <v>46</v>
      </c>
      <c r="E531" s="16" t="s">
        <v>133</v>
      </c>
      <c r="F531">
        <v>2026</v>
      </c>
      <c r="G531" s="12">
        <v>10972</v>
      </c>
      <c r="H531" s="13">
        <v>0.71057499769999999</v>
      </c>
      <c r="I531" s="13"/>
      <c r="J531" s="13"/>
      <c r="K531" s="13"/>
      <c r="L531" s="13">
        <v>0.05</v>
      </c>
      <c r="M531" s="13">
        <v>0.25</v>
      </c>
    </row>
    <row r="532" spans="2:13" x14ac:dyDescent="0.25">
      <c r="B532" s="14" t="s">
        <v>159</v>
      </c>
      <c r="C532" s="14" t="s">
        <v>15</v>
      </c>
      <c r="D532" t="s">
        <v>46</v>
      </c>
      <c r="E532" s="16" t="s">
        <v>133</v>
      </c>
      <c r="F532">
        <v>2027</v>
      </c>
      <c r="G532" s="12">
        <v>11125</v>
      </c>
      <c r="H532" s="13">
        <v>0.71057499769999999</v>
      </c>
      <c r="I532" s="13"/>
      <c r="J532" s="13"/>
      <c r="K532" s="13"/>
      <c r="L532" s="13">
        <v>0.05</v>
      </c>
      <c r="M532" s="13">
        <v>0.25</v>
      </c>
    </row>
    <row r="533" spans="2:13" x14ac:dyDescent="0.25">
      <c r="B533" s="14" t="s">
        <v>159</v>
      </c>
      <c r="C533" s="14" t="s">
        <v>15</v>
      </c>
      <c r="D533" t="s">
        <v>46</v>
      </c>
      <c r="E533" s="16" t="s">
        <v>133</v>
      </c>
      <c r="F533">
        <v>2028</v>
      </c>
      <c r="G533" s="12">
        <v>11240</v>
      </c>
      <c r="H533" s="13">
        <v>0.71057499769999999</v>
      </c>
      <c r="I533" s="13"/>
      <c r="J533" s="13"/>
      <c r="K533" s="13"/>
      <c r="L533" s="13">
        <v>0.05</v>
      </c>
      <c r="M533" s="13">
        <v>0.25</v>
      </c>
    </row>
    <row r="534" spans="2:13" x14ac:dyDescent="0.25">
      <c r="B534" s="14" t="s">
        <v>159</v>
      </c>
      <c r="C534" s="14" t="s">
        <v>15</v>
      </c>
      <c r="D534" t="s">
        <v>46</v>
      </c>
      <c r="E534" s="16" t="s">
        <v>133</v>
      </c>
      <c r="F534">
        <v>2029</v>
      </c>
      <c r="G534" s="12">
        <v>11349</v>
      </c>
      <c r="H534" s="13">
        <v>0.71057499769999999</v>
      </c>
      <c r="I534" s="13"/>
      <c r="J534" s="13"/>
      <c r="K534" s="13"/>
      <c r="L534" s="13">
        <v>0.05</v>
      </c>
      <c r="M534" s="13">
        <v>0.25</v>
      </c>
    </row>
    <row r="535" spans="2:13" x14ac:dyDescent="0.25">
      <c r="B535" s="14" t="s">
        <v>159</v>
      </c>
      <c r="C535" s="14" t="s">
        <v>15</v>
      </c>
      <c r="D535" t="s">
        <v>46</v>
      </c>
      <c r="E535" s="16" t="s">
        <v>133</v>
      </c>
      <c r="F535">
        <v>2030</v>
      </c>
      <c r="G535" s="12">
        <v>11438</v>
      </c>
      <c r="H535" s="13">
        <v>0.71057499769999999</v>
      </c>
      <c r="I535" s="13"/>
      <c r="J535" s="13"/>
      <c r="K535" s="13"/>
      <c r="L535" s="13">
        <v>0.05</v>
      </c>
      <c r="M535" s="13">
        <v>0.25</v>
      </c>
    </row>
    <row r="536" spans="2:13" x14ac:dyDescent="0.25">
      <c r="B536" s="14" t="s">
        <v>159</v>
      </c>
      <c r="C536" s="14" t="s">
        <v>52</v>
      </c>
      <c r="D536" t="s">
        <v>141</v>
      </c>
      <c r="E536" s="16" t="s">
        <v>133</v>
      </c>
      <c r="F536">
        <v>2029</v>
      </c>
      <c r="G536" s="12">
        <v>105858</v>
      </c>
      <c r="H536" s="13">
        <v>0.85</v>
      </c>
      <c r="I536" s="13"/>
      <c r="J536" s="13"/>
      <c r="K536" s="13"/>
      <c r="L536" s="13"/>
      <c r="M536" s="13"/>
    </row>
    <row r="537" spans="2:13" x14ac:dyDescent="0.25">
      <c r="B537" s="14" t="s">
        <v>159</v>
      </c>
      <c r="C537" s="14" t="s">
        <v>52</v>
      </c>
      <c r="D537" t="s">
        <v>138</v>
      </c>
      <c r="E537" s="16" t="s">
        <v>133</v>
      </c>
      <c r="F537">
        <v>2026</v>
      </c>
      <c r="G537" s="12">
        <v>24541</v>
      </c>
      <c r="H537" s="13">
        <v>0.93</v>
      </c>
      <c r="I537" s="13">
        <v>0.91080000000000005</v>
      </c>
      <c r="J537" s="13"/>
      <c r="K537" s="13"/>
      <c r="L537" s="13"/>
      <c r="M537" s="13"/>
    </row>
    <row r="538" spans="2:13" x14ac:dyDescent="0.25">
      <c r="B538" s="14" t="s">
        <v>159</v>
      </c>
      <c r="C538" s="14" t="s">
        <v>52</v>
      </c>
      <c r="D538" t="s">
        <v>138</v>
      </c>
      <c r="E538" s="16" t="s">
        <v>133</v>
      </c>
      <c r="F538">
        <v>2027</v>
      </c>
      <c r="G538" s="12">
        <v>25056</v>
      </c>
      <c r="H538" s="13">
        <v>0.94</v>
      </c>
      <c r="I538" s="13">
        <v>0.74499300000000002</v>
      </c>
      <c r="J538" s="13"/>
      <c r="K538" s="13"/>
      <c r="L538" s="13"/>
      <c r="M538" s="13"/>
    </row>
    <row r="539" spans="2:13" x14ac:dyDescent="0.25">
      <c r="B539" s="14" t="s">
        <v>159</v>
      </c>
      <c r="C539" s="14" t="s">
        <v>52</v>
      </c>
      <c r="D539" t="s">
        <v>138</v>
      </c>
      <c r="E539" s="16" t="s">
        <v>133</v>
      </c>
      <c r="F539">
        <v>2028</v>
      </c>
      <c r="G539" s="12">
        <v>25207</v>
      </c>
      <c r="H539" s="13">
        <v>0.94</v>
      </c>
      <c r="I539" s="13">
        <v>0.75182400000000005</v>
      </c>
      <c r="J539" s="13"/>
      <c r="K539" s="13"/>
      <c r="L539" s="13"/>
      <c r="M539" s="13"/>
    </row>
    <row r="540" spans="2:13" x14ac:dyDescent="0.25">
      <c r="B540" s="14" t="s">
        <v>159</v>
      </c>
      <c r="C540" s="14" t="s">
        <v>52</v>
      </c>
      <c r="D540" t="s">
        <v>138</v>
      </c>
      <c r="E540" s="16" t="s">
        <v>133</v>
      </c>
      <c r="F540">
        <v>2029</v>
      </c>
      <c r="G540" s="12">
        <v>25345</v>
      </c>
      <c r="H540" s="13">
        <v>0.94</v>
      </c>
      <c r="I540" s="13">
        <v>0.75865499999999997</v>
      </c>
      <c r="J540" s="13"/>
      <c r="K540" s="13"/>
      <c r="L540" s="13"/>
      <c r="M540" s="13"/>
    </row>
    <row r="541" spans="2:13" x14ac:dyDescent="0.25">
      <c r="B541" s="14" t="s">
        <v>159</v>
      </c>
      <c r="C541" s="14" t="s">
        <v>52</v>
      </c>
      <c r="D541" t="s">
        <v>138</v>
      </c>
      <c r="E541" s="16" t="s">
        <v>133</v>
      </c>
      <c r="F541">
        <v>2030</v>
      </c>
      <c r="G541" s="12">
        <v>25493</v>
      </c>
      <c r="H541" s="13">
        <v>0.94</v>
      </c>
      <c r="I541" s="13">
        <v>0.765486</v>
      </c>
      <c r="J541" s="13"/>
      <c r="K541" s="13"/>
      <c r="L541" s="13"/>
      <c r="M541" s="13"/>
    </row>
    <row r="542" spans="2:13" x14ac:dyDescent="0.25">
      <c r="B542" s="14" t="s">
        <v>159</v>
      </c>
      <c r="C542" s="14" t="s">
        <v>139</v>
      </c>
      <c r="D542" t="s">
        <v>46</v>
      </c>
      <c r="E542" s="16" t="s">
        <v>133</v>
      </c>
      <c r="F542">
        <v>2027</v>
      </c>
      <c r="G542" s="12">
        <v>24011</v>
      </c>
      <c r="H542" s="13">
        <v>0.4797566667</v>
      </c>
      <c r="I542" s="13">
        <v>0.46756155830000001</v>
      </c>
      <c r="J542" s="13">
        <v>0.45001249999999998</v>
      </c>
      <c r="K542" s="13"/>
      <c r="L542" s="13">
        <v>7.0000000000000007E-2</v>
      </c>
      <c r="M542" s="13">
        <v>0.25</v>
      </c>
    </row>
    <row r="543" spans="2:13" x14ac:dyDescent="0.25">
      <c r="B543" s="15" t="s">
        <v>159</v>
      </c>
      <c r="C543" s="14" t="s">
        <v>139</v>
      </c>
      <c r="D543" t="s">
        <v>46</v>
      </c>
      <c r="E543" s="16" t="s">
        <v>133</v>
      </c>
      <c r="F543">
        <v>2028</v>
      </c>
      <c r="G543" s="12">
        <v>24156</v>
      </c>
      <c r="H543" s="13">
        <v>0.82904</v>
      </c>
      <c r="I543" s="13">
        <v>0.80813409999999997</v>
      </c>
      <c r="J543" s="13">
        <v>0.77805000000000002</v>
      </c>
      <c r="K543" s="13"/>
      <c r="L543" s="13">
        <v>7.0000000000000007E-2</v>
      </c>
      <c r="M543" s="13">
        <v>0.25</v>
      </c>
    </row>
    <row r="544" spans="2:13" x14ac:dyDescent="0.25">
      <c r="B544" s="14" t="s">
        <v>160</v>
      </c>
      <c r="C544" s="14" t="s">
        <v>132</v>
      </c>
      <c r="D544" t="s">
        <v>46</v>
      </c>
      <c r="E544" s="16" t="s">
        <v>133</v>
      </c>
      <c r="F544">
        <v>2026</v>
      </c>
      <c r="G544" s="12">
        <v>18757</v>
      </c>
      <c r="H544" s="13">
        <v>0.93</v>
      </c>
      <c r="I544" s="13">
        <v>0.90949999999999998</v>
      </c>
      <c r="J544" s="13">
        <v>0.88</v>
      </c>
      <c r="K544" s="13">
        <v>0</v>
      </c>
      <c r="L544" s="13">
        <v>7.0000000000000007E-2</v>
      </c>
      <c r="M544" s="13">
        <v>0.25</v>
      </c>
    </row>
    <row r="545" spans="2:13" x14ac:dyDescent="0.25">
      <c r="B545" s="14" t="s">
        <v>160</v>
      </c>
      <c r="C545" s="14" t="s">
        <v>132</v>
      </c>
      <c r="D545" t="s">
        <v>46</v>
      </c>
      <c r="E545" s="16" t="s">
        <v>133</v>
      </c>
      <c r="F545">
        <v>2027</v>
      </c>
      <c r="G545" s="12">
        <v>18815.374043233202</v>
      </c>
      <c r="H545" s="13">
        <v>0.93659999999999999</v>
      </c>
      <c r="I545" s="13">
        <v>0.91610000000000003</v>
      </c>
      <c r="J545" s="13">
        <v>0.88660000000000005</v>
      </c>
      <c r="K545" s="13">
        <v>0</v>
      </c>
      <c r="L545" s="13">
        <v>7.0000000000000007E-2</v>
      </c>
      <c r="M545" s="13">
        <v>0.25</v>
      </c>
    </row>
    <row r="546" spans="2:13" x14ac:dyDescent="0.25">
      <c r="B546" s="14" t="s">
        <v>160</v>
      </c>
      <c r="C546" s="14" t="s">
        <v>132</v>
      </c>
      <c r="D546" t="s">
        <v>46</v>
      </c>
      <c r="E546" s="16" t="s">
        <v>133</v>
      </c>
      <c r="F546">
        <v>2028</v>
      </c>
      <c r="G546" s="12">
        <v>18874.536924888602</v>
      </c>
      <c r="H546" s="13">
        <v>0.94320000000000004</v>
      </c>
      <c r="I546" s="13">
        <v>0.92269999999999996</v>
      </c>
      <c r="J546" s="13">
        <v>0.89319999999999999</v>
      </c>
      <c r="K546" s="13">
        <v>0</v>
      </c>
      <c r="L546" s="13">
        <v>7.0000000000000007E-2</v>
      </c>
      <c r="M546" s="13">
        <v>0.25</v>
      </c>
    </row>
    <row r="547" spans="2:13" x14ac:dyDescent="0.25">
      <c r="B547" s="14" t="s">
        <v>160</v>
      </c>
      <c r="C547" s="14" t="s">
        <v>132</v>
      </c>
      <c r="D547" t="s">
        <v>46</v>
      </c>
      <c r="E547" s="16" t="s">
        <v>133</v>
      </c>
      <c r="F547">
        <v>2029</v>
      </c>
      <c r="G547" s="12">
        <v>18953.420767095598</v>
      </c>
      <c r="H547" s="13">
        <v>0.94979999999999998</v>
      </c>
      <c r="I547" s="13">
        <v>0.92930000000000001</v>
      </c>
      <c r="J547" s="13">
        <v>0.89980000000000004</v>
      </c>
      <c r="K547" s="13">
        <v>0</v>
      </c>
      <c r="L547" s="13">
        <v>7.0000000000000007E-2</v>
      </c>
      <c r="M547" s="13">
        <v>0.25</v>
      </c>
    </row>
    <row r="548" spans="2:13" x14ac:dyDescent="0.25">
      <c r="B548" s="14" t="s">
        <v>160</v>
      </c>
      <c r="C548" s="14" t="s">
        <v>132</v>
      </c>
      <c r="D548" t="s">
        <v>46</v>
      </c>
      <c r="E548" s="16" t="s">
        <v>133</v>
      </c>
      <c r="F548">
        <v>2030</v>
      </c>
      <c r="G548" s="12">
        <v>19038.615316679301</v>
      </c>
      <c r="H548" s="13">
        <v>0.95640000000000003</v>
      </c>
      <c r="I548" s="13">
        <v>0.93589999999999995</v>
      </c>
      <c r="J548" s="13">
        <v>0.90639999999999998</v>
      </c>
      <c r="K548" s="13">
        <v>0</v>
      </c>
      <c r="L548" s="13">
        <v>7.0000000000000007E-2</v>
      </c>
      <c r="M548" s="13">
        <v>0.25</v>
      </c>
    </row>
    <row r="549" spans="2:13" x14ac:dyDescent="0.25">
      <c r="B549" s="14" t="s">
        <v>160</v>
      </c>
      <c r="C549" s="14" t="s">
        <v>70</v>
      </c>
      <c r="D549" t="s">
        <v>46</v>
      </c>
      <c r="E549" s="16" t="s">
        <v>133</v>
      </c>
      <c r="F549">
        <v>2026</v>
      </c>
      <c r="G549" s="12">
        <v>18757</v>
      </c>
      <c r="H549" s="13">
        <v>0.93</v>
      </c>
      <c r="I549" s="13">
        <v>0.88</v>
      </c>
      <c r="J549" s="13">
        <v>0</v>
      </c>
      <c r="K549" s="13">
        <v>0</v>
      </c>
      <c r="L549" s="13">
        <v>7.0000000000000007E-2</v>
      </c>
      <c r="M549" s="13">
        <v>0.25</v>
      </c>
    </row>
    <row r="550" spans="2:13" x14ac:dyDescent="0.25">
      <c r="B550" s="14" t="s">
        <v>160</v>
      </c>
      <c r="C550" s="14" t="s">
        <v>70</v>
      </c>
      <c r="D550" t="s">
        <v>46</v>
      </c>
      <c r="E550" s="16" t="s">
        <v>133</v>
      </c>
      <c r="F550">
        <v>2027</v>
      </c>
      <c r="G550" s="12">
        <v>18815.374043233202</v>
      </c>
      <c r="H550" s="13">
        <v>0.93659999999999999</v>
      </c>
      <c r="I550" s="13">
        <v>0.88660000000000005</v>
      </c>
      <c r="J550" s="13">
        <v>6.6E-3</v>
      </c>
      <c r="K550" s="13">
        <v>0</v>
      </c>
      <c r="L550" s="13">
        <v>7.0000000000000007E-2</v>
      </c>
      <c r="M550" s="13">
        <v>0.25</v>
      </c>
    </row>
    <row r="551" spans="2:13" x14ac:dyDescent="0.25">
      <c r="B551" s="14" t="s">
        <v>160</v>
      </c>
      <c r="C551" s="14" t="s">
        <v>70</v>
      </c>
      <c r="D551" t="s">
        <v>46</v>
      </c>
      <c r="E551" s="16" t="s">
        <v>133</v>
      </c>
      <c r="F551">
        <v>2028</v>
      </c>
      <c r="G551" s="12">
        <v>18874.536924888602</v>
      </c>
      <c r="H551" s="13">
        <v>0.94320000000000004</v>
      </c>
      <c r="I551" s="13">
        <v>0.89319999999999999</v>
      </c>
      <c r="J551" s="13">
        <v>1.32E-2</v>
      </c>
      <c r="K551" s="13">
        <v>0</v>
      </c>
      <c r="L551" s="13">
        <v>7.0000000000000007E-2</v>
      </c>
      <c r="M551" s="13">
        <v>0.25</v>
      </c>
    </row>
    <row r="552" spans="2:13" x14ac:dyDescent="0.25">
      <c r="B552" s="14" t="s">
        <v>160</v>
      </c>
      <c r="C552" s="14" t="s">
        <v>70</v>
      </c>
      <c r="D552" t="s">
        <v>46</v>
      </c>
      <c r="E552" s="16" t="s">
        <v>133</v>
      </c>
      <c r="F552">
        <v>2029</v>
      </c>
      <c r="G552" s="12">
        <v>18953.420767095598</v>
      </c>
      <c r="H552" s="13">
        <v>0.94979999999999998</v>
      </c>
      <c r="I552" s="13">
        <v>0.89980000000000004</v>
      </c>
      <c r="J552" s="13">
        <v>1.9800000000000002E-2</v>
      </c>
      <c r="K552" s="13">
        <v>0</v>
      </c>
      <c r="L552" s="13">
        <v>7.0000000000000007E-2</v>
      </c>
      <c r="M552" s="13">
        <v>0.25</v>
      </c>
    </row>
    <row r="553" spans="2:13" x14ac:dyDescent="0.25">
      <c r="B553" s="14" t="s">
        <v>160</v>
      </c>
      <c r="C553" s="14" t="s">
        <v>70</v>
      </c>
      <c r="D553" t="s">
        <v>46</v>
      </c>
      <c r="E553" s="16" t="s">
        <v>133</v>
      </c>
      <c r="F553">
        <v>2030</v>
      </c>
      <c r="G553" s="12">
        <v>19038.615316679301</v>
      </c>
      <c r="H553" s="13">
        <v>0.95640000000000003</v>
      </c>
      <c r="I553" s="13">
        <v>0.90639999999999998</v>
      </c>
      <c r="J553" s="13">
        <v>2.64E-2</v>
      </c>
      <c r="K553" s="13">
        <v>0</v>
      </c>
      <c r="L553" s="13">
        <v>7.0000000000000007E-2</v>
      </c>
      <c r="M553" s="13">
        <v>0.25</v>
      </c>
    </row>
    <row r="554" spans="2:13" x14ac:dyDescent="0.25">
      <c r="B554" s="14" t="s">
        <v>160</v>
      </c>
      <c r="C554" s="14" t="s">
        <v>72</v>
      </c>
      <c r="D554" t="s">
        <v>46</v>
      </c>
      <c r="E554" s="16" t="s">
        <v>133</v>
      </c>
      <c r="F554">
        <v>2026</v>
      </c>
      <c r="G554" s="12">
        <v>18757</v>
      </c>
      <c r="H554" s="13">
        <v>0.93</v>
      </c>
      <c r="I554" s="13">
        <v>0.90949999999999998</v>
      </c>
      <c r="J554" s="13">
        <v>0.88</v>
      </c>
      <c r="K554" s="13"/>
      <c r="L554" s="13">
        <v>0.04</v>
      </c>
      <c r="M554" s="13">
        <v>0.25</v>
      </c>
    </row>
    <row r="555" spans="2:13" x14ac:dyDescent="0.25">
      <c r="B555" s="14" t="s">
        <v>160</v>
      </c>
      <c r="C555" s="14" t="s">
        <v>72</v>
      </c>
      <c r="D555" t="s">
        <v>46</v>
      </c>
      <c r="E555" s="16" t="s">
        <v>133</v>
      </c>
      <c r="F555">
        <v>2027</v>
      </c>
      <c r="G555" s="12">
        <v>18815.374043233202</v>
      </c>
      <c r="H555" s="13">
        <v>0.81934217870000003</v>
      </c>
      <c r="I555" s="13">
        <v>0.80142689410000001</v>
      </c>
      <c r="J555" s="13">
        <v>0.77564636259999997</v>
      </c>
      <c r="K555" s="13"/>
      <c r="L555" s="13">
        <v>0.04</v>
      </c>
      <c r="M555" s="13">
        <v>0.25</v>
      </c>
    </row>
    <row r="556" spans="2:13" x14ac:dyDescent="0.25">
      <c r="B556" s="14" t="s">
        <v>160</v>
      </c>
      <c r="C556" s="14" t="s">
        <v>72</v>
      </c>
      <c r="D556" t="s">
        <v>46</v>
      </c>
      <c r="E556" s="16" t="s">
        <v>133</v>
      </c>
      <c r="F556">
        <v>2028</v>
      </c>
      <c r="G556" s="12">
        <v>18874.536924888602</v>
      </c>
      <c r="H556" s="13">
        <v>0.82594217869999997</v>
      </c>
      <c r="I556" s="13">
        <v>0.80802689409999995</v>
      </c>
      <c r="J556" s="13">
        <v>0.78224636260000002</v>
      </c>
      <c r="K556" s="13"/>
      <c r="L556" s="13">
        <v>0.04</v>
      </c>
      <c r="M556" s="13">
        <v>0.25</v>
      </c>
    </row>
    <row r="557" spans="2:13" x14ac:dyDescent="0.25">
      <c r="B557" s="14" t="s">
        <v>160</v>
      </c>
      <c r="C557" s="14" t="s">
        <v>72</v>
      </c>
      <c r="D557" t="s">
        <v>46</v>
      </c>
      <c r="E557" s="16" t="s">
        <v>133</v>
      </c>
      <c r="F557">
        <v>2029</v>
      </c>
      <c r="G557" s="12">
        <v>18953.420767095598</v>
      </c>
      <c r="H557" s="13">
        <v>0.83254217870000002</v>
      </c>
      <c r="I557" s="13">
        <v>0.8146268941</v>
      </c>
      <c r="J557" s="13">
        <v>0.78884636259999996</v>
      </c>
      <c r="K557" s="13"/>
      <c r="L557" s="13">
        <v>0.04</v>
      </c>
      <c r="M557" s="13">
        <v>0.25</v>
      </c>
    </row>
    <row r="558" spans="2:13" x14ac:dyDescent="0.25">
      <c r="B558" s="14" t="s">
        <v>160</v>
      </c>
      <c r="C558" s="14" t="s">
        <v>72</v>
      </c>
      <c r="D558" t="s">
        <v>46</v>
      </c>
      <c r="E558" s="16" t="s">
        <v>133</v>
      </c>
      <c r="F558">
        <v>2030</v>
      </c>
      <c r="G558" s="12">
        <v>19038.615316679301</v>
      </c>
      <c r="H558" s="13">
        <v>0.83914217869999996</v>
      </c>
      <c r="I558" s="13">
        <v>0.82122689410000005</v>
      </c>
      <c r="J558" s="13">
        <v>0.79544636260000001</v>
      </c>
      <c r="K558" s="13"/>
      <c r="L558" s="13">
        <v>0.04</v>
      </c>
      <c r="M558" s="13">
        <v>0.25</v>
      </c>
    </row>
    <row r="559" spans="2:13" x14ac:dyDescent="0.25">
      <c r="B559" s="14" t="s">
        <v>160</v>
      </c>
      <c r="C559" s="14" t="s">
        <v>15</v>
      </c>
      <c r="D559" t="s">
        <v>136</v>
      </c>
      <c r="E559" s="16" t="s">
        <v>133</v>
      </c>
      <c r="F559">
        <v>2026</v>
      </c>
      <c r="G559" s="12">
        <v>0</v>
      </c>
      <c r="H559" s="13">
        <v>0</v>
      </c>
      <c r="I559" s="13"/>
      <c r="J559" s="13"/>
      <c r="K559" s="13"/>
      <c r="L559" s="13">
        <v>0.05</v>
      </c>
      <c r="M559" s="13">
        <v>0.25</v>
      </c>
    </row>
    <row r="560" spans="2:13" x14ac:dyDescent="0.25">
      <c r="B560" s="14" t="s">
        <v>160</v>
      </c>
      <c r="C560" s="14" t="s">
        <v>15</v>
      </c>
      <c r="D560" t="s">
        <v>46</v>
      </c>
      <c r="E560" s="16" t="s">
        <v>133</v>
      </c>
      <c r="F560">
        <v>2026</v>
      </c>
      <c r="G560" s="12">
        <v>11552</v>
      </c>
      <c r="H560" s="13">
        <v>0.82</v>
      </c>
      <c r="I560" s="13"/>
      <c r="J560" s="13"/>
      <c r="K560" s="13"/>
      <c r="L560" s="13">
        <v>0.05</v>
      </c>
      <c r="M560" s="13">
        <v>0.25</v>
      </c>
    </row>
    <row r="561" spans="2:13" x14ac:dyDescent="0.25">
      <c r="B561" s="14" t="s">
        <v>160</v>
      </c>
      <c r="C561" s="14" t="s">
        <v>15</v>
      </c>
      <c r="D561" t="s">
        <v>46</v>
      </c>
      <c r="E561" s="16" t="s">
        <v>133</v>
      </c>
      <c r="F561">
        <v>2027</v>
      </c>
      <c r="G561" s="12">
        <v>11934</v>
      </c>
      <c r="H561" s="13">
        <v>0.82</v>
      </c>
      <c r="I561" s="13"/>
      <c r="J561" s="13"/>
      <c r="K561" s="13"/>
      <c r="L561" s="13">
        <v>0.05</v>
      </c>
      <c r="M561" s="13">
        <v>0.25</v>
      </c>
    </row>
    <row r="562" spans="2:13" x14ac:dyDescent="0.25">
      <c r="B562" s="14" t="s">
        <v>160</v>
      </c>
      <c r="C562" s="14" t="s">
        <v>15</v>
      </c>
      <c r="D562" t="s">
        <v>46</v>
      </c>
      <c r="E562" s="16" t="s">
        <v>133</v>
      </c>
      <c r="F562">
        <v>2028</v>
      </c>
      <c r="G562" s="12">
        <v>11921</v>
      </c>
      <c r="H562" s="13">
        <v>0.82</v>
      </c>
      <c r="I562" s="13"/>
      <c r="J562" s="13"/>
      <c r="K562" s="13"/>
      <c r="L562" s="13">
        <v>0.05</v>
      </c>
      <c r="M562" s="13">
        <v>0.25</v>
      </c>
    </row>
    <row r="563" spans="2:13" x14ac:dyDescent="0.25">
      <c r="B563" s="14" t="s">
        <v>160</v>
      </c>
      <c r="C563" s="14" t="s">
        <v>15</v>
      </c>
      <c r="D563" t="s">
        <v>46</v>
      </c>
      <c r="E563" s="16" t="s">
        <v>133</v>
      </c>
      <c r="F563">
        <v>2029</v>
      </c>
      <c r="G563" s="12">
        <v>11917</v>
      </c>
      <c r="H563" s="13">
        <v>0.82</v>
      </c>
      <c r="I563" s="13"/>
      <c r="J563" s="13"/>
      <c r="K563" s="13"/>
      <c r="L563" s="13">
        <v>0.05</v>
      </c>
      <c r="M563" s="13">
        <v>0.25</v>
      </c>
    </row>
    <row r="564" spans="2:13" x14ac:dyDescent="0.25">
      <c r="B564" s="14" t="s">
        <v>160</v>
      </c>
      <c r="C564" s="14" t="s">
        <v>15</v>
      </c>
      <c r="D564" t="s">
        <v>46</v>
      </c>
      <c r="E564" s="16" t="s">
        <v>133</v>
      </c>
      <c r="F564">
        <v>2030</v>
      </c>
      <c r="G564" s="12">
        <v>11938</v>
      </c>
      <c r="H564" s="13">
        <v>0.82</v>
      </c>
      <c r="I564" s="13"/>
      <c r="J564" s="13"/>
      <c r="K564" s="13"/>
      <c r="L564" s="13">
        <v>0.05</v>
      </c>
      <c r="M564" s="13">
        <v>0.25</v>
      </c>
    </row>
    <row r="565" spans="2:13" x14ac:dyDescent="0.25">
      <c r="B565" s="14" t="s">
        <v>160</v>
      </c>
      <c r="C565" s="14" t="s">
        <v>52</v>
      </c>
      <c r="D565" t="s">
        <v>137</v>
      </c>
      <c r="E565" s="16" t="s">
        <v>133</v>
      </c>
      <c r="F565">
        <v>2027</v>
      </c>
      <c r="G565" s="12">
        <v>240490.090909091</v>
      </c>
      <c r="H565" s="13">
        <v>0.85</v>
      </c>
      <c r="I565" s="13"/>
      <c r="J565" s="13"/>
      <c r="K565" s="13"/>
      <c r="L565" s="13"/>
      <c r="M565" s="13"/>
    </row>
    <row r="566" spans="2:13" x14ac:dyDescent="0.25">
      <c r="B566" s="14" t="s">
        <v>160</v>
      </c>
      <c r="C566" s="14" t="s">
        <v>52</v>
      </c>
      <c r="D566" t="s">
        <v>138</v>
      </c>
      <c r="E566" s="16" t="s">
        <v>133</v>
      </c>
      <c r="F566">
        <v>2027</v>
      </c>
      <c r="G566" s="12">
        <v>23852</v>
      </c>
      <c r="H566" s="13">
        <v>0.76980000000000004</v>
      </c>
      <c r="I566" s="13">
        <v>0.517293</v>
      </c>
      <c r="J566" s="13"/>
      <c r="K566" s="13"/>
      <c r="L566" s="13"/>
      <c r="M566" s="13"/>
    </row>
    <row r="567" spans="2:13" x14ac:dyDescent="0.25">
      <c r="B567" s="14" t="s">
        <v>160</v>
      </c>
      <c r="C567" s="14" t="s">
        <v>52</v>
      </c>
      <c r="D567" t="s">
        <v>138</v>
      </c>
      <c r="E567" s="16" t="s">
        <v>133</v>
      </c>
      <c r="F567">
        <v>2028</v>
      </c>
      <c r="G567" s="12">
        <v>23927</v>
      </c>
      <c r="H567" s="13">
        <v>0.77639999999999998</v>
      </c>
      <c r="I567" s="13">
        <v>0.52412400000000003</v>
      </c>
      <c r="J567" s="13"/>
      <c r="K567" s="13"/>
      <c r="L567" s="13"/>
      <c r="M567" s="13"/>
    </row>
    <row r="568" spans="2:13" x14ac:dyDescent="0.25">
      <c r="B568" s="14" t="s">
        <v>160</v>
      </c>
      <c r="C568" s="14" t="s">
        <v>52</v>
      </c>
      <c r="D568" t="s">
        <v>138</v>
      </c>
      <c r="E568" s="16" t="s">
        <v>133</v>
      </c>
      <c r="F568">
        <v>2029</v>
      </c>
      <c r="G568" s="12">
        <v>24027</v>
      </c>
      <c r="H568" s="13">
        <v>0.78300000000000003</v>
      </c>
      <c r="I568" s="13">
        <v>0.53095499999999995</v>
      </c>
      <c r="J568" s="13"/>
      <c r="K568" s="13"/>
      <c r="L568" s="13"/>
      <c r="M568" s="13"/>
    </row>
    <row r="569" spans="2:13" x14ac:dyDescent="0.25">
      <c r="B569" s="14" t="s">
        <v>160</v>
      </c>
      <c r="C569" s="14" t="s">
        <v>52</v>
      </c>
      <c r="D569" t="s">
        <v>138</v>
      </c>
      <c r="E569" s="16" t="s">
        <v>133</v>
      </c>
      <c r="F569">
        <v>2030</v>
      </c>
      <c r="G569" s="12">
        <v>24135</v>
      </c>
      <c r="H569" s="13">
        <v>0.78959999999999997</v>
      </c>
      <c r="I569" s="13">
        <v>0.53778599999999999</v>
      </c>
      <c r="J569" s="13"/>
      <c r="K569" s="13"/>
      <c r="L569" s="13"/>
      <c r="M569" s="13"/>
    </row>
    <row r="570" spans="2:13" x14ac:dyDescent="0.25">
      <c r="B570" s="14" t="s">
        <v>160</v>
      </c>
      <c r="C570" s="14" t="s">
        <v>139</v>
      </c>
      <c r="D570" t="s">
        <v>46</v>
      </c>
      <c r="E570" s="16" t="s">
        <v>133</v>
      </c>
      <c r="F570">
        <v>2026</v>
      </c>
      <c r="G570" s="12">
        <v>18757</v>
      </c>
      <c r="H570" s="13">
        <v>0.93</v>
      </c>
      <c r="I570" s="13">
        <v>0.90500000000000003</v>
      </c>
      <c r="J570" s="13">
        <v>0</v>
      </c>
      <c r="K570" s="13"/>
      <c r="L570" s="13">
        <v>0.04</v>
      </c>
      <c r="M570" s="13">
        <v>0.25</v>
      </c>
    </row>
    <row r="571" spans="2:13" x14ac:dyDescent="0.25">
      <c r="B571" s="14" t="s">
        <v>160</v>
      </c>
      <c r="C571" s="14" t="s">
        <v>139</v>
      </c>
      <c r="D571" t="s">
        <v>46</v>
      </c>
      <c r="E571" s="16" t="s">
        <v>133</v>
      </c>
      <c r="F571">
        <v>2027</v>
      </c>
      <c r="G571" s="12">
        <v>18815.374043233202</v>
      </c>
      <c r="H571" s="13">
        <v>0.86655641969999997</v>
      </c>
      <c r="I571" s="13">
        <v>0.84343931169999997</v>
      </c>
      <c r="J571" s="13">
        <v>0</v>
      </c>
      <c r="K571" s="13"/>
      <c r="L571" s="13">
        <v>0.04</v>
      </c>
      <c r="M571" s="13">
        <v>0.25</v>
      </c>
    </row>
    <row r="572" spans="2:13" x14ac:dyDescent="0.25">
      <c r="B572" s="14" t="s">
        <v>160</v>
      </c>
      <c r="C572" s="14" t="s">
        <v>139</v>
      </c>
      <c r="D572" t="s">
        <v>46</v>
      </c>
      <c r="E572" s="16" t="s">
        <v>133</v>
      </c>
      <c r="F572">
        <v>2028</v>
      </c>
      <c r="G572" s="12">
        <v>18874.536924888602</v>
      </c>
      <c r="H572" s="13">
        <v>0.87315641970000002</v>
      </c>
      <c r="I572" s="13">
        <v>0.85003931170000002</v>
      </c>
      <c r="J572" s="13">
        <v>0</v>
      </c>
      <c r="K572" s="13"/>
      <c r="L572" s="13">
        <v>0.04</v>
      </c>
      <c r="M572" s="13">
        <v>0.25</v>
      </c>
    </row>
    <row r="573" spans="2:13" x14ac:dyDescent="0.25">
      <c r="B573" s="14" t="s">
        <v>160</v>
      </c>
      <c r="C573" s="14" t="s">
        <v>139</v>
      </c>
      <c r="D573" t="s">
        <v>46</v>
      </c>
      <c r="E573" s="16" t="s">
        <v>133</v>
      </c>
      <c r="F573">
        <v>2029</v>
      </c>
      <c r="G573" s="12">
        <v>18953.420767095598</v>
      </c>
      <c r="H573" s="13">
        <v>0.87975641969999996</v>
      </c>
      <c r="I573" s="13">
        <v>0.85663931169999996</v>
      </c>
      <c r="J573" s="13">
        <v>0</v>
      </c>
      <c r="K573" s="13"/>
      <c r="L573" s="13">
        <v>0.04</v>
      </c>
      <c r="M573" s="13">
        <v>0.25</v>
      </c>
    </row>
    <row r="574" spans="2:13" x14ac:dyDescent="0.25">
      <c r="B574" s="15" t="s">
        <v>160</v>
      </c>
      <c r="C574" s="14" t="s">
        <v>139</v>
      </c>
      <c r="D574" t="s">
        <v>46</v>
      </c>
      <c r="E574" s="16" t="s">
        <v>133</v>
      </c>
      <c r="F574">
        <v>2030</v>
      </c>
      <c r="G574" s="12">
        <v>19038.615316679301</v>
      </c>
      <c r="H574" s="13">
        <v>0.88635641970000001</v>
      </c>
      <c r="I574" s="13">
        <v>0.86323931170000001</v>
      </c>
      <c r="J574" s="13">
        <v>0</v>
      </c>
      <c r="K574" s="13"/>
      <c r="L574" s="13">
        <v>0.04</v>
      </c>
      <c r="M574" s="13">
        <v>0.25</v>
      </c>
    </row>
    <row r="575" spans="2:13" x14ac:dyDescent="0.25">
      <c r="B575" s="14" t="s">
        <v>161</v>
      </c>
      <c r="C575" s="14" t="s">
        <v>132</v>
      </c>
      <c r="D575" t="s">
        <v>46</v>
      </c>
      <c r="E575" s="16" t="s">
        <v>133</v>
      </c>
      <c r="F575">
        <v>2026</v>
      </c>
      <c r="G575" s="12">
        <v>104764</v>
      </c>
      <c r="H575" s="13">
        <v>0.71095752479999996</v>
      </c>
      <c r="I575" s="13">
        <v>0.70801315519999997</v>
      </c>
      <c r="J575" s="13">
        <v>0.70377613559999996</v>
      </c>
      <c r="K575" s="13">
        <v>0</v>
      </c>
      <c r="L575" s="13">
        <v>0.04</v>
      </c>
      <c r="M575" s="13">
        <v>0.25</v>
      </c>
    </row>
    <row r="576" spans="2:13" x14ac:dyDescent="0.25">
      <c r="B576" s="14" t="s">
        <v>161</v>
      </c>
      <c r="C576" s="14" t="s">
        <v>132</v>
      </c>
      <c r="D576" t="s">
        <v>46</v>
      </c>
      <c r="E576" s="16" t="s">
        <v>133</v>
      </c>
      <c r="F576">
        <v>2027</v>
      </c>
      <c r="G576" s="12">
        <v>106634.858261915</v>
      </c>
      <c r="H576" s="13">
        <v>0.35877876240000001</v>
      </c>
      <c r="I576" s="13">
        <v>0.35730657760000001</v>
      </c>
      <c r="J576" s="13">
        <v>0.35518806780000001</v>
      </c>
      <c r="K576" s="13">
        <v>0</v>
      </c>
      <c r="L576" s="13">
        <v>0.04</v>
      </c>
      <c r="M576" s="13">
        <v>0.25</v>
      </c>
    </row>
    <row r="577" spans="2:13" x14ac:dyDescent="0.25">
      <c r="B577" s="14" t="s">
        <v>161</v>
      </c>
      <c r="C577" s="14" t="s">
        <v>132</v>
      </c>
      <c r="D577" t="s">
        <v>46</v>
      </c>
      <c r="E577" s="16" t="s">
        <v>133</v>
      </c>
      <c r="F577">
        <v>2028</v>
      </c>
      <c r="G577" s="12">
        <v>108449.854849343</v>
      </c>
      <c r="H577" s="13">
        <v>0</v>
      </c>
      <c r="I577" s="13">
        <v>0</v>
      </c>
      <c r="J577" s="13">
        <v>0</v>
      </c>
      <c r="K577" s="13">
        <v>0</v>
      </c>
      <c r="L577" s="13">
        <v>0.04</v>
      </c>
      <c r="M577" s="13">
        <v>0.25</v>
      </c>
    </row>
    <row r="578" spans="2:13" x14ac:dyDescent="0.25">
      <c r="B578" s="14" t="s">
        <v>161</v>
      </c>
      <c r="C578" s="14" t="s">
        <v>70</v>
      </c>
      <c r="D578" t="s">
        <v>46</v>
      </c>
      <c r="E578" s="16" t="s">
        <v>133</v>
      </c>
      <c r="F578">
        <v>2026</v>
      </c>
      <c r="G578" s="12">
        <v>104764</v>
      </c>
      <c r="H578" s="13">
        <v>0.99</v>
      </c>
      <c r="I578" s="13">
        <v>0.98</v>
      </c>
      <c r="J578" s="13">
        <v>0</v>
      </c>
      <c r="K578" s="13">
        <v>0</v>
      </c>
      <c r="L578" s="13">
        <v>7.0000000000000007E-2</v>
      </c>
      <c r="M578" s="13">
        <v>0.25</v>
      </c>
    </row>
    <row r="579" spans="2:13" x14ac:dyDescent="0.25">
      <c r="B579" s="14" t="s">
        <v>161</v>
      </c>
      <c r="C579" s="14" t="s">
        <v>70</v>
      </c>
      <c r="D579" t="s">
        <v>46</v>
      </c>
      <c r="E579" s="16" t="s">
        <v>133</v>
      </c>
      <c r="F579">
        <v>2027</v>
      </c>
      <c r="G579" s="12">
        <v>106634.858261915</v>
      </c>
      <c r="H579" s="13">
        <v>0.495</v>
      </c>
      <c r="I579" s="13">
        <v>0.49330000000000002</v>
      </c>
      <c r="J579" s="13">
        <v>3.3E-3</v>
      </c>
      <c r="K579" s="13">
        <v>0</v>
      </c>
      <c r="L579" s="13">
        <v>7.0000000000000007E-2</v>
      </c>
      <c r="M579" s="13">
        <v>0.25</v>
      </c>
    </row>
    <row r="580" spans="2:13" x14ac:dyDescent="0.25">
      <c r="B580" s="14" t="s">
        <v>161</v>
      </c>
      <c r="C580" s="14" t="s">
        <v>70</v>
      </c>
      <c r="D580" t="s">
        <v>46</v>
      </c>
      <c r="E580" s="16" t="s">
        <v>133</v>
      </c>
      <c r="F580">
        <v>2028</v>
      </c>
      <c r="G580" s="12">
        <v>108449.854849343</v>
      </c>
      <c r="H580" s="13">
        <v>0</v>
      </c>
      <c r="I580" s="13">
        <v>0</v>
      </c>
      <c r="J580" s="13">
        <v>0</v>
      </c>
      <c r="K580" s="13">
        <v>0</v>
      </c>
      <c r="L580" s="13">
        <v>7.0000000000000007E-2</v>
      </c>
      <c r="M580" s="13">
        <v>0.25</v>
      </c>
    </row>
    <row r="581" spans="2:13" x14ac:dyDescent="0.25">
      <c r="B581" s="14" t="s">
        <v>161</v>
      </c>
      <c r="C581" s="14" t="s">
        <v>134</v>
      </c>
      <c r="D581" t="s">
        <v>46</v>
      </c>
      <c r="E581" s="16" t="s">
        <v>133</v>
      </c>
      <c r="F581">
        <v>2026</v>
      </c>
      <c r="G581" s="12">
        <v>104764</v>
      </c>
      <c r="H581" s="13">
        <v>0</v>
      </c>
      <c r="I581" s="13">
        <v>0</v>
      </c>
      <c r="J581" s="13">
        <v>0</v>
      </c>
      <c r="K581" s="13">
        <v>0</v>
      </c>
      <c r="L581" s="13">
        <v>0.04</v>
      </c>
      <c r="M581" s="13">
        <v>0.25</v>
      </c>
    </row>
    <row r="582" spans="2:13" x14ac:dyDescent="0.25">
      <c r="B582" s="14" t="s">
        <v>161</v>
      </c>
      <c r="C582" s="14" t="s">
        <v>134</v>
      </c>
      <c r="D582" t="s">
        <v>46</v>
      </c>
      <c r="E582" s="16" t="s">
        <v>133</v>
      </c>
      <c r="F582">
        <v>2027</v>
      </c>
      <c r="G582" s="12">
        <v>106634.858261915</v>
      </c>
      <c r="H582" s="13">
        <v>0.35877876240000001</v>
      </c>
      <c r="I582" s="13">
        <v>0.35730657760000001</v>
      </c>
      <c r="J582" s="13">
        <v>0.35518806780000001</v>
      </c>
      <c r="K582" s="13">
        <v>0</v>
      </c>
      <c r="L582" s="13">
        <v>7.0000000000000007E-2</v>
      </c>
      <c r="M582" s="13">
        <v>0.25</v>
      </c>
    </row>
    <row r="583" spans="2:13" x14ac:dyDescent="0.25">
      <c r="B583" s="14" t="s">
        <v>161</v>
      </c>
      <c r="C583" s="14" t="s">
        <v>134</v>
      </c>
      <c r="D583" t="s">
        <v>46</v>
      </c>
      <c r="E583" s="16" t="s">
        <v>133</v>
      </c>
      <c r="F583">
        <v>2028</v>
      </c>
      <c r="G583" s="12">
        <v>108449.854849343</v>
      </c>
      <c r="H583" s="13">
        <v>0.72415752479999995</v>
      </c>
      <c r="I583" s="13">
        <v>0.72121315519999996</v>
      </c>
      <c r="J583" s="13">
        <v>0.71697613559999995</v>
      </c>
      <c r="K583" s="13">
        <v>0</v>
      </c>
      <c r="L583" s="13">
        <v>7.0000000000000007E-2</v>
      </c>
      <c r="M583" s="13">
        <v>0.25</v>
      </c>
    </row>
    <row r="584" spans="2:13" x14ac:dyDescent="0.25">
      <c r="B584" s="14" t="s">
        <v>161</v>
      </c>
      <c r="C584" s="14" t="s">
        <v>134</v>
      </c>
      <c r="D584" t="s">
        <v>46</v>
      </c>
      <c r="E584" s="16" t="s">
        <v>133</v>
      </c>
      <c r="F584">
        <v>2029</v>
      </c>
      <c r="G584" s="12">
        <v>110170.394423547</v>
      </c>
      <c r="H584" s="13">
        <v>0.7307575248</v>
      </c>
      <c r="I584" s="13">
        <v>0.72781315520000001</v>
      </c>
      <c r="J584" s="13">
        <v>0.7235761356</v>
      </c>
      <c r="K584" s="13">
        <v>0</v>
      </c>
      <c r="L584" s="13">
        <v>7.0000000000000007E-2</v>
      </c>
      <c r="M584" s="13">
        <v>0.25</v>
      </c>
    </row>
    <row r="585" spans="2:13" x14ac:dyDescent="0.25">
      <c r="B585" s="14" t="s">
        <v>161</v>
      </c>
      <c r="C585" s="14" t="s">
        <v>134</v>
      </c>
      <c r="D585" t="s">
        <v>46</v>
      </c>
      <c r="E585" s="16" t="s">
        <v>133</v>
      </c>
      <c r="F585">
        <v>2030</v>
      </c>
      <c r="G585" s="12">
        <v>111621.782293404</v>
      </c>
      <c r="H585" s="13">
        <v>0.73735752480000005</v>
      </c>
      <c r="I585" s="13">
        <v>0.73441315519999995</v>
      </c>
      <c r="J585" s="13">
        <v>0.73017613560000005</v>
      </c>
      <c r="K585" s="13">
        <v>0</v>
      </c>
      <c r="L585" s="13">
        <v>7.0000000000000007E-2</v>
      </c>
      <c r="M585" s="13">
        <v>0.25</v>
      </c>
    </row>
    <row r="586" spans="2:13" x14ac:dyDescent="0.25">
      <c r="B586" s="14" t="s">
        <v>161</v>
      </c>
      <c r="C586" s="14" t="s">
        <v>72</v>
      </c>
      <c r="D586" t="s">
        <v>46</v>
      </c>
      <c r="E586" s="16" t="s">
        <v>133</v>
      </c>
      <c r="F586">
        <v>2026</v>
      </c>
      <c r="G586" s="12">
        <v>104764</v>
      </c>
      <c r="H586" s="13">
        <v>0.99</v>
      </c>
      <c r="I586" s="13">
        <v>0.9859</v>
      </c>
      <c r="J586" s="13">
        <v>0.98</v>
      </c>
      <c r="K586" s="13"/>
      <c r="L586" s="13">
        <v>7.0000000000000007E-2</v>
      </c>
      <c r="M586" s="13">
        <v>0.25</v>
      </c>
    </row>
    <row r="587" spans="2:13" x14ac:dyDescent="0.25">
      <c r="B587" s="14" t="s">
        <v>161</v>
      </c>
      <c r="C587" s="14" t="s">
        <v>72</v>
      </c>
      <c r="D587" t="s">
        <v>46</v>
      </c>
      <c r="E587" s="16" t="s">
        <v>133</v>
      </c>
      <c r="F587">
        <v>2027</v>
      </c>
      <c r="G587" s="12">
        <v>106634.858261915</v>
      </c>
      <c r="H587" s="13">
        <v>0.70235607629999997</v>
      </c>
      <c r="I587" s="13">
        <v>0.69947466219999999</v>
      </c>
      <c r="J587" s="13">
        <v>0.69532823710000002</v>
      </c>
      <c r="K587" s="13"/>
      <c r="L587" s="13">
        <v>7.0000000000000007E-2</v>
      </c>
      <c r="M587" s="13">
        <v>0.25</v>
      </c>
    </row>
    <row r="588" spans="2:13" x14ac:dyDescent="0.25">
      <c r="B588" s="14" t="s">
        <v>161</v>
      </c>
      <c r="C588" s="14" t="s">
        <v>72</v>
      </c>
      <c r="D588" t="s">
        <v>46</v>
      </c>
      <c r="E588" s="16" t="s">
        <v>133</v>
      </c>
      <c r="F588">
        <v>2028</v>
      </c>
      <c r="G588" s="12">
        <v>108449.854849343</v>
      </c>
      <c r="H588" s="13">
        <v>0.70895607630000002</v>
      </c>
      <c r="I588" s="13">
        <v>0.70607466220000004</v>
      </c>
      <c r="J588" s="13">
        <v>0.70192823709999996</v>
      </c>
      <c r="K588" s="13"/>
      <c r="L588" s="13">
        <v>7.0000000000000007E-2</v>
      </c>
      <c r="M588" s="13">
        <v>0.25</v>
      </c>
    </row>
    <row r="589" spans="2:13" x14ac:dyDescent="0.25">
      <c r="B589" s="14" t="s">
        <v>161</v>
      </c>
      <c r="C589" s="14" t="s">
        <v>72</v>
      </c>
      <c r="D589" t="s">
        <v>46</v>
      </c>
      <c r="E589" s="16" t="s">
        <v>133</v>
      </c>
      <c r="F589">
        <v>2029</v>
      </c>
      <c r="G589" s="12">
        <v>110170.394423547</v>
      </c>
      <c r="H589" s="13">
        <v>0.71555607629999995</v>
      </c>
      <c r="I589" s="13">
        <v>0.71267466219999998</v>
      </c>
      <c r="J589" s="13">
        <v>0.70852823710000001</v>
      </c>
      <c r="K589" s="13"/>
      <c r="L589" s="13">
        <v>0.08</v>
      </c>
      <c r="M589" s="13">
        <v>0.25</v>
      </c>
    </row>
    <row r="590" spans="2:13" x14ac:dyDescent="0.25">
      <c r="B590" s="14" t="s">
        <v>161</v>
      </c>
      <c r="C590" s="14" t="s">
        <v>72</v>
      </c>
      <c r="D590" t="s">
        <v>46</v>
      </c>
      <c r="E590" s="16" t="s">
        <v>133</v>
      </c>
      <c r="F590">
        <v>2030</v>
      </c>
      <c r="G590" s="12">
        <v>111621.782293404</v>
      </c>
      <c r="H590" s="13">
        <v>0.7221560763</v>
      </c>
      <c r="I590" s="13">
        <v>0.71927466220000003</v>
      </c>
      <c r="J590" s="13">
        <v>0.71512823709999995</v>
      </c>
      <c r="K590" s="13"/>
      <c r="L590" s="13">
        <v>0.08</v>
      </c>
      <c r="M590" s="13">
        <v>0.25</v>
      </c>
    </row>
    <row r="591" spans="2:13" x14ac:dyDescent="0.25">
      <c r="B591" s="14" t="s">
        <v>161</v>
      </c>
      <c r="C591" s="14" t="s">
        <v>102</v>
      </c>
      <c r="D591" t="s">
        <v>46</v>
      </c>
      <c r="E591" s="16" t="s">
        <v>133</v>
      </c>
      <c r="F591">
        <v>2026</v>
      </c>
      <c r="G591" s="12">
        <v>126294</v>
      </c>
      <c r="H591" s="13">
        <v>0.99</v>
      </c>
      <c r="I591" s="13"/>
      <c r="J591" s="13"/>
      <c r="K591" s="13"/>
      <c r="L591" s="13">
        <v>7.0000000000000007E-2</v>
      </c>
      <c r="M591" s="13">
        <v>0.25</v>
      </c>
    </row>
    <row r="592" spans="2:13" x14ac:dyDescent="0.25">
      <c r="B592" s="14" t="s">
        <v>161</v>
      </c>
      <c r="C592" s="14" t="s">
        <v>102</v>
      </c>
      <c r="D592" t="s">
        <v>46</v>
      </c>
      <c r="E592" s="16" t="s">
        <v>133</v>
      </c>
      <c r="F592">
        <v>2027</v>
      </c>
      <c r="G592" s="12">
        <v>128549.337456858</v>
      </c>
      <c r="H592" s="13">
        <v>0.99</v>
      </c>
      <c r="I592" s="13"/>
      <c r="J592" s="13"/>
      <c r="K592" s="13"/>
      <c r="L592" s="13">
        <v>7.0000000000000007E-2</v>
      </c>
      <c r="M592" s="13">
        <v>0.25</v>
      </c>
    </row>
    <row r="593" spans="2:13" x14ac:dyDescent="0.25">
      <c r="B593" s="14" t="s">
        <v>161</v>
      </c>
      <c r="C593" s="14" t="s">
        <v>102</v>
      </c>
      <c r="D593" t="s">
        <v>46</v>
      </c>
      <c r="E593" s="16" t="s">
        <v>133</v>
      </c>
      <c r="F593">
        <v>2028</v>
      </c>
      <c r="G593" s="12">
        <v>130737.333132974</v>
      </c>
      <c r="H593" s="13">
        <v>0.99</v>
      </c>
      <c r="I593" s="13"/>
      <c r="J593" s="13"/>
      <c r="K593" s="13"/>
      <c r="L593" s="13">
        <v>7.0000000000000007E-2</v>
      </c>
      <c r="M593" s="13">
        <v>0.25</v>
      </c>
    </row>
    <row r="594" spans="2:13" x14ac:dyDescent="0.25">
      <c r="B594" s="14" t="s">
        <v>161</v>
      </c>
      <c r="C594" s="14" t="s">
        <v>102</v>
      </c>
      <c r="D594" t="s">
        <v>46</v>
      </c>
      <c r="E594" s="16" t="s">
        <v>133</v>
      </c>
      <c r="F594">
        <v>2029</v>
      </c>
      <c r="G594" s="12">
        <v>132811.459979835</v>
      </c>
      <c r="H594" s="13">
        <v>0.99</v>
      </c>
      <c r="I594" s="13"/>
      <c r="J594" s="13"/>
      <c r="K594" s="13"/>
      <c r="L594" s="13">
        <v>7.0000000000000007E-2</v>
      </c>
      <c r="M594" s="13">
        <v>0.25</v>
      </c>
    </row>
    <row r="595" spans="2:13" x14ac:dyDescent="0.25">
      <c r="B595" s="14" t="s">
        <v>161</v>
      </c>
      <c r="C595" s="14" t="s">
        <v>102</v>
      </c>
      <c r="D595" t="s">
        <v>46</v>
      </c>
      <c r="E595" s="16" t="s">
        <v>133</v>
      </c>
      <c r="F595">
        <v>2030</v>
      </c>
      <c r="G595" s="12">
        <v>134561.12188311899</v>
      </c>
      <c r="H595" s="13">
        <v>0.99</v>
      </c>
      <c r="I595" s="13"/>
      <c r="J595" s="13"/>
      <c r="K595" s="13"/>
      <c r="L595" s="13">
        <v>7.0000000000000007E-2</v>
      </c>
      <c r="M595" s="13">
        <v>0.25</v>
      </c>
    </row>
    <row r="596" spans="2:13" x14ac:dyDescent="0.25">
      <c r="B596" s="14" t="s">
        <v>161</v>
      </c>
      <c r="C596" s="14" t="s">
        <v>15</v>
      </c>
      <c r="D596" t="s">
        <v>46</v>
      </c>
      <c r="E596" s="16" t="s">
        <v>133</v>
      </c>
      <c r="F596">
        <v>2026</v>
      </c>
      <c r="G596" s="12">
        <v>60305</v>
      </c>
      <c r="H596" s="13">
        <v>0.68</v>
      </c>
      <c r="I596" s="13"/>
      <c r="J596" s="13"/>
      <c r="K596" s="13"/>
      <c r="L596" s="13">
        <v>0.05</v>
      </c>
      <c r="M596" s="13">
        <v>0.25</v>
      </c>
    </row>
    <row r="597" spans="2:13" x14ac:dyDescent="0.25">
      <c r="B597" s="14" t="s">
        <v>161</v>
      </c>
      <c r="C597" s="14" t="s">
        <v>15</v>
      </c>
      <c r="D597" t="s">
        <v>46</v>
      </c>
      <c r="E597" s="16" t="s">
        <v>133</v>
      </c>
      <c r="F597">
        <v>2027</v>
      </c>
      <c r="G597" s="12">
        <v>61974</v>
      </c>
      <c r="H597" s="13">
        <v>0.68</v>
      </c>
      <c r="I597" s="13"/>
      <c r="J597" s="13"/>
      <c r="K597" s="13"/>
      <c r="L597" s="13">
        <v>0.05</v>
      </c>
      <c r="M597" s="13">
        <v>0.25</v>
      </c>
    </row>
    <row r="598" spans="2:13" x14ac:dyDescent="0.25">
      <c r="B598" s="14" t="s">
        <v>161</v>
      </c>
      <c r="C598" s="14" t="s">
        <v>15</v>
      </c>
      <c r="D598" t="s">
        <v>46</v>
      </c>
      <c r="E598" s="16" t="s">
        <v>133</v>
      </c>
      <c r="F598">
        <v>2028</v>
      </c>
      <c r="G598" s="12">
        <v>62624</v>
      </c>
      <c r="H598" s="13">
        <v>0.68</v>
      </c>
      <c r="I598" s="13"/>
      <c r="J598" s="13"/>
      <c r="K598" s="13"/>
      <c r="L598" s="13">
        <v>0.05</v>
      </c>
      <c r="M598" s="13">
        <v>0.25</v>
      </c>
    </row>
    <row r="599" spans="2:13" x14ac:dyDescent="0.25">
      <c r="B599" s="14" t="s">
        <v>161</v>
      </c>
      <c r="C599" s="14" t="s">
        <v>15</v>
      </c>
      <c r="D599" t="s">
        <v>46</v>
      </c>
      <c r="E599" s="16" t="s">
        <v>133</v>
      </c>
      <c r="F599">
        <v>2029</v>
      </c>
      <c r="G599" s="12">
        <v>63426</v>
      </c>
      <c r="H599" s="13">
        <v>0.68</v>
      </c>
      <c r="I599" s="13"/>
      <c r="J599" s="13"/>
      <c r="K599" s="13"/>
      <c r="L599" s="13">
        <v>0.05</v>
      </c>
      <c r="M599" s="13">
        <v>0.25</v>
      </c>
    </row>
    <row r="600" spans="2:13" x14ac:dyDescent="0.25">
      <c r="B600" s="14" t="s">
        <v>161</v>
      </c>
      <c r="C600" s="14" t="s">
        <v>15</v>
      </c>
      <c r="D600" t="s">
        <v>46</v>
      </c>
      <c r="E600" s="16" t="s">
        <v>133</v>
      </c>
      <c r="F600">
        <v>2030</v>
      </c>
      <c r="G600" s="12">
        <v>64364</v>
      </c>
      <c r="H600" s="13">
        <v>0.68</v>
      </c>
      <c r="I600" s="13"/>
      <c r="J600" s="13"/>
      <c r="K600" s="13"/>
      <c r="L600" s="13">
        <v>0.05</v>
      </c>
      <c r="M600" s="13">
        <v>0.25</v>
      </c>
    </row>
    <row r="601" spans="2:13" x14ac:dyDescent="0.25">
      <c r="B601" s="14" t="s">
        <v>161</v>
      </c>
      <c r="C601" s="14" t="s">
        <v>38</v>
      </c>
      <c r="D601" t="s">
        <v>46</v>
      </c>
      <c r="E601" s="16" t="s">
        <v>133</v>
      </c>
      <c r="F601">
        <v>2026</v>
      </c>
      <c r="G601" s="12">
        <v>104764</v>
      </c>
      <c r="H601" s="13">
        <v>0.99</v>
      </c>
      <c r="I601" s="13"/>
      <c r="J601" s="13"/>
      <c r="K601" s="13"/>
      <c r="L601" s="13">
        <v>0.2</v>
      </c>
      <c r="M601" s="13">
        <v>0.25</v>
      </c>
    </row>
    <row r="602" spans="2:13" x14ac:dyDescent="0.25">
      <c r="B602" s="14" t="s">
        <v>161</v>
      </c>
      <c r="C602" s="14" t="s">
        <v>38</v>
      </c>
      <c r="D602" t="s">
        <v>46</v>
      </c>
      <c r="E602" s="16" t="s">
        <v>133</v>
      </c>
      <c r="F602">
        <v>2027</v>
      </c>
      <c r="G602" s="12">
        <v>106156</v>
      </c>
      <c r="H602" s="13">
        <v>0.99</v>
      </c>
      <c r="I602" s="13"/>
      <c r="J602" s="13"/>
      <c r="K602" s="13"/>
      <c r="L602" s="13">
        <v>0.2</v>
      </c>
      <c r="M602" s="13">
        <v>0.25</v>
      </c>
    </row>
    <row r="603" spans="2:13" x14ac:dyDescent="0.25">
      <c r="B603" s="14" t="s">
        <v>161</v>
      </c>
      <c r="C603" s="14" t="s">
        <v>38</v>
      </c>
      <c r="D603" t="s">
        <v>46</v>
      </c>
      <c r="E603" s="16" t="s">
        <v>133</v>
      </c>
      <c r="F603">
        <v>2028</v>
      </c>
      <c r="G603" s="12">
        <v>107963</v>
      </c>
      <c r="H603" s="13">
        <v>0.99</v>
      </c>
      <c r="I603" s="13"/>
      <c r="J603" s="13"/>
      <c r="K603" s="13"/>
      <c r="L603" s="13">
        <v>0.2</v>
      </c>
      <c r="M603" s="13">
        <v>0.25</v>
      </c>
    </row>
    <row r="604" spans="2:13" x14ac:dyDescent="0.25">
      <c r="B604" s="14" t="s">
        <v>161</v>
      </c>
      <c r="C604" s="14" t="s">
        <v>38</v>
      </c>
      <c r="D604" t="s">
        <v>46</v>
      </c>
      <c r="E604" s="16" t="s">
        <v>133</v>
      </c>
      <c r="F604">
        <v>2029</v>
      </c>
      <c r="G604" s="12">
        <v>109676</v>
      </c>
      <c r="H604" s="13">
        <v>0.99</v>
      </c>
      <c r="I604" s="13"/>
      <c r="J604" s="13"/>
      <c r="K604" s="13"/>
      <c r="L604" s="13">
        <v>0.2</v>
      </c>
      <c r="M604" s="13">
        <v>0.25</v>
      </c>
    </row>
    <row r="605" spans="2:13" x14ac:dyDescent="0.25">
      <c r="B605" s="14" t="s">
        <v>161</v>
      </c>
      <c r="C605" s="14" t="s">
        <v>38</v>
      </c>
      <c r="D605" t="s">
        <v>46</v>
      </c>
      <c r="E605" s="16" t="s">
        <v>133</v>
      </c>
      <c r="F605">
        <v>2030</v>
      </c>
      <c r="G605" s="12">
        <v>111121</v>
      </c>
      <c r="H605" s="13">
        <v>0.99</v>
      </c>
      <c r="I605" s="13"/>
      <c r="J605" s="13"/>
      <c r="K605" s="13"/>
      <c r="L605" s="13">
        <v>0.2</v>
      </c>
      <c r="M605" s="13">
        <v>0.25</v>
      </c>
    </row>
    <row r="606" spans="2:13" x14ac:dyDescent="0.25">
      <c r="B606" s="14" t="s">
        <v>161</v>
      </c>
      <c r="C606" s="14" t="s">
        <v>52</v>
      </c>
      <c r="D606" t="s">
        <v>141</v>
      </c>
      <c r="E606" s="16" t="s">
        <v>133</v>
      </c>
      <c r="F606">
        <v>2028</v>
      </c>
      <c r="G606" s="12">
        <v>449241.1875</v>
      </c>
      <c r="H606" s="13">
        <v>0.85</v>
      </c>
      <c r="I606" s="13"/>
      <c r="J606" s="13"/>
      <c r="K606" s="13"/>
      <c r="L606" s="13"/>
      <c r="M606" s="13"/>
    </row>
    <row r="607" spans="2:13" x14ac:dyDescent="0.25">
      <c r="B607" s="14" t="s">
        <v>161</v>
      </c>
      <c r="C607" s="14" t="s">
        <v>52</v>
      </c>
      <c r="D607" t="s">
        <v>138</v>
      </c>
      <c r="E607" s="16" t="s">
        <v>133</v>
      </c>
      <c r="F607">
        <v>2026</v>
      </c>
      <c r="G607" s="12">
        <v>104764</v>
      </c>
      <c r="H607" s="13">
        <v>0.96</v>
      </c>
      <c r="I607" s="13">
        <v>0.91080000000000005</v>
      </c>
      <c r="J607" s="13"/>
      <c r="K607" s="13"/>
      <c r="L607" s="13"/>
      <c r="M607" s="13"/>
    </row>
    <row r="608" spans="2:13" x14ac:dyDescent="0.25">
      <c r="B608" s="14" t="s">
        <v>161</v>
      </c>
      <c r="C608" s="14" t="s">
        <v>52</v>
      </c>
      <c r="D608" t="s">
        <v>138</v>
      </c>
      <c r="E608" s="16" t="s">
        <v>133</v>
      </c>
      <c r="F608">
        <v>2027</v>
      </c>
      <c r="G608" s="12">
        <v>106156</v>
      </c>
      <c r="H608" s="13">
        <v>0.97</v>
      </c>
      <c r="I608" s="13">
        <v>0.90024300000000002</v>
      </c>
      <c r="J608" s="13"/>
      <c r="K608" s="13"/>
      <c r="L608" s="13"/>
      <c r="M608" s="13"/>
    </row>
    <row r="609" spans="2:13" x14ac:dyDescent="0.25">
      <c r="B609" s="14" t="s">
        <v>161</v>
      </c>
      <c r="C609" s="14" t="s">
        <v>52</v>
      </c>
      <c r="D609" t="s">
        <v>138</v>
      </c>
      <c r="E609" s="16" t="s">
        <v>133</v>
      </c>
      <c r="F609">
        <v>2028</v>
      </c>
      <c r="G609" s="12">
        <v>107963</v>
      </c>
      <c r="H609" s="13">
        <v>0.97</v>
      </c>
      <c r="I609" s="13">
        <v>0.90707400000000005</v>
      </c>
      <c r="J609" s="13"/>
      <c r="K609" s="13"/>
      <c r="L609" s="13"/>
      <c r="M609" s="13"/>
    </row>
    <row r="610" spans="2:13" x14ac:dyDescent="0.25">
      <c r="B610" s="14" t="s">
        <v>161</v>
      </c>
      <c r="C610" s="14" t="s">
        <v>52</v>
      </c>
      <c r="D610" t="s">
        <v>138</v>
      </c>
      <c r="E610" s="16" t="s">
        <v>133</v>
      </c>
      <c r="F610">
        <v>2029</v>
      </c>
      <c r="G610" s="12">
        <v>109676</v>
      </c>
      <c r="H610" s="13">
        <v>0.97</v>
      </c>
      <c r="I610" s="13">
        <v>0.91390499999999997</v>
      </c>
      <c r="J610" s="13"/>
      <c r="K610" s="13"/>
      <c r="L610" s="13"/>
      <c r="M610" s="13"/>
    </row>
    <row r="611" spans="2:13" x14ac:dyDescent="0.25">
      <c r="B611" s="14" t="s">
        <v>161</v>
      </c>
      <c r="C611" s="14" t="s">
        <v>52</v>
      </c>
      <c r="D611" t="s">
        <v>138</v>
      </c>
      <c r="E611" s="16" t="s">
        <v>133</v>
      </c>
      <c r="F611">
        <v>2030</v>
      </c>
      <c r="G611" s="12">
        <v>111121</v>
      </c>
      <c r="H611" s="13">
        <v>0.97</v>
      </c>
      <c r="I611" s="13">
        <v>0.920736</v>
      </c>
      <c r="J611" s="13"/>
      <c r="K611" s="13"/>
      <c r="L611" s="13"/>
      <c r="M611" s="13"/>
    </row>
    <row r="612" spans="2:13" x14ac:dyDescent="0.25">
      <c r="B612" s="14" t="s">
        <v>161</v>
      </c>
      <c r="C612" s="14" t="s">
        <v>146</v>
      </c>
      <c r="D612" t="s">
        <v>46</v>
      </c>
      <c r="E612" s="16" t="s">
        <v>133</v>
      </c>
      <c r="F612">
        <v>2030</v>
      </c>
      <c r="G612" s="12">
        <v>374.89010000000002</v>
      </c>
      <c r="H612" s="13"/>
      <c r="I612" s="13"/>
      <c r="J612" s="13"/>
      <c r="K612" s="13"/>
      <c r="L612" s="13"/>
      <c r="M612" s="13">
        <v>0.25</v>
      </c>
    </row>
    <row r="613" spans="2:13" x14ac:dyDescent="0.25">
      <c r="B613" s="14" t="s">
        <v>161</v>
      </c>
      <c r="C613" s="14" t="s">
        <v>139</v>
      </c>
      <c r="D613" t="s">
        <v>46</v>
      </c>
      <c r="E613" s="16" t="s">
        <v>133</v>
      </c>
      <c r="F613">
        <v>2026</v>
      </c>
      <c r="G613" s="12">
        <v>104764</v>
      </c>
      <c r="H613" s="13">
        <v>0.99</v>
      </c>
      <c r="I613" s="13">
        <v>0.99</v>
      </c>
      <c r="J613" s="13">
        <v>0</v>
      </c>
      <c r="K613" s="13"/>
      <c r="L613" s="13">
        <v>0.04</v>
      </c>
      <c r="M613" s="13">
        <v>0.25</v>
      </c>
    </row>
    <row r="614" spans="2:13" x14ac:dyDescent="0.25">
      <c r="B614" s="14" t="s">
        <v>161</v>
      </c>
      <c r="C614" s="14" t="s">
        <v>139</v>
      </c>
      <c r="D614" t="s">
        <v>46</v>
      </c>
      <c r="E614" s="16" t="s">
        <v>133</v>
      </c>
      <c r="F614">
        <v>2027</v>
      </c>
      <c r="G614" s="12">
        <v>106634.858261915</v>
      </c>
      <c r="H614" s="13">
        <v>0.72249486860000001</v>
      </c>
      <c r="I614" s="13">
        <v>0.72249486860000001</v>
      </c>
      <c r="J614" s="13">
        <v>0</v>
      </c>
      <c r="K614" s="13"/>
      <c r="L614" s="13">
        <v>0.04</v>
      </c>
      <c r="M614" s="13">
        <v>0.25</v>
      </c>
    </row>
    <row r="615" spans="2:13" x14ac:dyDescent="0.25">
      <c r="B615" s="14" t="s">
        <v>161</v>
      </c>
      <c r="C615" s="14" t="s">
        <v>139</v>
      </c>
      <c r="D615" t="s">
        <v>46</v>
      </c>
      <c r="E615" s="16" t="s">
        <v>133</v>
      </c>
      <c r="F615">
        <v>2028</v>
      </c>
      <c r="G615" s="12">
        <v>108449.854849343</v>
      </c>
      <c r="H615" s="13">
        <v>0.72909486859999995</v>
      </c>
      <c r="I615" s="13">
        <v>0.72909486859999995</v>
      </c>
      <c r="J615" s="13">
        <v>0</v>
      </c>
      <c r="K615" s="13"/>
      <c r="L615" s="13">
        <v>0.04</v>
      </c>
      <c r="M615" s="13">
        <v>0.25</v>
      </c>
    </row>
    <row r="616" spans="2:13" x14ac:dyDescent="0.25">
      <c r="B616" s="14" t="s">
        <v>161</v>
      </c>
      <c r="C616" s="14" t="s">
        <v>139</v>
      </c>
      <c r="D616" t="s">
        <v>46</v>
      </c>
      <c r="E616" s="16" t="s">
        <v>133</v>
      </c>
      <c r="F616">
        <v>2029</v>
      </c>
      <c r="G616" s="12">
        <v>110170.394423547</v>
      </c>
      <c r="H616" s="13">
        <v>0.7356948686</v>
      </c>
      <c r="I616" s="13">
        <v>0.7356948686</v>
      </c>
      <c r="J616" s="13">
        <v>0</v>
      </c>
      <c r="K616" s="13"/>
      <c r="L616" s="13">
        <v>0.04</v>
      </c>
      <c r="M616" s="13">
        <v>0.25</v>
      </c>
    </row>
    <row r="617" spans="2:13" x14ac:dyDescent="0.25">
      <c r="B617" s="15" t="s">
        <v>161</v>
      </c>
      <c r="C617" s="14" t="s">
        <v>139</v>
      </c>
      <c r="D617" t="s">
        <v>46</v>
      </c>
      <c r="E617" s="16" t="s">
        <v>133</v>
      </c>
      <c r="F617">
        <v>2030</v>
      </c>
      <c r="G617" s="12">
        <v>111621.782293404</v>
      </c>
      <c r="H617" s="13">
        <v>0.74229486860000005</v>
      </c>
      <c r="I617" s="13">
        <v>0.74229486860000005</v>
      </c>
      <c r="J617" s="13">
        <v>0</v>
      </c>
      <c r="K617" s="13"/>
      <c r="L617" s="13">
        <v>0.04</v>
      </c>
      <c r="M617" s="13">
        <v>0.25</v>
      </c>
    </row>
    <row r="618" spans="2:13" x14ac:dyDescent="0.25">
      <c r="B618" s="14" t="s">
        <v>162</v>
      </c>
      <c r="C618" s="14" t="s">
        <v>132</v>
      </c>
      <c r="D618" t="s">
        <v>46</v>
      </c>
      <c r="E618" s="16" t="s">
        <v>133</v>
      </c>
      <c r="F618">
        <v>2026</v>
      </c>
      <c r="G618" s="12">
        <v>4103191</v>
      </c>
      <c r="H618" s="13">
        <v>0.83</v>
      </c>
      <c r="I618" s="13">
        <v>0.79720000000000002</v>
      </c>
      <c r="J618" s="13">
        <v>0.75</v>
      </c>
      <c r="K618" s="13">
        <v>0</v>
      </c>
      <c r="L618" s="13">
        <v>0.04</v>
      </c>
      <c r="M618" s="13">
        <v>0.25</v>
      </c>
    </row>
    <row r="619" spans="2:13" x14ac:dyDescent="0.25">
      <c r="B619" s="14" t="s">
        <v>162</v>
      </c>
      <c r="C619" s="14" t="s">
        <v>132</v>
      </c>
      <c r="D619" t="s">
        <v>46</v>
      </c>
      <c r="E619" s="16" t="s">
        <v>133</v>
      </c>
      <c r="F619">
        <v>2027</v>
      </c>
      <c r="G619" s="12">
        <v>4139209</v>
      </c>
      <c r="H619" s="13">
        <v>0.84</v>
      </c>
      <c r="I619" s="13">
        <v>0.80720000000000003</v>
      </c>
      <c r="J619" s="13">
        <v>0.76</v>
      </c>
      <c r="K619" s="13">
        <v>0</v>
      </c>
      <c r="L619" s="13">
        <v>0.04</v>
      </c>
      <c r="M619" s="13">
        <v>0.25</v>
      </c>
    </row>
    <row r="620" spans="2:13" x14ac:dyDescent="0.25">
      <c r="B620" s="14" t="s">
        <v>162</v>
      </c>
      <c r="C620" s="14" t="s">
        <v>132</v>
      </c>
      <c r="D620" t="s">
        <v>46</v>
      </c>
      <c r="E620" s="16" t="s">
        <v>133</v>
      </c>
      <c r="F620">
        <v>2028</v>
      </c>
      <c r="G620" s="12">
        <v>4175543.1676665801</v>
      </c>
      <c r="H620" s="13">
        <v>0.42330000000000001</v>
      </c>
      <c r="I620" s="13">
        <v>0.40689999999999998</v>
      </c>
      <c r="J620" s="13">
        <v>0.38329999999999997</v>
      </c>
      <c r="K620" s="13">
        <v>0</v>
      </c>
      <c r="L620" s="13">
        <v>0.04</v>
      </c>
      <c r="M620" s="13">
        <v>0.25</v>
      </c>
    </row>
    <row r="621" spans="2:13" x14ac:dyDescent="0.25">
      <c r="B621" s="14" t="s">
        <v>162</v>
      </c>
      <c r="C621" s="14" t="s">
        <v>132</v>
      </c>
      <c r="D621" t="s">
        <v>46</v>
      </c>
      <c r="E621" s="16" t="s">
        <v>133</v>
      </c>
      <c r="F621">
        <v>2029</v>
      </c>
      <c r="G621" s="12">
        <v>3778996.91268552</v>
      </c>
      <c r="H621" s="13">
        <v>0</v>
      </c>
      <c r="I621" s="13">
        <v>0</v>
      </c>
      <c r="J621" s="13">
        <v>0</v>
      </c>
      <c r="K621" s="13">
        <v>0</v>
      </c>
      <c r="L621" s="13">
        <v>0.04</v>
      </c>
      <c r="M621" s="13">
        <v>0.25</v>
      </c>
    </row>
    <row r="622" spans="2:13" x14ac:dyDescent="0.25">
      <c r="B622" s="14" t="s">
        <v>162</v>
      </c>
      <c r="C622" s="14" t="s">
        <v>70</v>
      </c>
      <c r="D622" t="s">
        <v>46</v>
      </c>
      <c r="E622" s="16" t="s">
        <v>133</v>
      </c>
      <c r="F622">
        <v>2026</v>
      </c>
      <c r="G622" s="12">
        <v>4103191</v>
      </c>
      <c r="H622" s="13">
        <v>0.74</v>
      </c>
      <c r="I622" s="13">
        <v>0.63</v>
      </c>
      <c r="J622" s="13">
        <v>0</v>
      </c>
      <c r="K622" s="13">
        <v>0</v>
      </c>
      <c r="L622" s="13">
        <v>7.0000000000000007E-2</v>
      </c>
      <c r="M622" s="13">
        <v>0.25</v>
      </c>
    </row>
    <row r="623" spans="2:13" x14ac:dyDescent="0.25">
      <c r="B623" s="14" t="s">
        <v>162</v>
      </c>
      <c r="C623" s="14" t="s">
        <v>70</v>
      </c>
      <c r="D623" t="s">
        <v>46</v>
      </c>
      <c r="E623" s="16" t="s">
        <v>133</v>
      </c>
      <c r="F623">
        <v>2027</v>
      </c>
      <c r="G623" s="12">
        <v>4139209</v>
      </c>
      <c r="H623" s="13">
        <v>0.75</v>
      </c>
      <c r="I623" s="13">
        <v>0.64</v>
      </c>
      <c r="J623" s="13">
        <v>0</v>
      </c>
      <c r="K623" s="13">
        <v>0</v>
      </c>
      <c r="L623" s="13">
        <v>7.0000000000000007E-2</v>
      </c>
      <c r="M623" s="13">
        <v>0.25</v>
      </c>
    </row>
    <row r="624" spans="2:13" x14ac:dyDescent="0.25">
      <c r="B624" s="14" t="s">
        <v>162</v>
      </c>
      <c r="C624" s="14" t="s">
        <v>70</v>
      </c>
      <c r="D624" t="s">
        <v>46</v>
      </c>
      <c r="E624" s="16" t="s">
        <v>133</v>
      </c>
      <c r="F624">
        <v>2028</v>
      </c>
      <c r="G624" s="12">
        <v>4175543.1676665801</v>
      </c>
      <c r="H624" s="13">
        <v>0.37830000000000003</v>
      </c>
      <c r="I624" s="13">
        <v>0.32329999999999998</v>
      </c>
      <c r="J624" s="13">
        <v>3.3E-3</v>
      </c>
      <c r="K624" s="13">
        <v>0</v>
      </c>
      <c r="L624" s="13">
        <v>7.0000000000000007E-2</v>
      </c>
      <c r="M624" s="13">
        <v>0.25</v>
      </c>
    </row>
    <row r="625" spans="2:13" x14ac:dyDescent="0.25">
      <c r="B625" s="14" t="s">
        <v>162</v>
      </c>
      <c r="C625" s="14" t="s">
        <v>70</v>
      </c>
      <c r="D625" t="s">
        <v>46</v>
      </c>
      <c r="E625" s="16" t="s">
        <v>133</v>
      </c>
      <c r="F625">
        <v>2029</v>
      </c>
      <c r="G625" s="12">
        <v>3778996.91268552</v>
      </c>
      <c r="H625" s="13">
        <v>0</v>
      </c>
      <c r="I625" s="13">
        <v>0</v>
      </c>
      <c r="J625" s="13">
        <v>0</v>
      </c>
      <c r="K625" s="13">
        <v>0</v>
      </c>
      <c r="L625" s="13">
        <v>7.0000000000000007E-2</v>
      </c>
      <c r="M625" s="13">
        <v>0.25</v>
      </c>
    </row>
    <row r="626" spans="2:13" x14ac:dyDescent="0.25">
      <c r="B626" s="14" t="s">
        <v>162</v>
      </c>
      <c r="C626" s="14" t="s">
        <v>134</v>
      </c>
      <c r="D626" t="s">
        <v>46</v>
      </c>
      <c r="E626" s="16" t="s">
        <v>133</v>
      </c>
      <c r="F626">
        <v>2027</v>
      </c>
      <c r="G626" s="12">
        <v>3723100.1612956799</v>
      </c>
      <c r="H626" s="13">
        <v>0</v>
      </c>
      <c r="I626" s="13">
        <v>0</v>
      </c>
      <c r="J626" s="13">
        <v>0</v>
      </c>
      <c r="K626" s="13">
        <v>0</v>
      </c>
      <c r="L626" s="13">
        <v>7.0000000000000007E-2</v>
      </c>
      <c r="M626" s="13">
        <v>0.25</v>
      </c>
    </row>
    <row r="627" spans="2:13" x14ac:dyDescent="0.25">
      <c r="B627" s="14" t="s">
        <v>162</v>
      </c>
      <c r="C627" s="14" t="s">
        <v>134</v>
      </c>
      <c r="D627" t="s">
        <v>46</v>
      </c>
      <c r="E627" s="16" t="s">
        <v>133</v>
      </c>
      <c r="F627">
        <v>2028</v>
      </c>
      <c r="G627" s="12">
        <v>4175543.1676665801</v>
      </c>
      <c r="H627" s="13">
        <v>0.44</v>
      </c>
      <c r="I627" s="13">
        <v>0.42499999999999999</v>
      </c>
      <c r="J627" s="13">
        <v>0.4</v>
      </c>
      <c r="K627" s="13">
        <v>0</v>
      </c>
      <c r="L627" s="13">
        <v>7.0000000000000007E-2</v>
      </c>
      <c r="M627" s="13">
        <v>0.25</v>
      </c>
    </row>
    <row r="628" spans="2:13" x14ac:dyDescent="0.25">
      <c r="B628" s="14" t="s">
        <v>162</v>
      </c>
      <c r="C628" s="14" t="s">
        <v>134</v>
      </c>
      <c r="D628" t="s">
        <v>46</v>
      </c>
      <c r="E628" s="16" t="s">
        <v>133</v>
      </c>
      <c r="F628">
        <v>2029</v>
      </c>
      <c r="G628" s="12">
        <v>3778996.91268552</v>
      </c>
      <c r="H628" s="13">
        <v>0.69863344790000004</v>
      </c>
      <c r="I628" s="13">
        <v>0.66845398489999996</v>
      </c>
      <c r="J628" s="13">
        <v>0.62502500169999997</v>
      </c>
      <c r="K628" s="13">
        <v>0</v>
      </c>
      <c r="L628" s="13">
        <v>7.0000000000000007E-2</v>
      </c>
      <c r="M628" s="13">
        <v>0.25</v>
      </c>
    </row>
    <row r="629" spans="2:13" x14ac:dyDescent="0.25">
      <c r="B629" s="14" t="s">
        <v>162</v>
      </c>
      <c r="C629" s="14" t="s">
        <v>134</v>
      </c>
      <c r="D629" t="s">
        <v>46</v>
      </c>
      <c r="E629" s="16" t="s">
        <v>133</v>
      </c>
      <c r="F629">
        <v>2030</v>
      </c>
      <c r="G629" s="12">
        <v>3802269.8359839902</v>
      </c>
      <c r="H629" s="13">
        <v>0.70523344789999998</v>
      </c>
      <c r="I629" s="13">
        <v>0.67505398490000001</v>
      </c>
      <c r="J629" s="13">
        <v>0.63162500170000002</v>
      </c>
      <c r="K629" s="13">
        <v>0</v>
      </c>
      <c r="L629" s="13">
        <v>7.0000000000000007E-2</v>
      </c>
      <c r="M629" s="13">
        <v>0.25</v>
      </c>
    </row>
    <row r="630" spans="2:13" x14ac:dyDescent="0.25">
      <c r="B630" s="14" t="s">
        <v>162</v>
      </c>
      <c r="C630" s="14" t="s">
        <v>72</v>
      </c>
      <c r="D630" t="s">
        <v>46</v>
      </c>
      <c r="E630" s="16" t="s">
        <v>133</v>
      </c>
      <c r="F630">
        <v>2026</v>
      </c>
      <c r="G630" s="12">
        <v>4103191</v>
      </c>
      <c r="H630" s="13">
        <v>0.83</v>
      </c>
      <c r="I630" s="13">
        <v>0.79720000000000002</v>
      </c>
      <c r="J630" s="13">
        <v>0.75</v>
      </c>
      <c r="K630" s="13"/>
      <c r="L630" s="13">
        <v>7.0000000000000007E-2</v>
      </c>
      <c r="M630" s="13">
        <v>0.25</v>
      </c>
    </row>
    <row r="631" spans="2:13" x14ac:dyDescent="0.25">
      <c r="B631" s="14" t="s">
        <v>162</v>
      </c>
      <c r="C631" s="14" t="s">
        <v>72</v>
      </c>
      <c r="D631" t="s">
        <v>46</v>
      </c>
      <c r="E631" s="16" t="s">
        <v>133</v>
      </c>
      <c r="F631">
        <v>2027</v>
      </c>
      <c r="G631" s="12">
        <v>4139209</v>
      </c>
      <c r="H631" s="13">
        <v>0.84</v>
      </c>
      <c r="I631" s="13">
        <v>0.80720000000000003</v>
      </c>
      <c r="J631" s="13">
        <v>0.76</v>
      </c>
      <c r="K631" s="13"/>
      <c r="L631" s="13">
        <v>7.0000000000000007E-2</v>
      </c>
      <c r="M631" s="13">
        <v>0.25</v>
      </c>
    </row>
    <row r="632" spans="2:13" x14ac:dyDescent="0.25">
      <c r="B632" s="14" t="s">
        <v>162</v>
      </c>
      <c r="C632" s="14" t="s">
        <v>72</v>
      </c>
      <c r="D632" t="s">
        <v>46</v>
      </c>
      <c r="E632" s="16" t="s">
        <v>133</v>
      </c>
      <c r="F632">
        <v>2028</v>
      </c>
      <c r="G632" s="12">
        <v>4171076</v>
      </c>
      <c r="H632" s="13">
        <v>0.85</v>
      </c>
      <c r="I632" s="13">
        <v>0.81720000000000004</v>
      </c>
      <c r="J632" s="13">
        <v>0.77</v>
      </c>
      <c r="K632" s="13"/>
      <c r="L632" s="13">
        <v>7.0000000000000007E-2</v>
      </c>
      <c r="M632" s="13">
        <v>0.25</v>
      </c>
    </row>
    <row r="633" spans="2:13" x14ac:dyDescent="0.25">
      <c r="B633" s="14" t="s">
        <v>162</v>
      </c>
      <c r="C633" s="14" t="s">
        <v>72</v>
      </c>
      <c r="D633" t="s">
        <v>46</v>
      </c>
      <c r="E633" s="16" t="s">
        <v>133</v>
      </c>
      <c r="F633">
        <v>2029</v>
      </c>
      <c r="G633" s="12">
        <v>3778996.91268552</v>
      </c>
      <c r="H633" s="13">
        <v>0.58460210160000003</v>
      </c>
      <c r="I633" s="13">
        <v>0.55949222499999995</v>
      </c>
      <c r="J633" s="13">
        <v>0.52335850019999997</v>
      </c>
      <c r="K633" s="13"/>
      <c r="L633" s="13">
        <v>7.0000000000000007E-2</v>
      </c>
      <c r="M633" s="13">
        <v>0.25</v>
      </c>
    </row>
    <row r="634" spans="2:13" x14ac:dyDescent="0.25">
      <c r="B634" s="14" t="s">
        <v>162</v>
      </c>
      <c r="C634" s="14" t="s">
        <v>72</v>
      </c>
      <c r="D634" t="s">
        <v>46</v>
      </c>
      <c r="E634" s="16" t="s">
        <v>133</v>
      </c>
      <c r="F634">
        <v>2030</v>
      </c>
      <c r="G634" s="12">
        <v>3802269.8359839902</v>
      </c>
      <c r="H634" s="13">
        <v>0.59120210159999997</v>
      </c>
      <c r="I634" s="13">
        <v>0.566092225</v>
      </c>
      <c r="J634" s="13">
        <v>0.52995850020000002</v>
      </c>
      <c r="K634" s="13"/>
      <c r="L634" s="13">
        <v>7.0000000000000007E-2</v>
      </c>
      <c r="M634" s="13">
        <v>0.25</v>
      </c>
    </row>
    <row r="635" spans="2:13" x14ac:dyDescent="0.25">
      <c r="B635" s="14" t="s">
        <v>162</v>
      </c>
      <c r="C635" s="14" t="s">
        <v>102</v>
      </c>
      <c r="D635" t="s">
        <v>46</v>
      </c>
      <c r="E635" s="16" t="s">
        <v>133</v>
      </c>
      <c r="F635">
        <v>2026</v>
      </c>
      <c r="G635" s="12">
        <v>3012546</v>
      </c>
      <c r="H635" s="13">
        <v>1</v>
      </c>
      <c r="I635" s="13"/>
      <c r="J635" s="13"/>
      <c r="K635" s="13"/>
      <c r="L635" s="13">
        <v>7.0000000000000007E-2</v>
      </c>
      <c r="M635" s="13">
        <v>0.25</v>
      </c>
    </row>
    <row r="636" spans="2:13" x14ac:dyDescent="0.25">
      <c r="B636" s="14" t="s">
        <v>162</v>
      </c>
      <c r="C636" s="14" t="s">
        <v>102</v>
      </c>
      <c r="D636" t="s">
        <v>46</v>
      </c>
      <c r="E636" s="16" t="s">
        <v>133</v>
      </c>
      <c r="F636">
        <v>2027</v>
      </c>
      <c r="G636" s="12">
        <v>3038990.2678461699</v>
      </c>
      <c r="H636" s="13">
        <v>1</v>
      </c>
      <c r="I636" s="13"/>
      <c r="J636" s="13"/>
      <c r="K636" s="13"/>
      <c r="L636" s="13">
        <v>7.0000000000000007E-2</v>
      </c>
      <c r="M636" s="13">
        <v>0.25</v>
      </c>
    </row>
    <row r="637" spans="2:13" x14ac:dyDescent="0.25">
      <c r="B637" s="14" t="s">
        <v>162</v>
      </c>
      <c r="C637" s="14" t="s">
        <v>102</v>
      </c>
      <c r="D637" t="s">
        <v>46</v>
      </c>
      <c r="E637" s="16" t="s">
        <v>133</v>
      </c>
      <c r="F637">
        <v>2028</v>
      </c>
      <c r="G637" s="12">
        <v>3062386.8885206701</v>
      </c>
      <c r="H637" s="13">
        <v>1</v>
      </c>
      <c r="I637" s="13"/>
      <c r="J637" s="13"/>
      <c r="K637" s="13"/>
      <c r="L637" s="13">
        <v>7.0000000000000007E-2</v>
      </c>
      <c r="M637" s="13">
        <v>0.25</v>
      </c>
    </row>
    <row r="638" spans="2:13" x14ac:dyDescent="0.25">
      <c r="B638" s="14" t="s">
        <v>162</v>
      </c>
      <c r="C638" s="14" t="s">
        <v>102</v>
      </c>
      <c r="D638" t="s">
        <v>46</v>
      </c>
      <c r="E638" s="16" t="s">
        <v>133</v>
      </c>
      <c r="F638">
        <v>2029</v>
      </c>
      <c r="G638" s="12">
        <v>3084616.1377176899</v>
      </c>
      <c r="H638" s="13">
        <v>1</v>
      </c>
      <c r="I638" s="13"/>
      <c r="J638" s="13"/>
      <c r="K638" s="13"/>
      <c r="L638" s="13">
        <v>7.0000000000000007E-2</v>
      </c>
      <c r="M638" s="13">
        <v>0.25</v>
      </c>
    </row>
    <row r="639" spans="2:13" x14ac:dyDescent="0.25">
      <c r="B639" s="14" t="s">
        <v>162</v>
      </c>
      <c r="C639" s="14" t="s">
        <v>102</v>
      </c>
      <c r="D639" t="s">
        <v>46</v>
      </c>
      <c r="E639" s="16" t="s">
        <v>133</v>
      </c>
      <c r="F639">
        <v>2030</v>
      </c>
      <c r="G639" s="12">
        <v>3103612.7223768001</v>
      </c>
      <c r="H639" s="13">
        <v>1</v>
      </c>
      <c r="I639" s="13"/>
      <c r="J639" s="13"/>
      <c r="K639" s="13"/>
      <c r="L639" s="13">
        <v>7.0000000000000007E-2</v>
      </c>
      <c r="M639" s="13">
        <v>0.25</v>
      </c>
    </row>
    <row r="640" spans="2:13" x14ac:dyDescent="0.25">
      <c r="B640" s="14" t="s">
        <v>162</v>
      </c>
      <c r="C640" s="14" t="s">
        <v>15</v>
      </c>
      <c r="D640" t="s">
        <v>46</v>
      </c>
      <c r="E640" s="16" t="s">
        <v>133</v>
      </c>
      <c r="F640">
        <v>2026</v>
      </c>
      <c r="G640" s="12">
        <v>1589461</v>
      </c>
      <c r="H640" s="13">
        <v>0.95</v>
      </c>
      <c r="I640" s="13"/>
      <c r="J640" s="13"/>
      <c r="K640" s="13"/>
      <c r="L640" s="13">
        <v>0.05</v>
      </c>
      <c r="M640" s="13">
        <v>0.25</v>
      </c>
    </row>
    <row r="641" spans="2:13" x14ac:dyDescent="0.25">
      <c r="B641" s="14" t="s">
        <v>162</v>
      </c>
      <c r="C641" s="14" t="s">
        <v>15</v>
      </c>
      <c r="D641" t="s">
        <v>46</v>
      </c>
      <c r="E641" s="16" t="s">
        <v>133</v>
      </c>
      <c r="F641">
        <v>2027</v>
      </c>
      <c r="G641" s="12">
        <v>1596717</v>
      </c>
      <c r="H641" s="13">
        <v>0.95</v>
      </c>
      <c r="I641" s="13"/>
      <c r="J641" s="13"/>
      <c r="K641" s="13"/>
      <c r="L641" s="13">
        <v>0.05</v>
      </c>
      <c r="M641" s="13">
        <v>0.25</v>
      </c>
    </row>
    <row r="642" spans="2:13" x14ac:dyDescent="0.25">
      <c r="B642" s="14" t="s">
        <v>162</v>
      </c>
      <c r="C642" s="14" t="s">
        <v>15</v>
      </c>
      <c r="D642" t="s">
        <v>46</v>
      </c>
      <c r="E642" s="16" t="s">
        <v>133</v>
      </c>
      <c r="F642">
        <v>2028</v>
      </c>
      <c r="G642" s="12">
        <v>1651599</v>
      </c>
      <c r="H642" s="13">
        <v>0.95</v>
      </c>
      <c r="I642" s="13"/>
      <c r="J642" s="13"/>
      <c r="K642" s="13"/>
      <c r="L642" s="13">
        <v>0.05</v>
      </c>
      <c r="M642" s="13">
        <v>0.25</v>
      </c>
    </row>
    <row r="643" spans="2:13" x14ac:dyDescent="0.25">
      <c r="B643" s="14" t="s">
        <v>162</v>
      </c>
      <c r="C643" s="14" t="s">
        <v>15</v>
      </c>
      <c r="D643" t="s">
        <v>46</v>
      </c>
      <c r="E643" s="16" t="s">
        <v>133</v>
      </c>
      <c r="F643">
        <v>2029</v>
      </c>
      <c r="G643" s="12">
        <v>1698128</v>
      </c>
      <c r="H643" s="13">
        <v>0.61299999999999999</v>
      </c>
      <c r="I643" s="13"/>
      <c r="J643" s="13"/>
      <c r="K643" s="13"/>
      <c r="L643" s="13">
        <v>0.05</v>
      </c>
      <c r="M643" s="13">
        <v>0.25</v>
      </c>
    </row>
    <row r="644" spans="2:13" x14ac:dyDescent="0.25">
      <c r="B644" s="14" t="s">
        <v>162</v>
      </c>
      <c r="C644" s="14" t="s">
        <v>15</v>
      </c>
      <c r="D644" t="s">
        <v>46</v>
      </c>
      <c r="E644" s="16" t="s">
        <v>133</v>
      </c>
      <c r="F644">
        <v>2030</v>
      </c>
      <c r="G644" s="12">
        <v>1730261</v>
      </c>
      <c r="H644" s="13">
        <v>0.61960000000000004</v>
      </c>
      <c r="I644" s="13"/>
      <c r="J644" s="13"/>
      <c r="K644" s="13"/>
      <c r="L644" s="13">
        <v>0.05</v>
      </c>
      <c r="M644" s="13">
        <v>0.25</v>
      </c>
    </row>
    <row r="645" spans="2:13" x14ac:dyDescent="0.25">
      <c r="B645" s="14" t="s">
        <v>162</v>
      </c>
      <c r="C645" s="14" t="s">
        <v>145</v>
      </c>
      <c r="D645" t="s">
        <v>46</v>
      </c>
      <c r="E645" s="16" t="s">
        <v>133</v>
      </c>
      <c r="F645">
        <v>2026</v>
      </c>
      <c r="G645" s="12">
        <v>97096</v>
      </c>
      <c r="H645" s="13">
        <v>0.71499999999999997</v>
      </c>
      <c r="I645" s="13">
        <v>0.63500000000000001</v>
      </c>
      <c r="J645" s="13">
        <v>0.60499999999999998</v>
      </c>
      <c r="K645" s="13">
        <v>0.46</v>
      </c>
      <c r="L645" s="13"/>
      <c r="M645" s="13">
        <v>0.25</v>
      </c>
    </row>
    <row r="646" spans="2:13" x14ac:dyDescent="0.25">
      <c r="B646" s="14" t="s">
        <v>162</v>
      </c>
      <c r="C646" s="14" t="s">
        <v>145</v>
      </c>
      <c r="D646" t="s">
        <v>46</v>
      </c>
      <c r="E646" s="16" t="s">
        <v>133</v>
      </c>
      <c r="F646">
        <v>2027</v>
      </c>
      <c r="G646" s="12">
        <v>229926.044624078</v>
      </c>
      <c r="H646" s="13">
        <v>0.72</v>
      </c>
      <c r="I646" s="13">
        <v>0.64</v>
      </c>
      <c r="J646" s="13">
        <v>0.61</v>
      </c>
      <c r="K646" s="13">
        <v>0.46500000000000002</v>
      </c>
      <c r="L646" s="13"/>
      <c r="M646" s="13">
        <v>0.25</v>
      </c>
    </row>
    <row r="647" spans="2:13" x14ac:dyDescent="0.25">
      <c r="B647" s="14" t="s">
        <v>162</v>
      </c>
      <c r="C647" s="14" t="s">
        <v>145</v>
      </c>
      <c r="D647" t="s">
        <v>46</v>
      </c>
      <c r="E647" s="16" t="s">
        <v>133</v>
      </c>
      <c r="F647">
        <v>2028</v>
      </c>
      <c r="G647" s="12">
        <v>231619.71219803701</v>
      </c>
      <c r="H647" s="13">
        <v>0.72499999999999998</v>
      </c>
      <c r="I647" s="13">
        <v>0.64500000000000002</v>
      </c>
      <c r="J647" s="13">
        <v>0.61499999999999999</v>
      </c>
      <c r="K647" s="13">
        <v>0.47</v>
      </c>
      <c r="L647" s="13"/>
      <c r="M647" s="13">
        <v>0.25</v>
      </c>
    </row>
    <row r="648" spans="2:13" x14ac:dyDescent="0.25">
      <c r="B648" s="14" t="s">
        <v>162</v>
      </c>
      <c r="C648" s="14" t="s">
        <v>145</v>
      </c>
      <c r="D648" t="s">
        <v>46</v>
      </c>
      <c r="E648" s="16" t="s">
        <v>133</v>
      </c>
      <c r="F648">
        <v>2029</v>
      </c>
      <c r="G648" s="12">
        <v>232865.583366095</v>
      </c>
      <c r="H648" s="13">
        <v>0.73</v>
      </c>
      <c r="I648" s="13">
        <v>0.65</v>
      </c>
      <c r="J648" s="13">
        <v>0.62</v>
      </c>
      <c r="K648" s="13">
        <v>0.47499999999999998</v>
      </c>
      <c r="L648" s="13"/>
      <c r="M648" s="13">
        <v>0.25</v>
      </c>
    </row>
    <row r="649" spans="2:13" x14ac:dyDescent="0.25">
      <c r="B649" s="14" t="s">
        <v>162</v>
      </c>
      <c r="C649" s="14" t="s">
        <v>145</v>
      </c>
      <c r="D649" t="s">
        <v>46</v>
      </c>
      <c r="E649" s="16" t="s">
        <v>133</v>
      </c>
      <c r="F649">
        <v>2030</v>
      </c>
      <c r="G649" s="12">
        <v>233752.326675171</v>
      </c>
      <c r="H649" s="13">
        <v>0.73499999999999999</v>
      </c>
      <c r="I649" s="13">
        <v>0.65500000000000003</v>
      </c>
      <c r="J649" s="13">
        <v>0.625</v>
      </c>
      <c r="K649" s="13">
        <v>0.48</v>
      </c>
      <c r="L649" s="13"/>
      <c r="M649" s="13">
        <v>0.25</v>
      </c>
    </row>
    <row r="650" spans="2:13" x14ac:dyDescent="0.25">
      <c r="B650" s="14" t="s">
        <v>162</v>
      </c>
      <c r="C650" s="14" t="s">
        <v>121</v>
      </c>
      <c r="D650" t="s">
        <v>138</v>
      </c>
      <c r="E650" s="16" t="s">
        <v>133</v>
      </c>
      <c r="F650">
        <v>2026</v>
      </c>
      <c r="G650" s="12">
        <v>4103191</v>
      </c>
      <c r="H650" s="13">
        <v>0.74</v>
      </c>
      <c r="I650" s="13">
        <v>0.61</v>
      </c>
      <c r="J650" s="13"/>
      <c r="K650" s="13"/>
      <c r="L650" s="13"/>
      <c r="M650" s="13"/>
    </row>
    <row r="651" spans="2:13" x14ac:dyDescent="0.25">
      <c r="B651" s="14" t="s">
        <v>162</v>
      </c>
      <c r="C651" s="14" t="s">
        <v>121</v>
      </c>
      <c r="D651" t="s">
        <v>138</v>
      </c>
      <c r="E651" s="16" t="s">
        <v>133</v>
      </c>
      <c r="F651">
        <v>2027</v>
      </c>
      <c r="G651" s="12">
        <v>4139209</v>
      </c>
      <c r="H651" s="13">
        <v>0.75</v>
      </c>
      <c r="I651" s="13">
        <v>0.62</v>
      </c>
      <c r="J651" s="13"/>
      <c r="K651" s="13"/>
      <c r="L651" s="13"/>
      <c r="M651" s="13"/>
    </row>
    <row r="652" spans="2:13" x14ac:dyDescent="0.25">
      <c r="B652" s="14" t="s">
        <v>162</v>
      </c>
      <c r="C652" s="14" t="s">
        <v>52</v>
      </c>
      <c r="D652" t="s">
        <v>137</v>
      </c>
      <c r="E652" s="16" t="s">
        <v>133</v>
      </c>
      <c r="F652">
        <v>2028</v>
      </c>
      <c r="G652" s="12">
        <v>40662762.954545498</v>
      </c>
      <c r="H652" s="13">
        <v>0.85</v>
      </c>
      <c r="I652" s="13"/>
      <c r="J652" s="13"/>
      <c r="K652" s="13"/>
      <c r="L652" s="13"/>
      <c r="M652" s="13"/>
    </row>
    <row r="653" spans="2:13" x14ac:dyDescent="0.25">
      <c r="B653" s="14" t="s">
        <v>162</v>
      </c>
      <c r="C653" s="14" t="s">
        <v>52</v>
      </c>
      <c r="D653" t="s">
        <v>138</v>
      </c>
      <c r="E653" s="16" t="s">
        <v>133</v>
      </c>
      <c r="F653">
        <v>2028</v>
      </c>
      <c r="G653" s="12">
        <v>4175543.1676665801</v>
      </c>
      <c r="H653" s="13">
        <v>0.76</v>
      </c>
      <c r="I653" s="13">
        <v>0.63</v>
      </c>
      <c r="J653" s="13"/>
      <c r="K653" s="13"/>
      <c r="L653" s="13"/>
      <c r="M653" s="13"/>
    </row>
    <row r="654" spans="2:13" x14ac:dyDescent="0.25">
      <c r="B654" s="14" t="s">
        <v>162</v>
      </c>
      <c r="C654" s="14" t="s">
        <v>52</v>
      </c>
      <c r="D654" t="s">
        <v>138</v>
      </c>
      <c r="E654" s="16" t="s">
        <v>133</v>
      </c>
      <c r="F654">
        <v>2029</v>
      </c>
      <c r="G654" s="12">
        <v>3767320</v>
      </c>
      <c r="H654" s="13">
        <v>0.64</v>
      </c>
      <c r="I654" s="13">
        <v>0.51749999999999996</v>
      </c>
      <c r="J654" s="13"/>
      <c r="K654" s="13"/>
      <c r="L654" s="13"/>
      <c r="M654" s="13"/>
    </row>
    <row r="655" spans="2:13" x14ac:dyDescent="0.25">
      <c r="B655" s="14" t="s">
        <v>162</v>
      </c>
      <c r="C655" s="14" t="s">
        <v>52</v>
      </c>
      <c r="D655" t="s">
        <v>138</v>
      </c>
      <c r="E655" s="16" t="s">
        <v>133</v>
      </c>
      <c r="F655">
        <v>2030</v>
      </c>
      <c r="G655" s="12">
        <v>3790521</v>
      </c>
      <c r="H655" s="13">
        <v>0.64</v>
      </c>
      <c r="I655" s="13">
        <v>0.51749999999999996</v>
      </c>
      <c r="J655" s="13"/>
      <c r="K655" s="13"/>
      <c r="L655" s="13"/>
      <c r="M655" s="13"/>
    </row>
    <row r="656" spans="2:13" x14ac:dyDescent="0.25">
      <c r="B656" s="14" t="s">
        <v>162</v>
      </c>
      <c r="C656" s="14" t="s">
        <v>139</v>
      </c>
      <c r="D656" t="s">
        <v>46</v>
      </c>
      <c r="E656" s="16" t="s">
        <v>133</v>
      </c>
      <c r="F656">
        <v>2026</v>
      </c>
      <c r="G656" s="12">
        <v>4103191</v>
      </c>
      <c r="H656" s="13">
        <v>0.83</v>
      </c>
      <c r="I656" s="13">
        <v>0.79720000000000002</v>
      </c>
      <c r="J656" s="13">
        <v>0.79720000000000002</v>
      </c>
      <c r="K656" s="13"/>
      <c r="L656" s="13">
        <v>0.04</v>
      </c>
      <c r="M656" s="13">
        <v>0.25</v>
      </c>
    </row>
    <row r="657" spans="2:13" x14ac:dyDescent="0.25">
      <c r="B657" s="14" t="s">
        <v>162</v>
      </c>
      <c r="C657" s="14" t="s">
        <v>139</v>
      </c>
      <c r="D657" t="s">
        <v>46</v>
      </c>
      <c r="E657" s="16" t="s">
        <v>133</v>
      </c>
      <c r="F657">
        <v>2027</v>
      </c>
      <c r="G657" s="12">
        <v>4139209</v>
      </c>
      <c r="H657" s="13">
        <v>0.84</v>
      </c>
      <c r="I657" s="13">
        <v>0.80720000000000003</v>
      </c>
      <c r="J657" s="13">
        <v>0.80720000000000003</v>
      </c>
      <c r="K657" s="13"/>
      <c r="L657" s="13">
        <v>0.04</v>
      </c>
      <c r="M657" s="13">
        <v>0.25</v>
      </c>
    </row>
    <row r="658" spans="2:13" x14ac:dyDescent="0.25">
      <c r="B658" s="14" t="s">
        <v>162</v>
      </c>
      <c r="C658" s="14" t="s">
        <v>139</v>
      </c>
      <c r="D658" t="s">
        <v>46</v>
      </c>
      <c r="E658" s="16" t="s">
        <v>133</v>
      </c>
      <c r="F658">
        <v>2028</v>
      </c>
      <c r="G658" s="12">
        <v>4171076</v>
      </c>
      <c r="H658" s="13">
        <v>0.85</v>
      </c>
      <c r="I658" s="13">
        <v>0.81720000000000004</v>
      </c>
      <c r="J658" s="13">
        <v>0.81720000000000004</v>
      </c>
      <c r="K658" s="13"/>
      <c r="L658" s="13">
        <v>0.04</v>
      </c>
      <c r="M658" s="13">
        <v>0.25</v>
      </c>
    </row>
    <row r="659" spans="2:13" x14ac:dyDescent="0.25">
      <c r="B659" s="14" t="s">
        <v>162</v>
      </c>
      <c r="C659" s="14" t="s">
        <v>139</v>
      </c>
      <c r="D659" t="s">
        <v>46</v>
      </c>
      <c r="E659" s="16" t="s">
        <v>133</v>
      </c>
      <c r="F659">
        <v>2029</v>
      </c>
      <c r="G659" s="12">
        <v>3778996.91268552</v>
      </c>
      <c r="H659" s="13">
        <v>0.8498</v>
      </c>
      <c r="I659" s="13">
        <v>0.83135000000000003</v>
      </c>
      <c r="J659" s="13">
        <v>0.80479999999999996</v>
      </c>
      <c r="K659" s="13"/>
      <c r="L659" s="13">
        <v>0.04</v>
      </c>
      <c r="M659" s="13">
        <v>0.25</v>
      </c>
    </row>
    <row r="660" spans="2:13" x14ac:dyDescent="0.25">
      <c r="B660" s="14" t="s">
        <v>162</v>
      </c>
      <c r="C660" s="14" t="s">
        <v>139</v>
      </c>
      <c r="D660" t="s">
        <v>46</v>
      </c>
      <c r="E660" s="16" t="s">
        <v>133</v>
      </c>
      <c r="F660">
        <v>2030</v>
      </c>
      <c r="G660" s="12">
        <v>3802269.8359839902</v>
      </c>
      <c r="H660" s="13">
        <v>0.85640000000000005</v>
      </c>
      <c r="I660" s="13">
        <v>0.83794999999999997</v>
      </c>
      <c r="J660" s="13">
        <v>0.81140000000000001</v>
      </c>
      <c r="K660" s="13"/>
      <c r="L660" s="13">
        <v>0.04</v>
      </c>
      <c r="M660" s="13">
        <v>0.25</v>
      </c>
    </row>
    <row r="661" spans="2:13" x14ac:dyDescent="0.25">
      <c r="B661" s="14" t="s">
        <v>162</v>
      </c>
      <c r="C661" s="14" t="s">
        <v>74</v>
      </c>
      <c r="D661" t="s">
        <v>14</v>
      </c>
      <c r="E661" s="16" t="s">
        <v>133</v>
      </c>
      <c r="F661">
        <v>2026</v>
      </c>
      <c r="G661" s="12">
        <v>0</v>
      </c>
      <c r="H661" s="13">
        <v>0.9</v>
      </c>
      <c r="I661" s="13"/>
      <c r="J661" s="13"/>
      <c r="K661" s="13"/>
      <c r="L661" s="13">
        <v>0.1</v>
      </c>
      <c r="M661" s="13">
        <v>0</v>
      </c>
    </row>
    <row r="662" spans="2:13" x14ac:dyDescent="0.25">
      <c r="B662" s="14" t="s">
        <v>162</v>
      </c>
      <c r="C662" s="14" t="s">
        <v>74</v>
      </c>
      <c r="D662" t="s">
        <v>14</v>
      </c>
      <c r="E662" s="16" t="s">
        <v>133</v>
      </c>
      <c r="F662">
        <v>2027</v>
      </c>
      <c r="G662" s="12">
        <v>31505667</v>
      </c>
      <c r="H662" s="13">
        <v>0.9</v>
      </c>
      <c r="I662" s="13"/>
      <c r="J662" s="13"/>
      <c r="K662" s="13"/>
      <c r="L662" s="13">
        <v>0.1</v>
      </c>
      <c r="M662" s="13">
        <v>0</v>
      </c>
    </row>
    <row r="663" spans="2:13" x14ac:dyDescent="0.25">
      <c r="B663" s="14" t="s">
        <v>162</v>
      </c>
      <c r="C663" s="14" t="s">
        <v>74</v>
      </c>
      <c r="D663" t="s">
        <v>14</v>
      </c>
      <c r="E663" s="16" t="s">
        <v>133</v>
      </c>
      <c r="F663">
        <v>2028</v>
      </c>
      <c r="G663" s="12">
        <v>28696582</v>
      </c>
      <c r="H663" s="13">
        <v>0.9</v>
      </c>
      <c r="I663" s="13"/>
      <c r="J663" s="13"/>
      <c r="K663" s="13"/>
      <c r="L663" s="13">
        <v>0.1</v>
      </c>
      <c r="M663" s="13">
        <v>0</v>
      </c>
    </row>
    <row r="664" spans="2:13" x14ac:dyDescent="0.25">
      <c r="B664" s="14" t="s">
        <v>162</v>
      </c>
      <c r="C664" s="14" t="s">
        <v>74</v>
      </c>
      <c r="D664" t="s">
        <v>14</v>
      </c>
      <c r="E664" s="16" t="s">
        <v>133</v>
      </c>
      <c r="F664">
        <v>2029</v>
      </c>
      <c r="G664" s="12">
        <v>19656449</v>
      </c>
      <c r="H664" s="13">
        <v>0.9</v>
      </c>
      <c r="I664" s="13"/>
      <c r="J664" s="13"/>
      <c r="K664" s="13"/>
      <c r="L664" s="13">
        <v>0.1</v>
      </c>
      <c r="M664" s="13">
        <v>0</v>
      </c>
    </row>
    <row r="665" spans="2:13" x14ac:dyDescent="0.25">
      <c r="B665" s="14" t="s">
        <v>162</v>
      </c>
      <c r="C665" s="14" t="s">
        <v>74</v>
      </c>
      <c r="D665" t="s">
        <v>14</v>
      </c>
      <c r="E665" s="16" t="s">
        <v>133</v>
      </c>
      <c r="F665">
        <v>2030</v>
      </c>
      <c r="G665" s="12">
        <v>16773701</v>
      </c>
      <c r="H665" s="13">
        <v>0.9</v>
      </c>
      <c r="I665" s="13"/>
      <c r="J665" s="13"/>
      <c r="K665" s="13"/>
      <c r="L665" s="13">
        <v>0.1</v>
      </c>
      <c r="M665" s="13">
        <v>0</v>
      </c>
    </row>
    <row r="666" spans="2:13" x14ac:dyDescent="0.25">
      <c r="B666" s="14" t="s">
        <v>162</v>
      </c>
      <c r="C666" s="14" t="s">
        <v>74</v>
      </c>
      <c r="D666" t="s">
        <v>46</v>
      </c>
      <c r="E666" s="16" t="s">
        <v>133</v>
      </c>
      <c r="F666">
        <v>2026</v>
      </c>
      <c r="G666" s="12">
        <v>3668895</v>
      </c>
      <c r="H666" s="13">
        <v>0.93</v>
      </c>
      <c r="I666" s="13"/>
      <c r="J666" s="13"/>
      <c r="K666" s="13"/>
      <c r="L666" s="13">
        <v>0.1</v>
      </c>
      <c r="M666" s="13">
        <v>0.25</v>
      </c>
    </row>
    <row r="667" spans="2:13" x14ac:dyDescent="0.25">
      <c r="B667" s="14" t="s">
        <v>162</v>
      </c>
      <c r="C667" s="14" t="s">
        <v>74</v>
      </c>
      <c r="D667" t="s">
        <v>46</v>
      </c>
      <c r="E667" s="16" t="s">
        <v>133</v>
      </c>
      <c r="F667">
        <v>2027</v>
      </c>
      <c r="G667" s="12">
        <v>3701101</v>
      </c>
      <c r="H667" s="13">
        <v>0.93</v>
      </c>
      <c r="I667" s="13"/>
      <c r="J667" s="13"/>
      <c r="K667" s="13"/>
      <c r="L667" s="13">
        <v>0.1</v>
      </c>
      <c r="M667" s="13">
        <v>0.25</v>
      </c>
    </row>
    <row r="668" spans="2:13" x14ac:dyDescent="0.25">
      <c r="B668" s="14" t="s">
        <v>162</v>
      </c>
      <c r="C668" s="14" t="s">
        <v>74</v>
      </c>
      <c r="D668" t="s">
        <v>46</v>
      </c>
      <c r="E668" s="16" t="s">
        <v>133</v>
      </c>
      <c r="F668">
        <v>2028</v>
      </c>
      <c r="G668" s="12">
        <v>3729595</v>
      </c>
      <c r="H668" s="13">
        <v>0.93</v>
      </c>
      <c r="I668" s="13"/>
      <c r="J668" s="13"/>
      <c r="K668" s="13"/>
      <c r="L668" s="13">
        <v>0.1</v>
      </c>
      <c r="M668" s="13">
        <v>0.25</v>
      </c>
    </row>
    <row r="669" spans="2:13" x14ac:dyDescent="0.25">
      <c r="B669" s="14" t="s">
        <v>162</v>
      </c>
      <c r="C669" s="14" t="s">
        <v>74</v>
      </c>
      <c r="D669" t="s">
        <v>46</v>
      </c>
      <c r="E669" s="16" t="s">
        <v>133</v>
      </c>
      <c r="F669">
        <v>2029</v>
      </c>
      <c r="G669" s="12">
        <v>3756667</v>
      </c>
      <c r="H669" s="13">
        <v>0.93</v>
      </c>
      <c r="I669" s="13"/>
      <c r="J669" s="13"/>
      <c r="K669" s="13"/>
      <c r="L669" s="13">
        <v>0.1</v>
      </c>
      <c r="M669" s="13">
        <v>0.25</v>
      </c>
    </row>
    <row r="670" spans="2:13" x14ac:dyDescent="0.25">
      <c r="B670" s="15" t="s">
        <v>162</v>
      </c>
      <c r="C670" s="14" t="s">
        <v>74</v>
      </c>
      <c r="D670" t="s">
        <v>46</v>
      </c>
      <c r="E670" s="16" t="s">
        <v>133</v>
      </c>
      <c r="F670">
        <v>2030</v>
      </c>
      <c r="G670" s="12">
        <v>3779803</v>
      </c>
      <c r="H670" s="13">
        <v>0.93</v>
      </c>
      <c r="I670" s="13"/>
      <c r="J670" s="13"/>
      <c r="K670" s="13"/>
      <c r="L670" s="13">
        <v>0.1</v>
      </c>
      <c r="M670" s="13">
        <v>0.25</v>
      </c>
    </row>
    <row r="671" spans="2:13" x14ac:dyDescent="0.25">
      <c r="B671" s="14" t="s">
        <v>163</v>
      </c>
      <c r="C671" s="14" t="s">
        <v>132</v>
      </c>
      <c r="D671" t="s">
        <v>46</v>
      </c>
      <c r="E671" s="16" t="s">
        <v>133</v>
      </c>
      <c r="F671">
        <v>2026</v>
      </c>
      <c r="G671" s="12">
        <v>1363192</v>
      </c>
      <c r="H671" s="13">
        <v>0.99</v>
      </c>
      <c r="I671" s="13">
        <v>0.99</v>
      </c>
      <c r="J671" s="13">
        <v>0.99</v>
      </c>
      <c r="K671" s="13">
        <v>0</v>
      </c>
      <c r="L671" s="13">
        <v>7.0000000000000007E-2</v>
      </c>
      <c r="M671" s="13">
        <v>0.25</v>
      </c>
    </row>
    <row r="672" spans="2:13" x14ac:dyDescent="0.25">
      <c r="B672" s="14" t="s">
        <v>163</v>
      </c>
      <c r="C672" s="14" t="s">
        <v>132</v>
      </c>
      <c r="D672" t="s">
        <v>46</v>
      </c>
      <c r="E672" s="16" t="s">
        <v>133</v>
      </c>
      <c r="F672">
        <v>2027</v>
      </c>
      <c r="G672" s="12">
        <v>1372412.6384322201</v>
      </c>
      <c r="H672" s="13">
        <v>0.99</v>
      </c>
      <c r="I672" s="13">
        <v>0.99</v>
      </c>
      <c r="J672" s="13">
        <v>0.99</v>
      </c>
      <c r="K672" s="13">
        <v>0</v>
      </c>
      <c r="L672" s="13">
        <v>7.0000000000000007E-2</v>
      </c>
      <c r="M672" s="13">
        <v>0.25</v>
      </c>
    </row>
    <row r="673" spans="2:13" x14ac:dyDescent="0.25">
      <c r="B673" s="14" t="s">
        <v>163</v>
      </c>
      <c r="C673" s="14" t="s">
        <v>132</v>
      </c>
      <c r="D673" t="s">
        <v>46</v>
      </c>
      <c r="E673" s="16" t="s">
        <v>133</v>
      </c>
      <c r="F673">
        <v>2028</v>
      </c>
      <c r="G673" s="12">
        <v>1383679.2124145301</v>
      </c>
      <c r="H673" s="13">
        <v>0.99</v>
      </c>
      <c r="I673" s="13">
        <v>0.99</v>
      </c>
      <c r="J673" s="13">
        <v>0.99</v>
      </c>
      <c r="K673" s="13">
        <v>0</v>
      </c>
      <c r="L673" s="13">
        <v>7.0000000000000007E-2</v>
      </c>
      <c r="M673" s="13">
        <v>0.25</v>
      </c>
    </row>
    <row r="674" spans="2:13" x14ac:dyDescent="0.25">
      <c r="B674" s="14" t="s">
        <v>163</v>
      </c>
      <c r="C674" s="14" t="s">
        <v>132</v>
      </c>
      <c r="D674" t="s">
        <v>46</v>
      </c>
      <c r="E674" s="16" t="s">
        <v>133</v>
      </c>
      <c r="F674">
        <v>2029</v>
      </c>
      <c r="G674" s="12">
        <v>1393828.4146364999</v>
      </c>
      <c r="H674" s="13">
        <v>0.99</v>
      </c>
      <c r="I674" s="13">
        <v>0.99</v>
      </c>
      <c r="J674" s="13">
        <v>0.99</v>
      </c>
      <c r="K674" s="13">
        <v>0</v>
      </c>
      <c r="L674" s="13">
        <v>7.0000000000000007E-2</v>
      </c>
      <c r="M674" s="13">
        <v>0.25</v>
      </c>
    </row>
    <row r="675" spans="2:13" x14ac:dyDescent="0.25">
      <c r="B675" s="14" t="s">
        <v>163</v>
      </c>
      <c r="C675" s="14" t="s">
        <v>132</v>
      </c>
      <c r="D675" t="s">
        <v>46</v>
      </c>
      <c r="E675" s="16" t="s">
        <v>133</v>
      </c>
      <c r="F675">
        <v>2030</v>
      </c>
      <c r="G675" s="12">
        <v>1404412.49423334</v>
      </c>
      <c r="H675" s="13">
        <v>0.99</v>
      </c>
      <c r="I675" s="13">
        <v>0.99</v>
      </c>
      <c r="J675" s="13">
        <v>0.99</v>
      </c>
      <c r="K675" s="13">
        <v>0</v>
      </c>
      <c r="L675" s="13">
        <v>7.0000000000000007E-2</v>
      </c>
      <c r="M675" s="13">
        <v>0.25</v>
      </c>
    </row>
    <row r="676" spans="2:13" x14ac:dyDescent="0.25">
      <c r="B676" s="14" t="s">
        <v>163</v>
      </c>
      <c r="C676" s="14" t="s">
        <v>70</v>
      </c>
      <c r="D676" t="s">
        <v>46</v>
      </c>
      <c r="E676" s="16" t="s">
        <v>133</v>
      </c>
      <c r="F676">
        <v>2026</v>
      </c>
      <c r="G676" s="12">
        <v>1363192</v>
      </c>
      <c r="H676" s="13">
        <v>0.98</v>
      </c>
      <c r="I676" s="13">
        <v>0.9</v>
      </c>
      <c r="J676" s="13">
        <v>0</v>
      </c>
      <c r="K676" s="13">
        <v>0</v>
      </c>
      <c r="L676" s="13">
        <v>7.0000000000000007E-2</v>
      </c>
      <c r="M676" s="13">
        <v>0.25</v>
      </c>
    </row>
    <row r="677" spans="2:13" x14ac:dyDescent="0.25">
      <c r="B677" s="14" t="s">
        <v>163</v>
      </c>
      <c r="C677" s="14" t="s">
        <v>70</v>
      </c>
      <c r="D677" t="s">
        <v>46</v>
      </c>
      <c r="E677" s="16" t="s">
        <v>133</v>
      </c>
      <c r="F677">
        <v>2027</v>
      </c>
      <c r="G677" s="12">
        <v>1372412.6384322201</v>
      </c>
      <c r="H677" s="13">
        <v>0.98660000000000003</v>
      </c>
      <c r="I677" s="13">
        <v>0.90659999999999996</v>
      </c>
      <c r="J677" s="13">
        <v>6.6E-3</v>
      </c>
      <c r="K677" s="13">
        <v>0</v>
      </c>
      <c r="L677" s="13">
        <v>7.0000000000000007E-2</v>
      </c>
      <c r="M677" s="13">
        <v>0.25</v>
      </c>
    </row>
    <row r="678" spans="2:13" x14ac:dyDescent="0.25">
      <c r="B678" s="14" t="s">
        <v>163</v>
      </c>
      <c r="C678" s="14" t="s">
        <v>70</v>
      </c>
      <c r="D678" t="s">
        <v>46</v>
      </c>
      <c r="E678" s="16" t="s">
        <v>133</v>
      </c>
      <c r="F678">
        <v>2028</v>
      </c>
      <c r="G678" s="12">
        <v>1383679.2124145301</v>
      </c>
      <c r="H678" s="13">
        <v>0.99</v>
      </c>
      <c r="I678" s="13">
        <v>0.91320000000000001</v>
      </c>
      <c r="J678" s="13">
        <v>1.32E-2</v>
      </c>
      <c r="K678" s="13">
        <v>0</v>
      </c>
      <c r="L678" s="13">
        <v>7.0000000000000007E-2</v>
      </c>
      <c r="M678" s="13">
        <v>0.25</v>
      </c>
    </row>
    <row r="679" spans="2:13" x14ac:dyDescent="0.25">
      <c r="B679" s="14" t="s">
        <v>163</v>
      </c>
      <c r="C679" s="14" t="s">
        <v>70</v>
      </c>
      <c r="D679" t="s">
        <v>46</v>
      </c>
      <c r="E679" s="16" t="s">
        <v>133</v>
      </c>
      <c r="F679">
        <v>2029</v>
      </c>
      <c r="G679" s="12">
        <v>1393828.4146364999</v>
      </c>
      <c r="H679" s="13">
        <v>0.99</v>
      </c>
      <c r="I679" s="13">
        <v>0.91979999999999995</v>
      </c>
      <c r="J679" s="13">
        <v>1.9800000000000002E-2</v>
      </c>
      <c r="K679" s="13">
        <v>0</v>
      </c>
      <c r="L679" s="13">
        <v>7.0000000000000007E-2</v>
      </c>
      <c r="M679" s="13">
        <v>0.25</v>
      </c>
    </row>
    <row r="680" spans="2:13" x14ac:dyDescent="0.25">
      <c r="B680" s="14" t="s">
        <v>163</v>
      </c>
      <c r="C680" s="14" t="s">
        <v>70</v>
      </c>
      <c r="D680" t="s">
        <v>46</v>
      </c>
      <c r="E680" s="16" t="s">
        <v>133</v>
      </c>
      <c r="F680">
        <v>2030</v>
      </c>
      <c r="G680" s="12">
        <v>1404412.49423334</v>
      </c>
      <c r="H680" s="13">
        <v>0.99</v>
      </c>
      <c r="I680" s="13">
        <v>0.9264</v>
      </c>
      <c r="J680" s="13">
        <v>2.64E-2</v>
      </c>
      <c r="K680" s="13">
        <v>0</v>
      </c>
      <c r="L680" s="13">
        <v>7.0000000000000007E-2</v>
      </c>
      <c r="M680" s="13">
        <v>0.25</v>
      </c>
    </row>
    <row r="681" spans="2:13" x14ac:dyDescent="0.25">
      <c r="B681" s="14" t="s">
        <v>163</v>
      </c>
      <c r="C681" s="14" t="s">
        <v>72</v>
      </c>
      <c r="D681" t="s">
        <v>46</v>
      </c>
      <c r="E681" s="16" t="s">
        <v>133</v>
      </c>
      <c r="F681">
        <v>2026</v>
      </c>
      <c r="G681" s="12">
        <v>1363192</v>
      </c>
      <c r="H681" s="13">
        <v>0.99</v>
      </c>
      <c r="I681" s="13">
        <v>0.99</v>
      </c>
      <c r="J681" s="13">
        <v>0.99</v>
      </c>
      <c r="K681" s="13"/>
      <c r="L681" s="13">
        <v>7.0000000000000007E-2</v>
      </c>
      <c r="M681" s="13">
        <v>0.25</v>
      </c>
    </row>
    <row r="682" spans="2:13" x14ac:dyDescent="0.25">
      <c r="B682" s="14" t="s">
        <v>163</v>
      </c>
      <c r="C682" s="14" t="s">
        <v>72</v>
      </c>
      <c r="D682" t="s">
        <v>46</v>
      </c>
      <c r="E682" s="16" t="s">
        <v>133</v>
      </c>
      <c r="F682">
        <v>2027</v>
      </c>
      <c r="G682" s="12">
        <v>1372412.6384322201</v>
      </c>
      <c r="H682" s="13">
        <v>0.99</v>
      </c>
      <c r="I682" s="13">
        <v>0.99</v>
      </c>
      <c r="J682" s="13">
        <v>0.99</v>
      </c>
      <c r="K682" s="13"/>
      <c r="L682" s="13">
        <v>7.0000000000000007E-2</v>
      </c>
      <c r="M682" s="13">
        <v>0.25</v>
      </c>
    </row>
    <row r="683" spans="2:13" x14ac:dyDescent="0.25">
      <c r="B683" s="14" t="s">
        <v>163</v>
      </c>
      <c r="C683" s="14" t="s">
        <v>72</v>
      </c>
      <c r="D683" t="s">
        <v>46</v>
      </c>
      <c r="E683" s="16" t="s">
        <v>133</v>
      </c>
      <c r="F683">
        <v>2028</v>
      </c>
      <c r="G683" s="12">
        <v>1383679.2124145301</v>
      </c>
      <c r="H683" s="13">
        <v>0.99</v>
      </c>
      <c r="I683" s="13">
        <v>0.99</v>
      </c>
      <c r="J683" s="13">
        <v>0.99</v>
      </c>
      <c r="K683" s="13"/>
      <c r="L683" s="13">
        <v>7.0000000000000007E-2</v>
      </c>
      <c r="M683" s="13">
        <v>0.25</v>
      </c>
    </row>
    <row r="684" spans="2:13" x14ac:dyDescent="0.25">
      <c r="B684" s="14" t="s">
        <v>163</v>
      </c>
      <c r="C684" s="14" t="s">
        <v>72</v>
      </c>
      <c r="D684" t="s">
        <v>46</v>
      </c>
      <c r="E684" s="16" t="s">
        <v>133</v>
      </c>
      <c r="F684">
        <v>2029</v>
      </c>
      <c r="G684" s="12">
        <v>1393828.4146364999</v>
      </c>
      <c r="H684" s="13">
        <v>0.99</v>
      </c>
      <c r="I684" s="13">
        <v>0.99</v>
      </c>
      <c r="J684" s="13">
        <v>0.99</v>
      </c>
      <c r="K684" s="13"/>
      <c r="L684" s="13">
        <v>7.0000000000000007E-2</v>
      </c>
      <c r="M684" s="13">
        <v>0.25</v>
      </c>
    </row>
    <row r="685" spans="2:13" x14ac:dyDescent="0.25">
      <c r="B685" s="14" t="s">
        <v>163</v>
      </c>
      <c r="C685" s="14" t="s">
        <v>72</v>
      </c>
      <c r="D685" t="s">
        <v>46</v>
      </c>
      <c r="E685" s="16" t="s">
        <v>133</v>
      </c>
      <c r="F685">
        <v>2030</v>
      </c>
      <c r="G685" s="12">
        <v>1404412.49423334</v>
      </c>
      <c r="H685" s="13">
        <v>0.99</v>
      </c>
      <c r="I685" s="13">
        <v>0.99</v>
      </c>
      <c r="J685" s="13">
        <v>0.99</v>
      </c>
      <c r="K685" s="13"/>
      <c r="L685" s="13">
        <v>7.0000000000000007E-2</v>
      </c>
      <c r="M685" s="13">
        <v>0.25</v>
      </c>
    </row>
    <row r="686" spans="2:13" x14ac:dyDescent="0.25">
      <c r="B686" s="14" t="s">
        <v>163</v>
      </c>
      <c r="C686" s="14" t="s">
        <v>102</v>
      </c>
      <c r="D686" t="s">
        <v>46</v>
      </c>
      <c r="E686" s="16" t="s">
        <v>133</v>
      </c>
      <c r="F686">
        <v>2026</v>
      </c>
      <c r="G686" s="12">
        <v>1349695</v>
      </c>
      <c r="H686" s="13">
        <v>0.57750000000000001</v>
      </c>
      <c r="I686" s="13"/>
      <c r="J686" s="13"/>
      <c r="K686" s="13"/>
      <c r="L686" s="13">
        <v>7.0000000000000007E-2</v>
      </c>
      <c r="M686" s="13">
        <v>0.25</v>
      </c>
    </row>
    <row r="687" spans="2:13" x14ac:dyDescent="0.25">
      <c r="B687" s="14" t="s">
        <v>163</v>
      </c>
      <c r="C687" s="14" t="s">
        <v>102</v>
      </c>
      <c r="D687" t="s">
        <v>46</v>
      </c>
      <c r="E687" s="16" t="s">
        <v>133</v>
      </c>
      <c r="F687">
        <v>2027</v>
      </c>
      <c r="G687" s="12">
        <v>1358824.34464755</v>
      </c>
      <c r="H687" s="13">
        <v>0.99</v>
      </c>
      <c r="I687" s="13"/>
      <c r="J687" s="13"/>
      <c r="K687" s="13"/>
      <c r="L687" s="13">
        <v>7.0000000000000007E-2</v>
      </c>
      <c r="M687" s="13">
        <v>0.25</v>
      </c>
    </row>
    <row r="688" spans="2:13" x14ac:dyDescent="0.25">
      <c r="B688" s="14" t="s">
        <v>163</v>
      </c>
      <c r="C688" s="14" t="s">
        <v>102</v>
      </c>
      <c r="D688" t="s">
        <v>46</v>
      </c>
      <c r="E688" s="16" t="s">
        <v>133</v>
      </c>
      <c r="F688">
        <v>2028</v>
      </c>
      <c r="G688" s="12">
        <v>1369979.3679832499</v>
      </c>
      <c r="H688" s="13">
        <v>0.99</v>
      </c>
      <c r="I688" s="13"/>
      <c r="J688" s="13"/>
      <c r="K688" s="13"/>
      <c r="L688" s="13">
        <v>7.0000000000000007E-2</v>
      </c>
      <c r="M688" s="13">
        <v>0.25</v>
      </c>
    </row>
    <row r="689" spans="2:13" x14ac:dyDescent="0.25">
      <c r="B689" s="14" t="s">
        <v>163</v>
      </c>
      <c r="C689" s="14" t="s">
        <v>102</v>
      </c>
      <c r="D689" t="s">
        <v>46</v>
      </c>
      <c r="E689" s="16" t="s">
        <v>133</v>
      </c>
      <c r="F689">
        <v>2029</v>
      </c>
      <c r="G689" s="12">
        <v>1380028.08268594</v>
      </c>
      <c r="H689" s="13">
        <v>0.99</v>
      </c>
      <c r="I689" s="13"/>
      <c r="J689" s="13"/>
      <c r="K689" s="13"/>
      <c r="L689" s="13">
        <v>7.0000000000000007E-2</v>
      </c>
      <c r="M689" s="13">
        <v>0.25</v>
      </c>
    </row>
    <row r="690" spans="2:13" x14ac:dyDescent="0.25">
      <c r="B690" s="14" t="s">
        <v>163</v>
      </c>
      <c r="C690" s="14" t="s">
        <v>102</v>
      </c>
      <c r="D690" t="s">
        <v>46</v>
      </c>
      <c r="E690" s="16" t="s">
        <v>133</v>
      </c>
      <c r="F690">
        <v>2030</v>
      </c>
      <c r="G690" s="12">
        <v>1390507.3690311201</v>
      </c>
      <c r="H690" s="13">
        <v>0.99</v>
      </c>
      <c r="I690" s="13"/>
      <c r="J690" s="13"/>
      <c r="K690" s="13"/>
      <c r="L690" s="13">
        <v>7.0000000000000007E-2</v>
      </c>
      <c r="M690" s="13">
        <v>0.25</v>
      </c>
    </row>
    <row r="691" spans="2:13" x14ac:dyDescent="0.25">
      <c r="B691" s="14" t="s">
        <v>163</v>
      </c>
      <c r="C691" s="14" t="s">
        <v>15</v>
      </c>
      <c r="D691" t="s">
        <v>136</v>
      </c>
      <c r="E691" s="16" t="s">
        <v>133</v>
      </c>
      <c r="F691">
        <v>2026</v>
      </c>
      <c r="G691" s="12">
        <v>0</v>
      </c>
      <c r="H691" s="13">
        <v>0</v>
      </c>
      <c r="I691" s="13"/>
      <c r="J691" s="13"/>
      <c r="K691" s="13"/>
      <c r="L691" s="13">
        <v>0.05</v>
      </c>
      <c r="M691" s="13">
        <v>0.25</v>
      </c>
    </row>
    <row r="692" spans="2:13" x14ac:dyDescent="0.25">
      <c r="B692" s="14" t="s">
        <v>163</v>
      </c>
      <c r="C692" s="14" t="s">
        <v>15</v>
      </c>
      <c r="D692" t="s">
        <v>46</v>
      </c>
      <c r="E692" s="16" t="s">
        <v>133</v>
      </c>
      <c r="F692">
        <v>2026</v>
      </c>
      <c r="G692" s="12">
        <v>437759</v>
      </c>
      <c r="H692" s="13">
        <v>0.94196748480000003</v>
      </c>
      <c r="I692" s="13"/>
      <c r="J692" s="13"/>
      <c r="K692" s="13"/>
      <c r="L692" s="13">
        <v>0.05</v>
      </c>
      <c r="M692" s="13">
        <v>0.25</v>
      </c>
    </row>
    <row r="693" spans="2:13" x14ac:dyDescent="0.25">
      <c r="B693" s="14" t="s">
        <v>163</v>
      </c>
      <c r="C693" s="14" t="s">
        <v>15</v>
      </c>
      <c r="D693" t="s">
        <v>46</v>
      </c>
      <c r="E693" s="16" t="s">
        <v>133</v>
      </c>
      <c r="F693">
        <v>2027</v>
      </c>
      <c r="G693" s="12">
        <v>434389</v>
      </c>
      <c r="H693" s="13">
        <v>0.94196748480000003</v>
      </c>
      <c r="I693" s="13"/>
      <c r="J693" s="13"/>
      <c r="K693" s="13"/>
      <c r="L693" s="13">
        <v>0.05</v>
      </c>
      <c r="M693" s="13">
        <v>0.25</v>
      </c>
    </row>
    <row r="694" spans="2:13" x14ac:dyDescent="0.25">
      <c r="B694" s="14" t="s">
        <v>163</v>
      </c>
      <c r="C694" s="14" t="s">
        <v>15</v>
      </c>
      <c r="D694" t="s">
        <v>46</v>
      </c>
      <c r="E694" s="16" t="s">
        <v>133</v>
      </c>
      <c r="F694">
        <v>2028</v>
      </c>
      <c r="G694" s="12">
        <v>436080</v>
      </c>
      <c r="H694" s="13">
        <v>0.94196748480000003</v>
      </c>
      <c r="I694" s="13"/>
      <c r="J694" s="13"/>
      <c r="K694" s="13"/>
      <c r="L694" s="13">
        <v>0.05</v>
      </c>
      <c r="M694" s="13">
        <v>0.25</v>
      </c>
    </row>
    <row r="695" spans="2:13" x14ac:dyDescent="0.25">
      <c r="B695" s="14" t="s">
        <v>163</v>
      </c>
      <c r="C695" s="14" t="s">
        <v>15</v>
      </c>
      <c r="D695" t="s">
        <v>46</v>
      </c>
      <c r="E695" s="16" t="s">
        <v>133</v>
      </c>
      <c r="F695">
        <v>2029</v>
      </c>
      <c r="G695" s="12">
        <v>438019</v>
      </c>
      <c r="H695" s="13">
        <v>0.94196748480000003</v>
      </c>
      <c r="I695" s="13"/>
      <c r="J695" s="13"/>
      <c r="K695" s="13"/>
      <c r="L695" s="13">
        <v>0.05</v>
      </c>
      <c r="M695" s="13">
        <v>0.25</v>
      </c>
    </row>
    <row r="696" spans="2:13" x14ac:dyDescent="0.25">
      <c r="B696" s="14" t="s">
        <v>163</v>
      </c>
      <c r="C696" s="14" t="s">
        <v>15</v>
      </c>
      <c r="D696" t="s">
        <v>46</v>
      </c>
      <c r="E696" s="16" t="s">
        <v>133</v>
      </c>
      <c r="F696">
        <v>2030</v>
      </c>
      <c r="G696" s="12">
        <v>440356</v>
      </c>
      <c r="H696" s="13">
        <v>0.94196748480000003</v>
      </c>
      <c r="I696" s="13"/>
      <c r="J696" s="13"/>
      <c r="K696" s="13"/>
      <c r="L696" s="13">
        <v>0.05</v>
      </c>
      <c r="M696" s="13">
        <v>0.25</v>
      </c>
    </row>
    <row r="697" spans="2:13" x14ac:dyDescent="0.25">
      <c r="B697" s="14" t="s">
        <v>163</v>
      </c>
      <c r="C697" s="14" t="s">
        <v>145</v>
      </c>
      <c r="D697" t="s">
        <v>46</v>
      </c>
      <c r="E697" s="16" t="s">
        <v>133</v>
      </c>
      <c r="F697">
        <v>2026</v>
      </c>
      <c r="G697" s="12">
        <v>627919.65</v>
      </c>
      <c r="H697" s="13">
        <v>0.83141042229999995</v>
      </c>
      <c r="I697" s="13">
        <v>0.82611681459999997</v>
      </c>
      <c r="J697" s="13">
        <v>0.82081992859999997</v>
      </c>
      <c r="K697" s="13">
        <v>0.72578418239999998</v>
      </c>
      <c r="L697" s="13"/>
      <c r="M697" s="13">
        <v>0.25</v>
      </c>
    </row>
    <row r="698" spans="2:13" x14ac:dyDescent="0.25">
      <c r="B698" s="14" t="s">
        <v>163</v>
      </c>
      <c r="C698" s="14" t="s">
        <v>145</v>
      </c>
      <c r="D698" t="s">
        <v>46</v>
      </c>
      <c r="E698" s="16" t="s">
        <v>133</v>
      </c>
      <c r="F698">
        <v>2027</v>
      </c>
      <c r="G698" s="12">
        <v>599847.94799999997</v>
      </c>
      <c r="H698" s="13">
        <v>0.83641042229999996</v>
      </c>
      <c r="I698" s="13">
        <v>0.83111681459999998</v>
      </c>
      <c r="J698" s="13">
        <v>0.82581992859999998</v>
      </c>
      <c r="K698" s="13">
        <v>0.73078418239999998</v>
      </c>
      <c r="L698" s="13"/>
      <c r="M698" s="13">
        <v>0.25</v>
      </c>
    </row>
    <row r="699" spans="2:13" x14ac:dyDescent="0.25">
      <c r="B699" s="14" t="s">
        <v>163</v>
      </c>
      <c r="C699" s="14" t="s">
        <v>145</v>
      </c>
      <c r="D699" t="s">
        <v>46</v>
      </c>
      <c r="E699" s="16" t="s">
        <v>133</v>
      </c>
      <c r="F699">
        <v>2028</v>
      </c>
      <c r="G699" s="12">
        <v>570792.81301875005</v>
      </c>
      <c r="H699" s="13">
        <v>0.84141042229999996</v>
      </c>
      <c r="I699" s="13">
        <v>0.83611681459999998</v>
      </c>
      <c r="J699" s="13">
        <v>0.83081992859999998</v>
      </c>
      <c r="K699" s="13">
        <v>0.73578418239999999</v>
      </c>
      <c r="L699" s="13"/>
      <c r="M699" s="13">
        <v>0.25</v>
      </c>
    </row>
    <row r="700" spans="2:13" x14ac:dyDescent="0.25">
      <c r="B700" s="14" t="s">
        <v>163</v>
      </c>
      <c r="C700" s="14" t="s">
        <v>145</v>
      </c>
      <c r="D700" t="s">
        <v>46</v>
      </c>
      <c r="E700" s="16" t="s">
        <v>133</v>
      </c>
      <c r="F700">
        <v>2029</v>
      </c>
      <c r="G700" s="12">
        <v>540731.05819976202</v>
      </c>
      <c r="H700" s="13">
        <v>0.84641042229999996</v>
      </c>
      <c r="I700" s="13">
        <v>0.84111681459999998</v>
      </c>
      <c r="J700" s="13">
        <v>0.83581992859999998</v>
      </c>
      <c r="K700" s="13">
        <v>0.74078418239999999</v>
      </c>
      <c r="L700" s="13"/>
      <c r="M700" s="13">
        <v>0.25</v>
      </c>
    </row>
    <row r="701" spans="2:13" x14ac:dyDescent="0.25">
      <c r="B701" s="14" t="s">
        <v>163</v>
      </c>
      <c r="C701" s="14" t="s">
        <v>38</v>
      </c>
      <c r="D701" t="s">
        <v>46</v>
      </c>
      <c r="E701" s="16" t="s">
        <v>133</v>
      </c>
      <c r="F701">
        <v>2026</v>
      </c>
      <c r="G701" s="12">
        <v>1363192</v>
      </c>
      <c r="H701" s="13">
        <v>0.95</v>
      </c>
      <c r="I701" s="13"/>
      <c r="J701" s="13"/>
      <c r="K701" s="13"/>
      <c r="L701" s="13">
        <v>0.2</v>
      </c>
      <c r="M701" s="13">
        <v>0.25</v>
      </c>
    </row>
    <row r="702" spans="2:13" x14ac:dyDescent="0.25">
      <c r="B702" s="14" t="s">
        <v>163</v>
      </c>
      <c r="C702" s="14" t="s">
        <v>38</v>
      </c>
      <c r="D702" t="s">
        <v>46</v>
      </c>
      <c r="E702" s="16" t="s">
        <v>133</v>
      </c>
      <c r="F702">
        <v>2027</v>
      </c>
      <c r="G702" s="12">
        <v>1376824</v>
      </c>
      <c r="H702" s="13">
        <v>0.96</v>
      </c>
      <c r="I702" s="13"/>
      <c r="J702" s="13"/>
      <c r="K702" s="13"/>
      <c r="L702" s="13">
        <v>0.2</v>
      </c>
      <c r="M702" s="13">
        <v>0.25</v>
      </c>
    </row>
    <row r="703" spans="2:13" x14ac:dyDescent="0.25">
      <c r="B703" s="14" t="s">
        <v>163</v>
      </c>
      <c r="C703" s="14" t="s">
        <v>38</v>
      </c>
      <c r="D703" t="s">
        <v>46</v>
      </c>
      <c r="E703" s="16" t="s">
        <v>133</v>
      </c>
      <c r="F703">
        <v>2028</v>
      </c>
      <c r="G703" s="12">
        <v>1388127</v>
      </c>
      <c r="H703" s="13">
        <v>0.96</v>
      </c>
      <c r="I703" s="13"/>
      <c r="J703" s="13"/>
      <c r="K703" s="13"/>
      <c r="L703" s="13">
        <v>0.2</v>
      </c>
      <c r="M703" s="13">
        <v>0.25</v>
      </c>
    </row>
    <row r="704" spans="2:13" x14ac:dyDescent="0.25">
      <c r="B704" s="14" t="s">
        <v>163</v>
      </c>
      <c r="C704" s="14" t="s">
        <v>38</v>
      </c>
      <c r="D704" t="s">
        <v>46</v>
      </c>
      <c r="E704" s="16" t="s">
        <v>133</v>
      </c>
      <c r="F704">
        <v>2029</v>
      </c>
      <c r="G704" s="12">
        <v>1398308</v>
      </c>
      <c r="H704" s="13">
        <v>0.96</v>
      </c>
      <c r="I704" s="13"/>
      <c r="J704" s="13"/>
      <c r="K704" s="13"/>
      <c r="L704" s="13">
        <v>0.2</v>
      </c>
      <c r="M704" s="13">
        <v>0.25</v>
      </c>
    </row>
    <row r="705" spans="2:13" x14ac:dyDescent="0.25">
      <c r="B705" s="14" t="s">
        <v>163</v>
      </c>
      <c r="C705" s="14" t="s">
        <v>38</v>
      </c>
      <c r="D705" t="s">
        <v>46</v>
      </c>
      <c r="E705" s="16" t="s">
        <v>133</v>
      </c>
      <c r="F705">
        <v>2030</v>
      </c>
      <c r="G705" s="12">
        <v>1408927</v>
      </c>
      <c r="H705" s="13">
        <v>0.96</v>
      </c>
      <c r="I705" s="13"/>
      <c r="J705" s="13"/>
      <c r="K705" s="13"/>
      <c r="L705" s="13">
        <v>0.2</v>
      </c>
      <c r="M705" s="13">
        <v>0.25</v>
      </c>
    </row>
    <row r="706" spans="2:13" x14ac:dyDescent="0.25">
      <c r="B706" s="14" t="s">
        <v>163</v>
      </c>
      <c r="C706" s="14" t="s">
        <v>52</v>
      </c>
      <c r="D706" t="s">
        <v>141</v>
      </c>
      <c r="E706" s="16" t="s">
        <v>133</v>
      </c>
      <c r="F706">
        <v>2027</v>
      </c>
      <c r="G706" s="12">
        <v>5706549</v>
      </c>
      <c r="H706" s="13">
        <v>1</v>
      </c>
      <c r="I706" s="13"/>
      <c r="J706" s="13"/>
      <c r="K706" s="13"/>
      <c r="L706" s="13"/>
      <c r="M706" s="13"/>
    </row>
    <row r="707" spans="2:13" x14ac:dyDescent="0.25">
      <c r="B707" s="14" t="s">
        <v>163</v>
      </c>
      <c r="C707" s="14" t="s">
        <v>139</v>
      </c>
      <c r="D707" t="s">
        <v>46</v>
      </c>
      <c r="E707" s="16" t="s">
        <v>133</v>
      </c>
      <c r="F707">
        <v>2026</v>
      </c>
      <c r="G707" s="12">
        <v>1363192</v>
      </c>
      <c r="H707" s="13">
        <v>0.99</v>
      </c>
      <c r="I707" s="13">
        <v>0.99</v>
      </c>
      <c r="J707" s="13">
        <v>0.99</v>
      </c>
      <c r="K707" s="13"/>
      <c r="L707" s="13">
        <v>7.0000000000000007E-2</v>
      </c>
      <c r="M707" s="13">
        <v>0.25</v>
      </c>
    </row>
    <row r="708" spans="2:13" x14ac:dyDescent="0.25">
      <c r="B708" s="14" t="s">
        <v>163</v>
      </c>
      <c r="C708" s="14" t="s">
        <v>139</v>
      </c>
      <c r="D708" t="s">
        <v>46</v>
      </c>
      <c r="E708" s="16" t="s">
        <v>133</v>
      </c>
      <c r="F708">
        <v>2027</v>
      </c>
      <c r="G708" s="12">
        <v>1372412.6384322201</v>
      </c>
      <c r="H708" s="13">
        <v>0.99</v>
      </c>
      <c r="I708" s="13">
        <v>0.99</v>
      </c>
      <c r="J708" s="13">
        <v>0.99</v>
      </c>
      <c r="K708" s="13"/>
      <c r="L708" s="13">
        <v>7.0000000000000007E-2</v>
      </c>
      <c r="M708" s="13">
        <v>0.25</v>
      </c>
    </row>
    <row r="709" spans="2:13" x14ac:dyDescent="0.25">
      <c r="B709" s="14" t="s">
        <v>163</v>
      </c>
      <c r="C709" s="14" t="s">
        <v>139</v>
      </c>
      <c r="D709" t="s">
        <v>46</v>
      </c>
      <c r="E709" s="16" t="s">
        <v>133</v>
      </c>
      <c r="F709">
        <v>2028</v>
      </c>
      <c r="G709" s="12">
        <v>1383679.2124145301</v>
      </c>
      <c r="H709" s="13">
        <v>0.99</v>
      </c>
      <c r="I709" s="13">
        <v>0.99</v>
      </c>
      <c r="J709" s="13">
        <v>0.99</v>
      </c>
      <c r="K709" s="13"/>
      <c r="L709" s="13">
        <v>7.0000000000000007E-2</v>
      </c>
      <c r="M709" s="13">
        <v>0.25</v>
      </c>
    </row>
    <row r="710" spans="2:13" x14ac:dyDescent="0.25">
      <c r="B710" s="14" t="s">
        <v>163</v>
      </c>
      <c r="C710" s="14" t="s">
        <v>139</v>
      </c>
      <c r="D710" t="s">
        <v>46</v>
      </c>
      <c r="E710" s="16" t="s">
        <v>133</v>
      </c>
      <c r="F710">
        <v>2029</v>
      </c>
      <c r="G710" s="12">
        <v>1393828.4146364999</v>
      </c>
      <c r="H710" s="13">
        <v>0.99</v>
      </c>
      <c r="I710" s="13">
        <v>0.99</v>
      </c>
      <c r="J710" s="13">
        <v>0.99</v>
      </c>
      <c r="K710" s="13"/>
      <c r="L710" s="13">
        <v>7.0000000000000007E-2</v>
      </c>
      <c r="M710" s="13">
        <v>0.25</v>
      </c>
    </row>
    <row r="711" spans="2:13" x14ac:dyDescent="0.25">
      <c r="B711" s="14" t="s">
        <v>163</v>
      </c>
      <c r="C711" s="14" t="s">
        <v>139</v>
      </c>
      <c r="D711" t="s">
        <v>46</v>
      </c>
      <c r="E711" s="16" t="s">
        <v>133</v>
      </c>
      <c r="F711">
        <v>2030</v>
      </c>
      <c r="G711" s="12">
        <v>1404412.49423334</v>
      </c>
      <c r="H711" s="13">
        <v>0.99</v>
      </c>
      <c r="I711" s="13">
        <v>0.99</v>
      </c>
      <c r="J711" s="13">
        <v>0.99</v>
      </c>
      <c r="K711" s="13"/>
      <c r="L711" s="13">
        <v>7.0000000000000007E-2</v>
      </c>
      <c r="M711" s="13">
        <v>0.25</v>
      </c>
    </row>
    <row r="712" spans="2:13" x14ac:dyDescent="0.25">
      <c r="B712" s="14" t="s">
        <v>163</v>
      </c>
      <c r="C712" s="14" t="s">
        <v>108</v>
      </c>
      <c r="D712" t="s">
        <v>46</v>
      </c>
      <c r="E712" s="16" t="s">
        <v>133</v>
      </c>
      <c r="F712">
        <v>2026</v>
      </c>
      <c r="G712" s="12">
        <v>893749</v>
      </c>
      <c r="H712" s="13">
        <v>0.82378298039999998</v>
      </c>
      <c r="I712" s="13"/>
      <c r="J712" s="13"/>
      <c r="K712" s="13"/>
      <c r="L712" s="13"/>
      <c r="M712" s="13"/>
    </row>
    <row r="713" spans="2:13" x14ac:dyDescent="0.25">
      <c r="B713" s="14" t="s">
        <v>163</v>
      </c>
      <c r="C713" s="14" t="s">
        <v>108</v>
      </c>
      <c r="D713" t="s">
        <v>46</v>
      </c>
      <c r="E713" s="16" t="s">
        <v>133</v>
      </c>
      <c r="F713">
        <v>2027</v>
      </c>
      <c r="G713" s="12">
        <v>899470</v>
      </c>
      <c r="H713" s="13">
        <v>0.83378297089999998</v>
      </c>
      <c r="I713" s="13"/>
      <c r="J713" s="13"/>
      <c r="K713" s="13"/>
      <c r="L713" s="13"/>
      <c r="M713" s="13"/>
    </row>
    <row r="714" spans="2:13" x14ac:dyDescent="0.25">
      <c r="B714" s="14" t="s">
        <v>163</v>
      </c>
      <c r="C714" s="14" t="s">
        <v>108</v>
      </c>
      <c r="D714" t="s">
        <v>46</v>
      </c>
      <c r="E714" s="16" t="s">
        <v>133</v>
      </c>
      <c r="F714">
        <v>2028</v>
      </c>
      <c r="G714" s="12">
        <v>905863</v>
      </c>
      <c r="H714" s="13">
        <v>0.84378296139999998</v>
      </c>
      <c r="I714" s="13"/>
      <c r="J714" s="13"/>
      <c r="K714" s="13"/>
      <c r="L714" s="13"/>
      <c r="M714" s="13"/>
    </row>
    <row r="715" spans="2:13" x14ac:dyDescent="0.25">
      <c r="B715" s="14" t="s">
        <v>163</v>
      </c>
      <c r="C715" s="14" t="s">
        <v>108</v>
      </c>
      <c r="D715" t="s">
        <v>46</v>
      </c>
      <c r="E715" s="16" t="s">
        <v>133</v>
      </c>
      <c r="F715">
        <v>2029</v>
      </c>
      <c r="G715" s="12">
        <v>912535</v>
      </c>
      <c r="H715" s="13">
        <v>0.85378295179999997</v>
      </c>
      <c r="I715" s="13"/>
      <c r="J715" s="13"/>
      <c r="K715" s="13"/>
      <c r="L715" s="13"/>
      <c r="M715" s="13">
        <v>0.25</v>
      </c>
    </row>
    <row r="716" spans="2:13" x14ac:dyDescent="0.25">
      <c r="B716" s="14" t="s">
        <v>163</v>
      </c>
      <c r="C716" s="14" t="s">
        <v>108</v>
      </c>
      <c r="D716" t="s">
        <v>46</v>
      </c>
      <c r="E716" s="16" t="s">
        <v>133</v>
      </c>
      <c r="F716">
        <v>2030</v>
      </c>
      <c r="G716" s="12">
        <v>919061</v>
      </c>
      <c r="H716" s="13">
        <v>0.86378294229999997</v>
      </c>
      <c r="I716" s="13"/>
      <c r="J716" s="13"/>
      <c r="K716" s="13"/>
      <c r="L716" s="13"/>
      <c r="M716" s="13">
        <v>0.25</v>
      </c>
    </row>
    <row r="717" spans="2:13" x14ac:dyDescent="0.25">
      <c r="B717" s="14" t="s">
        <v>163</v>
      </c>
      <c r="C717" s="14" t="s">
        <v>74</v>
      </c>
      <c r="D717" t="s">
        <v>46</v>
      </c>
      <c r="E717" s="16" t="s">
        <v>133</v>
      </c>
      <c r="F717">
        <v>2026</v>
      </c>
      <c r="G717" s="12">
        <v>1363192</v>
      </c>
      <c r="H717" s="13">
        <v>0.95</v>
      </c>
      <c r="I717" s="13"/>
      <c r="J717" s="13"/>
      <c r="K717" s="13"/>
      <c r="L717" s="13">
        <v>0.2</v>
      </c>
      <c r="M717" s="13">
        <v>0.25</v>
      </c>
    </row>
    <row r="718" spans="2:13" x14ac:dyDescent="0.25">
      <c r="B718" s="14" t="s">
        <v>163</v>
      </c>
      <c r="C718" s="14" t="s">
        <v>74</v>
      </c>
      <c r="D718" t="s">
        <v>46</v>
      </c>
      <c r="E718" s="16" t="s">
        <v>133</v>
      </c>
      <c r="F718">
        <v>2027</v>
      </c>
      <c r="G718" s="12">
        <v>1376824</v>
      </c>
      <c r="H718" s="13">
        <v>0.96</v>
      </c>
      <c r="I718" s="13"/>
      <c r="J718" s="13"/>
      <c r="K718" s="13"/>
      <c r="L718" s="13">
        <v>0.2</v>
      </c>
      <c r="M718" s="13">
        <v>0.25</v>
      </c>
    </row>
    <row r="719" spans="2:13" x14ac:dyDescent="0.25">
      <c r="B719" s="14" t="s">
        <v>163</v>
      </c>
      <c r="C719" s="14" t="s">
        <v>74</v>
      </c>
      <c r="D719" t="s">
        <v>46</v>
      </c>
      <c r="E719" s="16" t="s">
        <v>133</v>
      </c>
      <c r="F719">
        <v>2028</v>
      </c>
      <c r="G719" s="12">
        <v>1388127</v>
      </c>
      <c r="H719" s="13">
        <v>0.96</v>
      </c>
      <c r="I719" s="13"/>
      <c r="J719" s="13"/>
      <c r="K719" s="13"/>
      <c r="L719" s="13">
        <v>0.2</v>
      </c>
      <c r="M719" s="13">
        <v>0.25</v>
      </c>
    </row>
    <row r="720" spans="2:13" x14ac:dyDescent="0.25">
      <c r="B720" s="14" t="s">
        <v>163</v>
      </c>
      <c r="C720" s="14" t="s">
        <v>74</v>
      </c>
      <c r="D720" t="s">
        <v>46</v>
      </c>
      <c r="E720" s="16" t="s">
        <v>133</v>
      </c>
      <c r="F720">
        <v>2029</v>
      </c>
      <c r="G720" s="12">
        <v>1398308</v>
      </c>
      <c r="H720" s="13">
        <v>0.96</v>
      </c>
      <c r="I720" s="13"/>
      <c r="J720" s="13"/>
      <c r="K720" s="13"/>
      <c r="L720" s="13">
        <v>0.2</v>
      </c>
      <c r="M720" s="13">
        <v>0.25</v>
      </c>
    </row>
    <row r="721" spans="2:13" x14ac:dyDescent="0.25">
      <c r="B721" s="15" t="s">
        <v>163</v>
      </c>
      <c r="C721" s="14" t="s">
        <v>74</v>
      </c>
      <c r="D721" t="s">
        <v>46</v>
      </c>
      <c r="E721" s="16" t="s">
        <v>133</v>
      </c>
      <c r="F721">
        <v>2030</v>
      </c>
      <c r="G721" s="12">
        <v>1408927</v>
      </c>
      <c r="H721" s="13">
        <v>0.96</v>
      </c>
      <c r="I721" s="13"/>
      <c r="J721" s="13"/>
      <c r="K721" s="13"/>
      <c r="L721" s="13">
        <v>0.2</v>
      </c>
      <c r="M721" s="13">
        <v>0.25</v>
      </c>
    </row>
    <row r="722" spans="2:13" x14ac:dyDescent="0.25">
      <c r="B722" s="14" t="s">
        <v>164</v>
      </c>
      <c r="C722" s="14" t="s">
        <v>132</v>
      </c>
      <c r="D722" t="s">
        <v>46</v>
      </c>
      <c r="E722" s="16" t="s">
        <v>133</v>
      </c>
      <c r="F722">
        <v>2026</v>
      </c>
      <c r="G722" s="12">
        <v>562709</v>
      </c>
      <c r="H722" s="13">
        <v>0.82</v>
      </c>
      <c r="I722" s="13">
        <v>0.75</v>
      </c>
      <c r="J722" s="13">
        <v>0.68</v>
      </c>
      <c r="K722" s="13">
        <v>0</v>
      </c>
      <c r="L722" s="13">
        <v>7.0000000000000007E-2</v>
      </c>
      <c r="M722" s="13">
        <v>0.25</v>
      </c>
    </row>
    <row r="723" spans="2:13" x14ac:dyDescent="0.25">
      <c r="B723" s="14" t="s">
        <v>164</v>
      </c>
      <c r="C723" s="14" t="s">
        <v>132</v>
      </c>
      <c r="D723" t="s">
        <v>46</v>
      </c>
      <c r="E723" s="16" t="s">
        <v>133</v>
      </c>
      <c r="F723">
        <v>2027</v>
      </c>
      <c r="G723" s="12">
        <v>582966</v>
      </c>
      <c r="H723" s="13">
        <v>0.84</v>
      </c>
      <c r="I723" s="13">
        <v>0.77</v>
      </c>
      <c r="J723" s="13">
        <v>0.7</v>
      </c>
      <c r="K723" s="13">
        <v>0</v>
      </c>
      <c r="L723" s="13">
        <v>7.0000000000000007E-2</v>
      </c>
      <c r="M723" s="13">
        <v>0.25</v>
      </c>
    </row>
    <row r="724" spans="2:13" x14ac:dyDescent="0.25">
      <c r="B724" s="14" t="s">
        <v>164</v>
      </c>
      <c r="C724" s="14" t="s">
        <v>132</v>
      </c>
      <c r="D724" t="s">
        <v>46</v>
      </c>
      <c r="E724" s="16" t="s">
        <v>133</v>
      </c>
      <c r="F724">
        <v>2028</v>
      </c>
      <c r="G724" s="12">
        <v>603952.23313648801</v>
      </c>
      <c r="H724" s="13">
        <v>0.43</v>
      </c>
      <c r="I724" s="13">
        <v>0.39500000000000002</v>
      </c>
      <c r="J724" s="13">
        <v>0.36</v>
      </c>
      <c r="K724" s="13">
        <v>0</v>
      </c>
      <c r="L724" s="13">
        <v>7.0000000000000007E-2</v>
      </c>
      <c r="M724" s="13">
        <v>0.25</v>
      </c>
    </row>
    <row r="725" spans="2:13" x14ac:dyDescent="0.25">
      <c r="B725" s="14" t="s">
        <v>164</v>
      </c>
      <c r="C725" s="14" t="s">
        <v>132</v>
      </c>
      <c r="D725" t="s">
        <v>46</v>
      </c>
      <c r="E725" s="16" t="s">
        <v>133</v>
      </c>
      <c r="F725">
        <v>2029</v>
      </c>
      <c r="G725" s="12">
        <v>497472.13449130201</v>
      </c>
      <c r="H725" s="13">
        <v>0</v>
      </c>
      <c r="I725" s="13">
        <v>0</v>
      </c>
      <c r="J725" s="13">
        <v>0</v>
      </c>
      <c r="K725" s="13">
        <v>0</v>
      </c>
      <c r="L725" s="13">
        <v>7.0000000000000007E-2</v>
      </c>
      <c r="M725" s="13">
        <v>0.25</v>
      </c>
    </row>
    <row r="726" spans="2:13" x14ac:dyDescent="0.25">
      <c r="B726" s="14" t="s">
        <v>164</v>
      </c>
      <c r="C726" s="14" t="s">
        <v>70</v>
      </c>
      <c r="D726" t="s">
        <v>46</v>
      </c>
      <c r="E726" s="16" t="s">
        <v>133</v>
      </c>
      <c r="F726">
        <v>2026</v>
      </c>
      <c r="G726" s="12">
        <v>562709</v>
      </c>
      <c r="H726" s="13">
        <v>0.7</v>
      </c>
      <c r="I726" s="13">
        <v>0</v>
      </c>
      <c r="J726" s="13">
        <v>0</v>
      </c>
      <c r="K726" s="13">
        <v>0</v>
      </c>
      <c r="L726" s="13">
        <v>7.0000000000000007E-2</v>
      </c>
      <c r="M726" s="13">
        <v>0.25</v>
      </c>
    </row>
    <row r="727" spans="2:13" x14ac:dyDescent="0.25">
      <c r="B727" s="14" t="s">
        <v>164</v>
      </c>
      <c r="C727" s="14" t="s">
        <v>70</v>
      </c>
      <c r="D727" t="s">
        <v>46</v>
      </c>
      <c r="E727" s="16" t="s">
        <v>133</v>
      </c>
      <c r="F727">
        <v>2027</v>
      </c>
      <c r="G727" s="12">
        <v>582966</v>
      </c>
      <c r="H727" s="13">
        <v>0.73</v>
      </c>
      <c r="I727" s="13">
        <v>0</v>
      </c>
      <c r="J727" s="13">
        <v>0</v>
      </c>
      <c r="K727" s="13">
        <v>0</v>
      </c>
      <c r="L727" s="13">
        <v>7.0000000000000007E-2</v>
      </c>
      <c r="M727" s="13">
        <v>0.25</v>
      </c>
    </row>
    <row r="728" spans="2:13" x14ac:dyDescent="0.25">
      <c r="B728" s="14" t="s">
        <v>164</v>
      </c>
      <c r="C728" s="14" t="s">
        <v>70</v>
      </c>
      <c r="D728" t="s">
        <v>46</v>
      </c>
      <c r="E728" s="16" t="s">
        <v>133</v>
      </c>
      <c r="F728">
        <v>2028</v>
      </c>
      <c r="G728" s="12">
        <v>603952.23313648801</v>
      </c>
      <c r="H728" s="13">
        <v>0.28499999999999998</v>
      </c>
      <c r="I728" s="13">
        <v>0</v>
      </c>
      <c r="J728" s="13">
        <v>0</v>
      </c>
      <c r="K728" s="13">
        <v>0</v>
      </c>
      <c r="L728" s="13">
        <v>7.0000000000000007E-2</v>
      </c>
      <c r="M728" s="13">
        <v>0.25</v>
      </c>
    </row>
    <row r="729" spans="2:13" x14ac:dyDescent="0.25">
      <c r="B729" s="14" t="s">
        <v>164</v>
      </c>
      <c r="C729" s="14" t="s">
        <v>70</v>
      </c>
      <c r="D729" t="s">
        <v>46</v>
      </c>
      <c r="E729" s="16" t="s">
        <v>133</v>
      </c>
      <c r="F729">
        <v>2029</v>
      </c>
      <c r="G729" s="12">
        <v>497472.13449130201</v>
      </c>
      <c r="H729" s="13">
        <v>0</v>
      </c>
      <c r="I729" s="13">
        <v>0</v>
      </c>
      <c r="J729" s="13">
        <v>0</v>
      </c>
      <c r="K729" s="13">
        <v>0</v>
      </c>
      <c r="L729" s="13">
        <v>7.0000000000000007E-2</v>
      </c>
      <c r="M729" s="13">
        <v>0.25</v>
      </c>
    </row>
    <row r="730" spans="2:13" x14ac:dyDescent="0.25">
      <c r="B730" s="14" t="s">
        <v>164</v>
      </c>
      <c r="C730" s="14" t="s">
        <v>134</v>
      </c>
      <c r="D730" t="s">
        <v>46</v>
      </c>
      <c r="E730" s="16" t="s">
        <v>133</v>
      </c>
      <c r="F730">
        <v>2027</v>
      </c>
      <c r="G730" s="12">
        <v>493984.116238066</v>
      </c>
      <c r="H730" s="13">
        <v>0</v>
      </c>
      <c r="I730" s="13">
        <v>0</v>
      </c>
      <c r="J730" s="13">
        <v>0</v>
      </c>
      <c r="K730" s="13">
        <v>0</v>
      </c>
      <c r="L730" s="13">
        <v>7.0000000000000007E-2</v>
      </c>
      <c r="M730" s="13">
        <v>0.25</v>
      </c>
    </row>
    <row r="731" spans="2:13" x14ac:dyDescent="0.25">
      <c r="B731" s="14" t="s">
        <v>164</v>
      </c>
      <c r="C731" s="14" t="s">
        <v>134</v>
      </c>
      <c r="D731" t="s">
        <v>46</v>
      </c>
      <c r="E731" s="16" t="s">
        <v>133</v>
      </c>
      <c r="F731">
        <v>2028</v>
      </c>
      <c r="G731" s="12">
        <v>603952.23313648801</v>
      </c>
      <c r="H731" s="13">
        <v>0.41660000000000003</v>
      </c>
      <c r="I731" s="13">
        <v>0.38790000000000002</v>
      </c>
      <c r="J731" s="13">
        <v>0.34660000000000002</v>
      </c>
      <c r="K731" s="13">
        <v>0</v>
      </c>
      <c r="L731" s="13">
        <v>7.0000000000000007E-2</v>
      </c>
      <c r="M731" s="13">
        <v>0.25</v>
      </c>
    </row>
    <row r="732" spans="2:13" x14ac:dyDescent="0.25">
      <c r="B732" s="14" t="s">
        <v>164</v>
      </c>
      <c r="C732" s="14" t="s">
        <v>134</v>
      </c>
      <c r="D732" t="s">
        <v>46</v>
      </c>
      <c r="E732" s="16" t="s">
        <v>133</v>
      </c>
      <c r="F732">
        <v>2029</v>
      </c>
      <c r="G732" s="12">
        <v>497472.13449130201</v>
      </c>
      <c r="H732" s="13">
        <v>0.66979999999999995</v>
      </c>
      <c r="I732" s="13">
        <v>0.60829999999999995</v>
      </c>
      <c r="J732" s="13">
        <v>0.51980000000000004</v>
      </c>
      <c r="K732" s="13">
        <v>0</v>
      </c>
      <c r="L732" s="13">
        <v>7.0000000000000007E-2</v>
      </c>
      <c r="M732" s="13">
        <v>0.25</v>
      </c>
    </row>
    <row r="733" spans="2:13" x14ac:dyDescent="0.25">
      <c r="B733" s="14" t="s">
        <v>164</v>
      </c>
      <c r="C733" s="14" t="s">
        <v>134</v>
      </c>
      <c r="D733" t="s">
        <v>46</v>
      </c>
      <c r="E733" s="16" t="s">
        <v>133</v>
      </c>
      <c r="F733">
        <v>2030</v>
      </c>
      <c r="G733" s="12">
        <v>499683.97277236101</v>
      </c>
      <c r="H733" s="13">
        <v>0.6764</v>
      </c>
      <c r="I733" s="13">
        <v>0.6149</v>
      </c>
      <c r="J733" s="13">
        <v>0.52639999999999998</v>
      </c>
      <c r="K733" s="13">
        <v>0</v>
      </c>
      <c r="L733" s="13">
        <v>7.0000000000000007E-2</v>
      </c>
      <c r="M733" s="13">
        <v>0.25</v>
      </c>
    </row>
    <row r="734" spans="2:13" x14ac:dyDescent="0.25">
      <c r="B734" s="14" t="s">
        <v>164</v>
      </c>
      <c r="C734" s="14" t="s">
        <v>72</v>
      </c>
      <c r="D734" t="s">
        <v>14</v>
      </c>
      <c r="E734" s="16" t="s">
        <v>133</v>
      </c>
      <c r="F734">
        <v>2028</v>
      </c>
      <c r="G734" s="12">
        <v>2203919</v>
      </c>
      <c r="H734" s="13">
        <v>0.9</v>
      </c>
      <c r="I734" s="13">
        <v>0</v>
      </c>
      <c r="J734" s="13">
        <v>0</v>
      </c>
      <c r="K734" s="13"/>
      <c r="L734" s="13">
        <v>0.08</v>
      </c>
      <c r="M734" s="13"/>
    </row>
    <row r="735" spans="2:13" x14ac:dyDescent="0.25">
      <c r="B735" s="14" t="s">
        <v>164</v>
      </c>
      <c r="C735" s="14" t="s">
        <v>72</v>
      </c>
      <c r="D735" t="s">
        <v>46</v>
      </c>
      <c r="E735" s="16" t="s">
        <v>133</v>
      </c>
      <c r="F735">
        <v>2027</v>
      </c>
      <c r="G735" s="12">
        <v>477270</v>
      </c>
      <c r="H735" s="13">
        <v>0</v>
      </c>
      <c r="I735" s="13">
        <v>0</v>
      </c>
      <c r="J735" s="13">
        <v>0</v>
      </c>
      <c r="K735" s="13"/>
      <c r="L735" s="13">
        <v>0.08</v>
      </c>
      <c r="M735" s="13">
        <v>0.25</v>
      </c>
    </row>
    <row r="736" spans="2:13" x14ac:dyDescent="0.25">
      <c r="B736" s="14" t="s">
        <v>164</v>
      </c>
      <c r="C736" s="14" t="s">
        <v>72</v>
      </c>
      <c r="D736" t="s">
        <v>46</v>
      </c>
      <c r="E736" s="16" t="s">
        <v>133</v>
      </c>
      <c r="F736">
        <v>2028</v>
      </c>
      <c r="G736" s="12">
        <v>479059</v>
      </c>
      <c r="H736" s="13">
        <v>0.64547600000000005</v>
      </c>
      <c r="I736" s="13">
        <v>0.58275829999999995</v>
      </c>
      <c r="J736" s="13">
        <v>0.492506</v>
      </c>
      <c r="K736" s="13"/>
      <c r="L736" s="13">
        <v>0.08</v>
      </c>
      <c r="M736" s="13">
        <v>0.25</v>
      </c>
    </row>
    <row r="737" spans="2:13" x14ac:dyDescent="0.25">
      <c r="B737" s="14" t="s">
        <v>164</v>
      </c>
      <c r="C737" s="14" t="s">
        <v>72</v>
      </c>
      <c r="D737" t="s">
        <v>46</v>
      </c>
      <c r="E737" s="16" t="s">
        <v>133</v>
      </c>
      <c r="F737">
        <v>2029</v>
      </c>
      <c r="G737" s="12">
        <v>480640</v>
      </c>
      <c r="H737" s="13">
        <v>0.65207599999999999</v>
      </c>
      <c r="I737" s="13">
        <v>0.5893583</v>
      </c>
      <c r="J737" s="13">
        <v>0.49910599999999999</v>
      </c>
      <c r="K737" s="13"/>
      <c r="L737" s="13">
        <v>0.08</v>
      </c>
      <c r="M737" s="13">
        <v>0.25</v>
      </c>
    </row>
    <row r="738" spans="2:13" x14ac:dyDescent="0.25">
      <c r="B738" s="14" t="s">
        <v>164</v>
      </c>
      <c r="C738" s="14" t="s">
        <v>72</v>
      </c>
      <c r="D738" t="s">
        <v>46</v>
      </c>
      <c r="E738" s="16" t="s">
        <v>133</v>
      </c>
      <c r="F738">
        <v>2030</v>
      </c>
      <c r="G738" s="12">
        <v>482777</v>
      </c>
      <c r="H738" s="13">
        <v>0.65867600000000004</v>
      </c>
      <c r="I738" s="13">
        <v>0.59595830000000005</v>
      </c>
      <c r="J738" s="13">
        <v>0.50570599999999999</v>
      </c>
      <c r="K738" s="13"/>
      <c r="L738" s="13">
        <v>0.08</v>
      </c>
      <c r="M738" s="13">
        <v>0.25</v>
      </c>
    </row>
    <row r="739" spans="2:13" x14ac:dyDescent="0.25">
      <c r="B739" s="14" t="s">
        <v>164</v>
      </c>
      <c r="C739" s="14" t="s">
        <v>15</v>
      </c>
      <c r="D739" t="s">
        <v>136</v>
      </c>
      <c r="E739" s="16" t="s">
        <v>133</v>
      </c>
      <c r="F739">
        <v>2027</v>
      </c>
      <c r="G739" s="12">
        <v>0</v>
      </c>
      <c r="H739" s="13">
        <v>0</v>
      </c>
      <c r="I739" s="13"/>
      <c r="J739" s="13"/>
      <c r="K739" s="13"/>
      <c r="L739" s="13">
        <v>0.05</v>
      </c>
      <c r="M739" s="13">
        <v>0.25</v>
      </c>
    </row>
    <row r="740" spans="2:13" x14ac:dyDescent="0.25">
      <c r="B740" s="14" t="s">
        <v>164</v>
      </c>
      <c r="C740" s="14" t="s">
        <v>15</v>
      </c>
      <c r="D740" t="s">
        <v>136</v>
      </c>
      <c r="E740" s="16" t="s">
        <v>133</v>
      </c>
      <c r="F740">
        <v>2028</v>
      </c>
      <c r="G740" s="12">
        <v>958507.5</v>
      </c>
      <c r="H740" s="13">
        <v>0.8</v>
      </c>
      <c r="I740" s="13"/>
      <c r="J740" s="13"/>
      <c r="K740" s="13"/>
      <c r="L740" s="13">
        <v>0.05</v>
      </c>
      <c r="M740" s="13">
        <v>0.25</v>
      </c>
    </row>
    <row r="741" spans="2:13" x14ac:dyDescent="0.25">
      <c r="B741" s="14" t="s">
        <v>164</v>
      </c>
      <c r="C741" s="14" t="s">
        <v>15</v>
      </c>
      <c r="D741" t="s">
        <v>136</v>
      </c>
      <c r="E741" s="16" t="s">
        <v>133</v>
      </c>
      <c r="F741">
        <v>2029</v>
      </c>
      <c r="G741" s="12">
        <v>0</v>
      </c>
      <c r="H741" s="13">
        <v>0</v>
      </c>
      <c r="I741" s="13"/>
      <c r="J741" s="13"/>
      <c r="K741" s="13"/>
      <c r="L741" s="13">
        <v>0.05</v>
      </c>
      <c r="M741" s="13">
        <v>0.25</v>
      </c>
    </row>
    <row r="742" spans="2:13" x14ac:dyDescent="0.25">
      <c r="B742" s="14" t="s">
        <v>164</v>
      </c>
      <c r="C742" s="14" t="s">
        <v>15</v>
      </c>
      <c r="D742" t="s">
        <v>46</v>
      </c>
      <c r="E742" s="16" t="s">
        <v>133</v>
      </c>
      <c r="F742">
        <v>2027</v>
      </c>
      <c r="G742" s="12">
        <v>342150</v>
      </c>
      <c r="H742" s="13">
        <v>0</v>
      </c>
      <c r="I742" s="13"/>
      <c r="J742" s="13"/>
      <c r="K742" s="13"/>
      <c r="L742" s="13">
        <v>0.05</v>
      </c>
      <c r="M742" s="13">
        <v>0.25</v>
      </c>
    </row>
    <row r="743" spans="2:13" x14ac:dyDescent="0.25">
      <c r="B743" s="14" t="s">
        <v>164</v>
      </c>
      <c r="C743" s="14" t="s">
        <v>15</v>
      </c>
      <c r="D743" t="s">
        <v>46</v>
      </c>
      <c r="E743" s="16" t="s">
        <v>133</v>
      </c>
      <c r="F743">
        <v>2028</v>
      </c>
      <c r="G743" s="12">
        <v>352072</v>
      </c>
      <c r="H743" s="13">
        <v>0.55609539370000005</v>
      </c>
      <c r="I743" s="13"/>
      <c r="J743" s="13"/>
      <c r="K743" s="13"/>
      <c r="L743" s="13">
        <v>0.05</v>
      </c>
      <c r="M743" s="13">
        <v>0.25</v>
      </c>
    </row>
    <row r="744" spans="2:13" x14ac:dyDescent="0.25">
      <c r="B744" s="14" t="s">
        <v>164</v>
      </c>
      <c r="C744" s="14" t="s">
        <v>15</v>
      </c>
      <c r="D744" t="s">
        <v>46</v>
      </c>
      <c r="E744" s="16" t="s">
        <v>133</v>
      </c>
      <c r="F744">
        <v>2029</v>
      </c>
      <c r="G744" s="12">
        <v>362282</v>
      </c>
      <c r="H744" s="13">
        <v>0.55609539370000005</v>
      </c>
      <c r="I744" s="13"/>
      <c r="J744" s="13"/>
      <c r="K744" s="13"/>
      <c r="L744" s="13">
        <v>0.05</v>
      </c>
      <c r="M744" s="13">
        <v>0.25</v>
      </c>
    </row>
    <row r="745" spans="2:13" x14ac:dyDescent="0.25">
      <c r="B745" s="14" t="s">
        <v>164</v>
      </c>
      <c r="C745" s="14" t="s">
        <v>15</v>
      </c>
      <c r="D745" t="s">
        <v>46</v>
      </c>
      <c r="E745" s="16" t="s">
        <v>133</v>
      </c>
      <c r="F745">
        <v>2030</v>
      </c>
      <c r="G745" s="12">
        <v>367155</v>
      </c>
      <c r="H745" s="13">
        <v>0.55609539370000005</v>
      </c>
      <c r="I745" s="13"/>
      <c r="J745" s="13"/>
      <c r="K745" s="13"/>
      <c r="L745" s="13">
        <v>0.05</v>
      </c>
      <c r="M745" s="13">
        <v>0.25</v>
      </c>
    </row>
    <row r="746" spans="2:13" x14ac:dyDescent="0.25">
      <c r="B746" s="14" t="s">
        <v>164</v>
      </c>
      <c r="C746" s="14" t="s">
        <v>145</v>
      </c>
      <c r="D746" t="s">
        <v>46</v>
      </c>
      <c r="E746" s="16" t="s">
        <v>133</v>
      </c>
      <c r="F746">
        <v>2026</v>
      </c>
      <c r="G746" s="12">
        <v>248553</v>
      </c>
      <c r="H746" s="13">
        <v>0.60499999999999998</v>
      </c>
      <c r="I746" s="13">
        <v>0.60499999999999998</v>
      </c>
      <c r="J746" s="13">
        <v>0.60499999999999998</v>
      </c>
      <c r="K746" s="13">
        <v>0.6</v>
      </c>
      <c r="L746" s="13"/>
      <c r="M746" s="13">
        <v>0.25</v>
      </c>
    </row>
    <row r="747" spans="2:13" x14ac:dyDescent="0.25">
      <c r="B747" s="14" t="s">
        <v>164</v>
      </c>
      <c r="C747" s="14" t="s">
        <v>145</v>
      </c>
      <c r="D747" t="s">
        <v>46</v>
      </c>
      <c r="E747" s="16" t="s">
        <v>133</v>
      </c>
      <c r="F747">
        <v>2027</v>
      </c>
      <c r="G747" s="12">
        <v>324520.00136718701</v>
      </c>
      <c r="H747" s="13">
        <v>0.61</v>
      </c>
      <c r="I747" s="13">
        <v>0.61</v>
      </c>
      <c r="J747" s="13">
        <v>0.61</v>
      </c>
      <c r="K747" s="13">
        <v>0.60499999999999998</v>
      </c>
      <c r="L747" s="13"/>
      <c r="M747" s="13">
        <v>0.25</v>
      </c>
    </row>
    <row r="748" spans="2:13" x14ac:dyDescent="0.25">
      <c r="B748" s="14" t="s">
        <v>164</v>
      </c>
      <c r="C748" s="14" t="s">
        <v>145</v>
      </c>
      <c r="D748" t="s">
        <v>46</v>
      </c>
      <c r="E748" s="16" t="s">
        <v>133</v>
      </c>
      <c r="F748">
        <v>2028</v>
      </c>
      <c r="G748" s="12">
        <v>326631.20546874998</v>
      </c>
      <c r="H748" s="13">
        <v>0.61499999999999999</v>
      </c>
      <c r="I748" s="13">
        <v>0.61499999999999999</v>
      </c>
      <c r="J748" s="13">
        <v>0.61499999999999999</v>
      </c>
      <c r="K748" s="13">
        <v>0.61</v>
      </c>
      <c r="L748" s="13"/>
      <c r="M748" s="13">
        <v>0.25</v>
      </c>
    </row>
    <row r="749" spans="2:13" x14ac:dyDescent="0.25">
      <c r="B749" s="14" t="s">
        <v>164</v>
      </c>
      <c r="C749" s="14" t="s">
        <v>145</v>
      </c>
      <c r="D749" t="s">
        <v>46</v>
      </c>
      <c r="E749" s="16" t="s">
        <v>133</v>
      </c>
      <c r="F749">
        <v>2029</v>
      </c>
      <c r="G749" s="12">
        <v>329052.50555419899</v>
      </c>
      <c r="H749" s="13">
        <v>0.62</v>
      </c>
      <c r="I749" s="13">
        <v>0.62</v>
      </c>
      <c r="J749" s="13">
        <v>0.62</v>
      </c>
      <c r="K749" s="13">
        <v>0.61499999999999999</v>
      </c>
      <c r="L749" s="13"/>
      <c r="M749" s="13">
        <v>0.25</v>
      </c>
    </row>
    <row r="750" spans="2:13" x14ac:dyDescent="0.25">
      <c r="B750" s="14" t="s">
        <v>164</v>
      </c>
      <c r="C750" s="14" t="s">
        <v>145</v>
      </c>
      <c r="D750" t="s">
        <v>46</v>
      </c>
      <c r="E750" s="16" t="s">
        <v>133</v>
      </c>
      <c r="F750">
        <v>2030</v>
      </c>
      <c r="G750" s="12">
        <v>331094.406066895</v>
      </c>
      <c r="H750" s="13">
        <v>0.625</v>
      </c>
      <c r="I750" s="13">
        <v>0.625</v>
      </c>
      <c r="J750" s="13">
        <v>0.625</v>
      </c>
      <c r="K750" s="13">
        <v>0.62</v>
      </c>
      <c r="L750" s="13"/>
      <c r="M750" s="13">
        <v>0.25</v>
      </c>
    </row>
    <row r="751" spans="2:13" x14ac:dyDescent="0.25">
      <c r="B751" s="14" t="s">
        <v>164</v>
      </c>
      <c r="C751" s="14" t="s">
        <v>121</v>
      </c>
      <c r="D751" t="s">
        <v>141</v>
      </c>
      <c r="E751" s="16" t="s">
        <v>133</v>
      </c>
      <c r="F751">
        <v>2026</v>
      </c>
      <c r="G751" s="12">
        <v>4282092</v>
      </c>
      <c r="H751" s="13">
        <v>0.95</v>
      </c>
      <c r="I751" s="13"/>
      <c r="J751" s="13"/>
      <c r="K751" s="13"/>
      <c r="L751" s="13"/>
      <c r="M751" s="13"/>
    </row>
    <row r="752" spans="2:13" x14ac:dyDescent="0.25">
      <c r="B752" s="14" t="s">
        <v>164</v>
      </c>
      <c r="C752" s="14" t="s">
        <v>121</v>
      </c>
      <c r="D752" t="s">
        <v>138</v>
      </c>
      <c r="E752" s="16" t="s">
        <v>133</v>
      </c>
      <c r="F752">
        <v>2026</v>
      </c>
      <c r="G752" s="12">
        <v>562709</v>
      </c>
      <c r="H752" s="13">
        <v>0.66</v>
      </c>
      <c r="I752" s="13">
        <v>0.61</v>
      </c>
      <c r="J752" s="13"/>
      <c r="K752" s="13"/>
      <c r="L752" s="13"/>
      <c r="M752" s="13"/>
    </row>
    <row r="753" spans="2:13" x14ac:dyDescent="0.25">
      <c r="B753" s="14" t="s">
        <v>164</v>
      </c>
      <c r="C753" s="14" t="s">
        <v>121</v>
      </c>
      <c r="D753" t="s">
        <v>138</v>
      </c>
      <c r="E753" s="16" t="s">
        <v>133</v>
      </c>
      <c r="F753">
        <v>2027</v>
      </c>
      <c r="G753" s="12">
        <v>582966</v>
      </c>
      <c r="H753" s="13">
        <v>0.69</v>
      </c>
      <c r="I753" s="13">
        <v>0.64</v>
      </c>
      <c r="J753" s="13"/>
      <c r="K753" s="13"/>
      <c r="L753" s="13"/>
      <c r="M753" s="13"/>
    </row>
    <row r="754" spans="2:13" x14ac:dyDescent="0.25">
      <c r="B754" s="14" t="s">
        <v>164</v>
      </c>
      <c r="C754" s="14" t="s">
        <v>38</v>
      </c>
      <c r="D754" t="s">
        <v>46</v>
      </c>
      <c r="E754" s="16" t="s">
        <v>133</v>
      </c>
      <c r="F754">
        <v>2026</v>
      </c>
      <c r="G754" s="12">
        <v>562709</v>
      </c>
      <c r="H754" s="13">
        <v>0.7</v>
      </c>
      <c r="I754" s="13"/>
      <c r="J754" s="13"/>
      <c r="K754" s="13"/>
      <c r="L754" s="13">
        <v>0.2</v>
      </c>
      <c r="M754" s="13">
        <v>0.25</v>
      </c>
    </row>
    <row r="755" spans="2:13" x14ac:dyDescent="0.25">
      <c r="B755" s="14" t="s">
        <v>164</v>
      </c>
      <c r="C755" s="14" t="s">
        <v>38</v>
      </c>
      <c r="D755" t="s">
        <v>46</v>
      </c>
      <c r="E755" s="16" t="s">
        <v>133</v>
      </c>
      <c r="F755">
        <v>2027</v>
      </c>
      <c r="G755" s="12">
        <v>582966</v>
      </c>
      <c r="H755" s="13">
        <v>0.82</v>
      </c>
      <c r="I755" s="13"/>
      <c r="J755" s="13"/>
      <c r="K755" s="13"/>
      <c r="L755" s="13">
        <v>0.2</v>
      </c>
      <c r="M755" s="13">
        <v>0.25</v>
      </c>
    </row>
    <row r="756" spans="2:13" x14ac:dyDescent="0.25">
      <c r="B756" s="14" t="s">
        <v>164</v>
      </c>
      <c r="C756" s="14" t="s">
        <v>38</v>
      </c>
      <c r="D756" t="s">
        <v>46</v>
      </c>
      <c r="E756" s="16" t="s">
        <v>133</v>
      </c>
      <c r="F756">
        <v>2028</v>
      </c>
      <c r="G756" s="12">
        <v>603952.23313648801</v>
      </c>
      <c r="H756" s="13">
        <v>0.84</v>
      </c>
      <c r="I756" s="13"/>
      <c r="J756" s="13"/>
      <c r="K756" s="13"/>
      <c r="L756" s="13">
        <v>0.2</v>
      </c>
      <c r="M756" s="13">
        <v>0.25</v>
      </c>
    </row>
    <row r="757" spans="2:13" x14ac:dyDescent="0.25">
      <c r="B757" s="14" t="s">
        <v>164</v>
      </c>
      <c r="C757" s="14" t="s">
        <v>38</v>
      </c>
      <c r="D757" t="s">
        <v>46</v>
      </c>
      <c r="E757" s="16" t="s">
        <v>133</v>
      </c>
      <c r="F757">
        <v>2029</v>
      </c>
      <c r="G757" s="12">
        <v>499722</v>
      </c>
      <c r="H757" s="13">
        <v>0.51</v>
      </c>
      <c r="I757" s="13"/>
      <c r="J757" s="13"/>
      <c r="K757" s="13"/>
      <c r="L757" s="13">
        <v>0.2</v>
      </c>
      <c r="M757" s="13">
        <v>0.25</v>
      </c>
    </row>
    <row r="758" spans="2:13" x14ac:dyDescent="0.25">
      <c r="B758" s="14" t="s">
        <v>164</v>
      </c>
      <c r="C758" s="14" t="s">
        <v>38</v>
      </c>
      <c r="D758" t="s">
        <v>46</v>
      </c>
      <c r="E758" s="16" t="s">
        <v>133</v>
      </c>
      <c r="F758">
        <v>2030</v>
      </c>
      <c r="G758" s="12">
        <v>501944</v>
      </c>
      <c r="H758" s="13">
        <v>0.51</v>
      </c>
      <c r="I758" s="13"/>
      <c r="J758" s="13"/>
      <c r="K758" s="13"/>
      <c r="L758" s="13">
        <v>0.2</v>
      </c>
      <c r="M758" s="13">
        <v>0.25</v>
      </c>
    </row>
    <row r="759" spans="2:13" x14ac:dyDescent="0.25">
      <c r="B759" s="14" t="s">
        <v>164</v>
      </c>
      <c r="C759" s="14" t="s">
        <v>52</v>
      </c>
      <c r="D759" t="s">
        <v>137</v>
      </c>
      <c r="E759" s="16" t="s">
        <v>133</v>
      </c>
      <c r="F759">
        <v>2028</v>
      </c>
      <c r="G759" s="12">
        <v>4605014.1136363596</v>
      </c>
      <c r="H759" s="13">
        <v>0.85</v>
      </c>
      <c r="I759" s="13"/>
      <c r="J759" s="13"/>
      <c r="K759" s="13"/>
      <c r="L759" s="13"/>
      <c r="M759" s="13"/>
    </row>
    <row r="760" spans="2:13" x14ac:dyDescent="0.25">
      <c r="B760" s="14" t="s">
        <v>164</v>
      </c>
      <c r="C760" s="14" t="s">
        <v>52</v>
      </c>
      <c r="D760" t="s">
        <v>141</v>
      </c>
      <c r="E760" s="16" t="s">
        <v>133</v>
      </c>
      <c r="F760">
        <v>2030</v>
      </c>
      <c r="G760" s="12">
        <v>2072556.5625</v>
      </c>
      <c r="H760" s="13">
        <v>0.85</v>
      </c>
      <c r="I760" s="13"/>
      <c r="J760" s="13"/>
      <c r="K760" s="13"/>
      <c r="L760" s="13"/>
      <c r="M760" s="13"/>
    </row>
    <row r="761" spans="2:13" x14ac:dyDescent="0.25">
      <c r="B761" s="14" t="s">
        <v>164</v>
      </c>
      <c r="C761" s="14" t="s">
        <v>52</v>
      </c>
      <c r="D761" t="s">
        <v>138</v>
      </c>
      <c r="E761" s="16" t="s">
        <v>133</v>
      </c>
      <c r="F761">
        <v>2028</v>
      </c>
      <c r="G761" s="12">
        <v>671553.607710051</v>
      </c>
      <c r="H761" s="13">
        <v>0.89</v>
      </c>
      <c r="I761" s="13">
        <v>0.85</v>
      </c>
      <c r="J761" s="13"/>
      <c r="K761" s="13"/>
      <c r="L761" s="13"/>
      <c r="M761" s="13"/>
    </row>
    <row r="762" spans="2:13" x14ac:dyDescent="0.25">
      <c r="B762" s="14" t="s">
        <v>164</v>
      </c>
      <c r="C762" s="14" t="s">
        <v>52</v>
      </c>
      <c r="D762" t="s">
        <v>138</v>
      </c>
      <c r="E762" s="16" t="s">
        <v>133</v>
      </c>
      <c r="F762">
        <v>2029</v>
      </c>
      <c r="G762" s="12">
        <v>499722</v>
      </c>
      <c r="H762" s="13">
        <v>0.51</v>
      </c>
      <c r="I762" s="13">
        <v>0.40986</v>
      </c>
      <c r="J762" s="13"/>
      <c r="K762" s="13"/>
      <c r="L762" s="13"/>
      <c r="M762" s="13"/>
    </row>
    <row r="763" spans="2:13" x14ac:dyDescent="0.25">
      <c r="B763" s="14" t="s">
        <v>164</v>
      </c>
      <c r="C763" s="14" t="s">
        <v>52</v>
      </c>
      <c r="D763" t="s">
        <v>138</v>
      </c>
      <c r="E763" s="16" t="s">
        <v>133</v>
      </c>
      <c r="F763">
        <v>2030</v>
      </c>
      <c r="G763" s="12">
        <v>501944</v>
      </c>
      <c r="H763" s="13">
        <v>0.51</v>
      </c>
      <c r="I763" s="13">
        <v>0.40986</v>
      </c>
      <c r="J763" s="13"/>
      <c r="K763" s="13"/>
      <c r="L763" s="13"/>
      <c r="M763" s="13"/>
    </row>
    <row r="764" spans="2:13" x14ac:dyDescent="0.25">
      <c r="B764" s="14" t="s">
        <v>164</v>
      </c>
      <c r="C764" s="14" t="s">
        <v>146</v>
      </c>
      <c r="D764" t="s">
        <v>46</v>
      </c>
      <c r="E764" s="16" t="s">
        <v>133</v>
      </c>
      <c r="F764">
        <v>2028</v>
      </c>
      <c r="G764" s="12">
        <v>4131</v>
      </c>
      <c r="H764" s="13"/>
      <c r="I764" s="13"/>
      <c r="J764" s="13"/>
      <c r="K764" s="13"/>
      <c r="L764" s="13"/>
      <c r="M764" s="13">
        <v>0.25</v>
      </c>
    </row>
    <row r="765" spans="2:13" x14ac:dyDescent="0.25">
      <c r="B765" s="14" t="s">
        <v>164</v>
      </c>
      <c r="C765" s="14" t="s">
        <v>146</v>
      </c>
      <c r="D765" t="s">
        <v>46</v>
      </c>
      <c r="E765" s="16" t="s">
        <v>133</v>
      </c>
      <c r="F765">
        <v>2029</v>
      </c>
      <c r="G765" s="12">
        <v>4145</v>
      </c>
      <c r="H765" s="13"/>
      <c r="I765" s="13"/>
      <c r="J765" s="13"/>
      <c r="K765" s="13"/>
      <c r="L765" s="13"/>
      <c r="M765" s="13">
        <v>0.25</v>
      </c>
    </row>
    <row r="766" spans="2:13" x14ac:dyDescent="0.25">
      <c r="B766" s="14" t="s">
        <v>164</v>
      </c>
      <c r="C766" s="14" t="s">
        <v>146</v>
      </c>
      <c r="D766" t="s">
        <v>46</v>
      </c>
      <c r="E766" s="16" t="s">
        <v>133</v>
      </c>
      <c r="F766">
        <v>2030</v>
      </c>
      <c r="G766" s="12">
        <v>4163</v>
      </c>
      <c r="H766" s="13"/>
      <c r="I766" s="13"/>
      <c r="J766" s="13"/>
      <c r="K766" s="13"/>
      <c r="L766" s="13"/>
      <c r="M766" s="13">
        <v>0.25</v>
      </c>
    </row>
    <row r="767" spans="2:13" x14ac:dyDescent="0.25">
      <c r="B767" s="14" t="s">
        <v>164</v>
      </c>
      <c r="C767" s="14" t="s">
        <v>139</v>
      </c>
      <c r="D767" t="s">
        <v>46</v>
      </c>
      <c r="E767" s="16" t="s">
        <v>133</v>
      </c>
      <c r="F767">
        <v>2027</v>
      </c>
      <c r="G767" s="12">
        <v>477270</v>
      </c>
      <c r="H767" s="13">
        <v>0.21295866669999999</v>
      </c>
      <c r="I767" s="13">
        <v>0.19205276669999999</v>
      </c>
      <c r="J767" s="13">
        <v>0.16196866670000001</v>
      </c>
      <c r="K767" s="13"/>
      <c r="L767" s="13">
        <v>7.0000000000000007E-2</v>
      </c>
      <c r="M767" s="13">
        <v>0.25</v>
      </c>
    </row>
    <row r="768" spans="2:13" x14ac:dyDescent="0.25">
      <c r="B768" s="14" t="s">
        <v>164</v>
      </c>
      <c r="C768" s="14" t="s">
        <v>139</v>
      </c>
      <c r="D768" t="s">
        <v>46</v>
      </c>
      <c r="E768" s="16" t="s">
        <v>133</v>
      </c>
      <c r="F768">
        <v>2028</v>
      </c>
      <c r="G768" s="12">
        <v>479059</v>
      </c>
      <c r="H768" s="13">
        <v>0.64547600000000005</v>
      </c>
      <c r="I768" s="13">
        <v>0.58275829999999995</v>
      </c>
      <c r="J768" s="13">
        <v>0.492506</v>
      </c>
      <c r="K768" s="13"/>
      <c r="L768" s="13">
        <v>7.0000000000000007E-2</v>
      </c>
      <c r="M768" s="13">
        <v>0.25</v>
      </c>
    </row>
    <row r="769" spans="2:13" x14ac:dyDescent="0.25">
      <c r="B769" s="14" t="s">
        <v>164</v>
      </c>
      <c r="C769" s="14" t="s">
        <v>139</v>
      </c>
      <c r="D769" t="s">
        <v>46</v>
      </c>
      <c r="E769" s="16" t="s">
        <v>133</v>
      </c>
      <c r="F769">
        <v>2029</v>
      </c>
      <c r="G769" s="12">
        <v>480640</v>
      </c>
      <c r="H769" s="13">
        <v>0.65207599999999999</v>
      </c>
      <c r="I769" s="13">
        <v>0.5893583</v>
      </c>
      <c r="J769" s="13">
        <v>0.49910599999999999</v>
      </c>
      <c r="K769" s="13"/>
      <c r="L769" s="13">
        <v>7.0000000000000007E-2</v>
      </c>
      <c r="M769" s="13">
        <v>0.25</v>
      </c>
    </row>
    <row r="770" spans="2:13" x14ac:dyDescent="0.25">
      <c r="B770" s="14" t="s">
        <v>164</v>
      </c>
      <c r="C770" s="14" t="s">
        <v>139</v>
      </c>
      <c r="D770" t="s">
        <v>46</v>
      </c>
      <c r="E770" s="16" t="s">
        <v>133</v>
      </c>
      <c r="F770">
        <v>2030</v>
      </c>
      <c r="G770" s="12">
        <v>482777</v>
      </c>
      <c r="H770" s="13">
        <v>0.65867600000000004</v>
      </c>
      <c r="I770" s="13">
        <v>0.59595830000000005</v>
      </c>
      <c r="J770" s="13">
        <v>0.50570599999999999</v>
      </c>
      <c r="K770" s="13"/>
      <c r="L770" s="13">
        <v>7.0000000000000007E-2</v>
      </c>
      <c r="M770" s="13">
        <v>0.25</v>
      </c>
    </row>
    <row r="771" spans="2:13" x14ac:dyDescent="0.25">
      <c r="B771" s="14" t="s">
        <v>164</v>
      </c>
      <c r="C771" s="14" t="s">
        <v>101</v>
      </c>
      <c r="D771" t="s">
        <v>137</v>
      </c>
      <c r="E771" s="16" t="s">
        <v>133</v>
      </c>
      <c r="F771">
        <v>2029</v>
      </c>
      <c r="G771" s="12"/>
      <c r="H771" s="13">
        <v>1</v>
      </c>
      <c r="I771" s="13"/>
      <c r="J771" s="13"/>
      <c r="K771" s="13"/>
      <c r="L771" s="13">
        <v>0.1</v>
      </c>
      <c r="M771" s="13"/>
    </row>
    <row r="772" spans="2:13" x14ac:dyDescent="0.25">
      <c r="B772" s="14" t="s">
        <v>164</v>
      </c>
      <c r="C772" s="14" t="s">
        <v>101</v>
      </c>
      <c r="D772" t="s">
        <v>137</v>
      </c>
      <c r="E772" s="16" t="s">
        <v>133</v>
      </c>
      <c r="F772">
        <v>2030</v>
      </c>
      <c r="G772" s="12">
        <v>6504345.5</v>
      </c>
      <c r="H772" s="13">
        <v>1</v>
      </c>
      <c r="I772" s="13"/>
      <c r="J772" s="13"/>
      <c r="K772" s="13"/>
      <c r="L772" s="13">
        <v>0.1</v>
      </c>
      <c r="M772" s="13"/>
    </row>
    <row r="773" spans="2:13" x14ac:dyDescent="0.25">
      <c r="B773" s="14" t="s">
        <v>164</v>
      </c>
      <c r="C773" s="14" t="s">
        <v>101</v>
      </c>
      <c r="D773" t="s">
        <v>46</v>
      </c>
      <c r="E773" s="16" t="s">
        <v>133</v>
      </c>
      <c r="F773">
        <v>2030</v>
      </c>
      <c r="G773" s="12">
        <v>481370.19522668701</v>
      </c>
      <c r="H773" s="13">
        <v>0.1241</v>
      </c>
      <c r="I773" s="13"/>
      <c r="J773" s="13"/>
      <c r="K773" s="13"/>
      <c r="L773" s="13">
        <v>0.1</v>
      </c>
      <c r="M773" s="13"/>
    </row>
    <row r="774" spans="2:13" x14ac:dyDescent="0.25">
      <c r="B774" s="14" t="s">
        <v>164</v>
      </c>
      <c r="C774" s="14" t="s">
        <v>74</v>
      </c>
      <c r="D774" t="s">
        <v>142</v>
      </c>
      <c r="E774" s="16" t="s">
        <v>133</v>
      </c>
      <c r="F774">
        <v>2028</v>
      </c>
      <c r="G774" s="12">
        <v>6144144.1441441402</v>
      </c>
      <c r="H774" s="13">
        <v>1</v>
      </c>
      <c r="I774" s="13"/>
      <c r="J774" s="13"/>
      <c r="K774" s="13"/>
      <c r="L774" s="13">
        <v>0.1</v>
      </c>
      <c r="M774" s="13">
        <v>0</v>
      </c>
    </row>
    <row r="775" spans="2:13" x14ac:dyDescent="0.25">
      <c r="B775" s="14" t="s">
        <v>164</v>
      </c>
      <c r="C775" s="14" t="s">
        <v>74</v>
      </c>
      <c r="D775" t="s">
        <v>46</v>
      </c>
      <c r="E775" s="16" t="s">
        <v>133</v>
      </c>
      <c r="F775">
        <v>2026</v>
      </c>
      <c r="G775" s="12">
        <v>562709</v>
      </c>
      <c r="H775" s="13">
        <v>0.67</v>
      </c>
      <c r="I775" s="13"/>
      <c r="J775" s="13"/>
      <c r="K775" s="13"/>
      <c r="L775" s="13">
        <v>0.2</v>
      </c>
      <c r="M775" s="13">
        <v>0.25</v>
      </c>
    </row>
    <row r="776" spans="2:13" x14ac:dyDescent="0.25">
      <c r="B776" s="14" t="s">
        <v>164</v>
      </c>
      <c r="C776" s="14" t="s">
        <v>74</v>
      </c>
      <c r="D776" t="s">
        <v>46</v>
      </c>
      <c r="E776" s="16" t="s">
        <v>133</v>
      </c>
      <c r="F776">
        <v>2027</v>
      </c>
      <c r="G776" s="12">
        <v>582966</v>
      </c>
      <c r="H776" s="13">
        <v>0.71</v>
      </c>
      <c r="I776" s="13"/>
      <c r="J776" s="13"/>
      <c r="K776" s="13"/>
      <c r="L776" s="13">
        <v>0.2</v>
      </c>
      <c r="M776" s="13">
        <v>0.25</v>
      </c>
    </row>
    <row r="777" spans="2:13" x14ac:dyDescent="0.25">
      <c r="B777" s="14" t="s">
        <v>164</v>
      </c>
      <c r="C777" s="14" t="s">
        <v>74</v>
      </c>
      <c r="D777" t="s">
        <v>46</v>
      </c>
      <c r="E777" s="16" t="s">
        <v>133</v>
      </c>
      <c r="F777">
        <v>2028</v>
      </c>
      <c r="G777" s="12">
        <v>603952.23313648801</v>
      </c>
      <c r="H777" s="13">
        <v>0.73</v>
      </c>
      <c r="I777" s="13"/>
      <c r="J777" s="13"/>
      <c r="K777" s="13"/>
      <c r="L777" s="13">
        <v>0.2</v>
      </c>
      <c r="M777" s="13">
        <v>0.25</v>
      </c>
    </row>
    <row r="778" spans="2:13" x14ac:dyDescent="0.25">
      <c r="B778" s="14" t="s">
        <v>164</v>
      </c>
      <c r="C778" s="14" t="s">
        <v>74</v>
      </c>
      <c r="D778" t="s">
        <v>46</v>
      </c>
      <c r="E778" s="16" t="s">
        <v>133</v>
      </c>
      <c r="F778">
        <v>2029</v>
      </c>
      <c r="G778" s="12">
        <v>499722</v>
      </c>
      <c r="H778" s="13">
        <v>0.51</v>
      </c>
      <c r="I778" s="13"/>
      <c r="J778" s="13"/>
      <c r="K778" s="13"/>
      <c r="L778" s="13">
        <v>0.2</v>
      </c>
      <c r="M778" s="13">
        <v>0.25</v>
      </c>
    </row>
    <row r="779" spans="2:13" x14ac:dyDescent="0.25">
      <c r="B779" s="15" t="s">
        <v>164</v>
      </c>
      <c r="C779" s="14" t="s">
        <v>74</v>
      </c>
      <c r="D779" t="s">
        <v>46</v>
      </c>
      <c r="E779" s="16" t="s">
        <v>133</v>
      </c>
      <c r="F779">
        <v>2030</v>
      </c>
      <c r="G779" s="12">
        <v>501944</v>
      </c>
      <c r="H779" s="13">
        <v>0.51</v>
      </c>
      <c r="I779" s="13"/>
      <c r="J779" s="13"/>
      <c r="K779" s="13"/>
      <c r="L779" s="13">
        <v>0.2</v>
      </c>
      <c r="M779" s="13">
        <v>0.25</v>
      </c>
    </row>
    <row r="780" spans="2:13" x14ac:dyDescent="0.25">
      <c r="B780" s="14" t="s">
        <v>165</v>
      </c>
      <c r="C780" s="14" t="s">
        <v>132</v>
      </c>
      <c r="D780" t="s">
        <v>46</v>
      </c>
      <c r="E780" s="16" t="s">
        <v>133</v>
      </c>
      <c r="F780">
        <v>2026</v>
      </c>
      <c r="G780" s="12">
        <v>95275</v>
      </c>
      <c r="H780" s="13">
        <v>0.58671554709999996</v>
      </c>
      <c r="I780" s="13">
        <v>0.57418672550000005</v>
      </c>
      <c r="J780" s="13">
        <v>0.55615744570000003</v>
      </c>
      <c r="K780" s="13">
        <v>0</v>
      </c>
      <c r="L780" s="13">
        <v>7.0000000000000007E-2</v>
      </c>
      <c r="M780" s="13">
        <v>0.25</v>
      </c>
    </row>
    <row r="781" spans="2:13" x14ac:dyDescent="0.25">
      <c r="B781" s="14" t="s">
        <v>165</v>
      </c>
      <c r="C781" s="14" t="s">
        <v>132</v>
      </c>
      <c r="D781" t="s">
        <v>46</v>
      </c>
      <c r="E781" s="16" t="s">
        <v>133</v>
      </c>
      <c r="F781">
        <v>2027</v>
      </c>
      <c r="G781" s="12">
        <v>95392.000446555903</v>
      </c>
      <c r="H781" s="13">
        <v>0.2966577735</v>
      </c>
      <c r="I781" s="13">
        <v>0.2903933628</v>
      </c>
      <c r="J781" s="13">
        <v>0.28137872279999998</v>
      </c>
      <c r="K781" s="13">
        <v>0</v>
      </c>
      <c r="L781" s="13">
        <v>7.0000000000000007E-2</v>
      </c>
      <c r="M781" s="13">
        <v>0.25</v>
      </c>
    </row>
    <row r="782" spans="2:13" x14ac:dyDescent="0.25">
      <c r="B782" s="14" t="s">
        <v>165</v>
      </c>
      <c r="C782" s="14" t="s">
        <v>132</v>
      </c>
      <c r="D782" t="s">
        <v>46</v>
      </c>
      <c r="E782" s="16" t="s">
        <v>133</v>
      </c>
      <c r="F782">
        <v>2028</v>
      </c>
      <c r="G782" s="12">
        <v>95522.000942729195</v>
      </c>
      <c r="H782" s="13">
        <v>0</v>
      </c>
      <c r="I782" s="13">
        <v>0</v>
      </c>
      <c r="J782" s="13">
        <v>0</v>
      </c>
      <c r="K782" s="13">
        <v>0</v>
      </c>
      <c r="L782" s="13">
        <v>7.0000000000000007E-2</v>
      </c>
      <c r="M782" s="13">
        <v>0.25</v>
      </c>
    </row>
    <row r="783" spans="2:13" x14ac:dyDescent="0.25">
      <c r="B783" s="14" t="s">
        <v>165</v>
      </c>
      <c r="C783" s="14" t="s">
        <v>70</v>
      </c>
      <c r="D783" t="s">
        <v>46</v>
      </c>
      <c r="E783" s="16" t="s">
        <v>133</v>
      </c>
      <c r="F783">
        <v>2026</v>
      </c>
      <c r="G783" s="12">
        <v>95275</v>
      </c>
      <c r="H783" s="13">
        <v>0.91</v>
      </c>
      <c r="I783" s="13">
        <v>0.88</v>
      </c>
      <c r="J783" s="13">
        <v>0</v>
      </c>
      <c r="K783" s="13">
        <v>0</v>
      </c>
      <c r="L783" s="13">
        <v>7.0000000000000007E-2</v>
      </c>
      <c r="M783" s="13">
        <v>0.25</v>
      </c>
    </row>
    <row r="784" spans="2:13" x14ac:dyDescent="0.25">
      <c r="B784" s="14" t="s">
        <v>165</v>
      </c>
      <c r="C784" s="14" t="s">
        <v>70</v>
      </c>
      <c r="D784" t="s">
        <v>46</v>
      </c>
      <c r="E784" s="16" t="s">
        <v>133</v>
      </c>
      <c r="F784">
        <v>2027</v>
      </c>
      <c r="G784" s="12">
        <v>95392.000446555903</v>
      </c>
      <c r="H784" s="13">
        <v>0.45829999999999999</v>
      </c>
      <c r="I784" s="13">
        <v>0.44330000000000003</v>
      </c>
      <c r="J784" s="13">
        <v>3.3E-3</v>
      </c>
      <c r="K784" s="13">
        <v>0</v>
      </c>
      <c r="L784" s="13">
        <v>7.0000000000000007E-2</v>
      </c>
      <c r="M784" s="13">
        <v>0.25</v>
      </c>
    </row>
    <row r="785" spans="2:13" x14ac:dyDescent="0.25">
      <c r="B785" s="14" t="s">
        <v>165</v>
      </c>
      <c r="C785" s="14" t="s">
        <v>70</v>
      </c>
      <c r="D785" t="s">
        <v>46</v>
      </c>
      <c r="E785" s="16" t="s">
        <v>133</v>
      </c>
      <c r="F785">
        <v>2028</v>
      </c>
      <c r="G785" s="12">
        <v>95522.000942729195</v>
      </c>
      <c r="H785" s="13">
        <v>0</v>
      </c>
      <c r="I785" s="13">
        <v>0</v>
      </c>
      <c r="J785" s="13">
        <v>0</v>
      </c>
      <c r="K785" s="13">
        <v>0</v>
      </c>
      <c r="L785" s="13">
        <v>7.0000000000000007E-2</v>
      </c>
      <c r="M785" s="13">
        <v>0.25</v>
      </c>
    </row>
    <row r="786" spans="2:13" x14ac:dyDescent="0.25">
      <c r="B786" s="14" t="s">
        <v>165</v>
      </c>
      <c r="C786" s="14" t="s">
        <v>134</v>
      </c>
      <c r="D786" t="s">
        <v>46</v>
      </c>
      <c r="E786" s="16" t="s">
        <v>133</v>
      </c>
      <c r="F786">
        <v>2026</v>
      </c>
      <c r="G786" s="12">
        <v>95275</v>
      </c>
      <c r="H786" s="13">
        <v>0</v>
      </c>
      <c r="I786" s="13">
        <v>0</v>
      </c>
      <c r="J786" s="13">
        <v>0</v>
      </c>
      <c r="K786" s="13">
        <v>0</v>
      </c>
      <c r="L786" s="13">
        <v>7.0000000000000007E-2</v>
      </c>
      <c r="M786" s="13">
        <v>0.25</v>
      </c>
    </row>
    <row r="787" spans="2:13" x14ac:dyDescent="0.25">
      <c r="B787" s="14" t="s">
        <v>165</v>
      </c>
      <c r="C787" s="14" t="s">
        <v>134</v>
      </c>
      <c r="D787" t="s">
        <v>46</v>
      </c>
      <c r="E787" s="16" t="s">
        <v>133</v>
      </c>
      <c r="F787">
        <v>2027</v>
      </c>
      <c r="G787" s="12">
        <v>95392.000446555903</v>
      </c>
      <c r="H787" s="13">
        <v>0.2966577735</v>
      </c>
      <c r="I787" s="13">
        <v>0.2903933628</v>
      </c>
      <c r="J787" s="13">
        <v>0.28137872279999998</v>
      </c>
      <c r="K787" s="13">
        <v>0</v>
      </c>
      <c r="L787" s="13">
        <v>7.0000000000000007E-2</v>
      </c>
      <c r="M787" s="13">
        <v>0.25</v>
      </c>
    </row>
    <row r="788" spans="2:13" x14ac:dyDescent="0.25">
      <c r="B788" s="14" t="s">
        <v>165</v>
      </c>
      <c r="C788" s="14" t="s">
        <v>134</v>
      </c>
      <c r="D788" t="s">
        <v>46</v>
      </c>
      <c r="E788" s="16" t="s">
        <v>133</v>
      </c>
      <c r="F788">
        <v>2028</v>
      </c>
      <c r="G788" s="12">
        <v>95522.000942729195</v>
      </c>
      <c r="H788" s="13">
        <v>0.59991554709999995</v>
      </c>
      <c r="I788" s="13">
        <v>0.58738672550000004</v>
      </c>
      <c r="J788" s="13">
        <v>0.56935744570000002</v>
      </c>
      <c r="K788" s="13">
        <v>0</v>
      </c>
      <c r="L788" s="13">
        <v>7.0000000000000007E-2</v>
      </c>
      <c r="M788" s="13">
        <v>0.25</v>
      </c>
    </row>
    <row r="789" spans="2:13" x14ac:dyDescent="0.25">
      <c r="B789" s="14" t="s">
        <v>165</v>
      </c>
      <c r="C789" s="14" t="s">
        <v>134</v>
      </c>
      <c r="D789" t="s">
        <v>46</v>
      </c>
      <c r="E789" s="16" t="s">
        <v>133</v>
      </c>
      <c r="F789">
        <v>2029</v>
      </c>
      <c r="G789" s="12">
        <v>95637.819566592603</v>
      </c>
      <c r="H789" s="13">
        <v>0.6065155471</v>
      </c>
      <c r="I789" s="13">
        <v>0.59398672549999998</v>
      </c>
      <c r="J789" s="13">
        <v>0.57595744569999996</v>
      </c>
      <c r="K789" s="13">
        <v>0</v>
      </c>
      <c r="L789" s="13">
        <v>7.0000000000000007E-2</v>
      </c>
      <c r="M789" s="13">
        <v>0.25</v>
      </c>
    </row>
    <row r="790" spans="2:13" x14ac:dyDescent="0.25">
      <c r="B790" s="14" t="s">
        <v>165</v>
      </c>
      <c r="C790" s="14" t="s">
        <v>134</v>
      </c>
      <c r="D790" t="s">
        <v>46</v>
      </c>
      <c r="E790" s="16" t="s">
        <v>133</v>
      </c>
      <c r="F790">
        <v>2030</v>
      </c>
      <c r="G790" s="12">
        <v>95798.547452770494</v>
      </c>
      <c r="H790" s="13">
        <v>0.61311554710000005</v>
      </c>
      <c r="I790" s="13">
        <v>0.60058672550000003</v>
      </c>
      <c r="J790" s="13">
        <v>0.58255744570000001</v>
      </c>
      <c r="K790" s="13">
        <v>0</v>
      </c>
      <c r="L790" s="13">
        <v>7.0000000000000007E-2</v>
      </c>
      <c r="M790" s="13">
        <v>0.25</v>
      </c>
    </row>
    <row r="791" spans="2:13" x14ac:dyDescent="0.25">
      <c r="B791" s="14" t="s">
        <v>165</v>
      </c>
      <c r="C791" s="14" t="s">
        <v>72</v>
      </c>
      <c r="D791" t="s">
        <v>46</v>
      </c>
      <c r="E791" s="16" t="s">
        <v>133</v>
      </c>
      <c r="F791">
        <v>2026</v>
      </c>
      <c r="G791" s="12">
        <v>95275</v>
      </c>
      <c r="H791" s="13">
        <v>0.96</v>
      </c>
      <c r="I791" s="13">
        <v>0.9395</v>
      </c>
      <c r="J791" s="13">
        <v>0.91</v>
      </c>
      <c r="K791" s="13"/>
      <c r="L791" s="13">
        <v>7.0000000000000007E-2</v>
      </c>
      <c r="M791" s="13">
        <v>0.25</v>
      </c>
    </row>
    <row r="792" spans="2:13" x14ac:dyDescent="0.25">
      <c r="B792" s="14" t="s">
        <v>165</v>
      </c>
      <c r="C792" s="14" t="s">
        <v>72</v>
      </c>
      <c r="D792" t="s">
        <v>46</v>
      </c>
      <c r="E792" s="16" t="s">
        <v>133</v>
      </c>
      <c r="F792">
        <v>2027</v>
      </c>
      <c r="G792" s="12">
        <v>95392.000446555903</v>
      </c>
      <c r="H792" s="13">
        <v>0.68422205979999995</v>
      </c>
      <c r="I792" s="13">
        <v>0.66975200540000002</v>
      </c>
      <c r="J792" s="13">
        <v>0.64892924419999998</v>
      </c>
      <c r="K792" s="13"/>
      <c r="L792" s="13">
        <v>7.0000000000000007E-2</v>
      </c>
      <c r="M792" s="13">
        <v>0.25</v>
      </c>
    </row>
    <row r="793" spans="2:13" x14ac:dyDescent="0.25">
      <c r="B793" s="14" t="s">
        <v>165</v>
      </c>
      <c r="C793" s="14" t="s">
        <v>72</v>
      </c>
      <c r="D793" t="s">
        <v>46</v>
      </c>
      <c r="E793" s="16" t="s">
        <v>133</v>
      </c>
      <c r="F793">
        <v>2028</v>
      </c>
      <c r="G793" s="12">
        <v>95522.000942729195</v>
      </c>
      <c r="H793" s="13">
        <v>0.6908220598</v>
      </c>
      <c r="I793" s="13">
        <v>0.67635200539999996</v>
      </c>
      <c r="J793" s="13">
        <v>0.65552924420000003</v>
      </c>
      <c r="K793" s="13"/>
      <c r="L793" s="13">
        <v>7.0000000000000007E-2</v>
      </c>
      <c r="M793" s="13">
        <v>0.25</v>
      </c>
    </row>
    <row r="794" spans="2:13" x14ac:dyDescent="0.25">
      <c r="B794" s="14" t="s">
        <v>165</v>
      </c>
      <c r="C794" s="14" t="s">
        <v>72</v>
      </c>
      <c r="D794" t="s">
        <v>46</v>
      </c>
      <c r="E794" s="16" t="s">
        <v>133</v>
      </c>
      <c r="F794">
        <v>2029</v>
      </c>
      <c r="G794" s="12">
        <v>95637.819566592603</v>
      </c>
      <c r="H794" s="13">
        <v>0.69742205980000005</v>
      </c>
      <c r="I794" s="13">
        <v>0.68295200540000001</v>
      </c>
      <c r="J794" s="13">
        <v>0.66212924419999997</v>
      </c>
      <c r="K794" s="13"/>
      <c r="L794" s="13">
        <v>0.08</v>
      </c>
      <c r="M794" s="13">
        <v>0.25</v>
      </c>
    </row>
    <row r="795" spans="2:13" x14ac:dyDescent="0.25">
      <c r="B795" s="14" t="s">
        <v>165</v>
      </c>
      <c r="C795" s="14" t="s">
        <v>72</v>
      </c>
      <c r="D795" t="s">
        <v>46</v>
      </c>
      <c r="E795" s="16" t="s">
        <v>133</v>
      </c>
      <c r="F795">
        <v>2030</v>
      </c>
      <c r="G795" s="12">
        <v>95798.547452770494</v>
      </c>
      <c r="H795" s="13">
        <v>0.70402205979999999</v>
      </c>
      <c r="I795" s="13">
        <v>0.68955200539999995</v>
      </c>
      <c r="J795" s="13">
        <v>0.66872924420000002</v>
      </c>
      <c r="K795" s="13"/>
      <c r="L795" s="13">
        <v>0.08</v>
      </c>
      <c r="M795" s="13">
        <v>0.25</v>
      </c>
    </row>
    <row r="796" spans="2:13" x14ac:dyDescent="0.25">
      <c r="B796" s="14" t="s">
        <v>165</v>
      </c>
      <c r="C796" s="14" t="s">
        <v>15</v>
      </c>
      <c r="D796" t="s">
        <v>46</v>
      </c>
      <c r="E796" s="16" t="s">
        <v>133</v>
      </c>
      <c r="F796">
        <v>2026</v>
      </c>
      <c r="G796" s="12">
        <v>43856</v>
      </c>
      <c r="H796" s="13">
        <v>0.33333333329999998</v>
      </c>
      <c r="I796" s="13"/>
      <c r="J796" s="13"/>
      <c r="K796" s="13"/>
      <c r="L796" s="13">
        <v>0.04</v>
      </c>
      <c r="M796" s="13">
        <v>0.25</v>
      </c>
    </row>
    <row r="797" spans="2:13" x14ac:dyDescent="0.25">
      <c r="B797" s="14" t="s">
        <v>165</v>
      </c>
      <c r="C797" s="14" t="s">
        <v>15</v>
      </c>
      <c r="D797" t="s">
        <v>46</v>
      </c>
      <c r="E797" s="16" t="s">
        <v>133</v>
      </c>
      <c r="F797">
        <v>2027</v>
      </c>
      <c r="G797" s="12">
        <v>45522</v>
      </c>
      <c r="H797" s="13">
        <v>0.42499999999999999</v>
      </c>
      <c r="I797" s="13"/>
      <c r="J797" s="13"/>
      <c r="K797" s="13"/>
      <c r="L797" s="13">
        <v>0.04</v>
      </c>
      <c r="M797" s="13">
        <v>0.25</v>
      </c>
    </row>
    <row r="798" spans="2:13" x14ac:dyDescent="0.25">
      <c r="B798" s="14" t="s">
        <v>165</v>
      </c>
      <c r="C798" s="14" t="s">
        <v>15</v>
      </c>
      <c r="D798" t="s">
        <v>46</v>
      </c>
      <c r="E798" s="16" t="s">
        <v>133</v>
      </c>
      <c r="F798">
        <v>2028</v>
      </c>
      <c r="G798" s="12">
        <v>45639</v>
      </c>
      <c r="H798" s="13">
        <v>0.51666666670000005</v>
      </c>
      <c r="I798" s="13"/>
      <c r="J798" s="13"/>
      <c r="K798" s="13"/>
      <c r="L798" s="13">
        <v>0.04</v>
      </c>
      <c r="M798" s="13">
        <v>0.25</v>
      </c>
    </row>
    <row r="799" spans="2:13" x14ac:dyDescent="0.25">
      <c r="B799" s="14" t="s">
        <v>165</v>
      </c>
      <c r="C799" s="14" t="s">
        <v>15</v>
      </c>
      <c r="D799" t="s">
        <v>46</v>
      </c>
      <c r="E799" s="16" t="s">
        <v>133</v>
      </c>
      <c r="F799">
        <v>2029</v>
      </c>
      <c r="G799" s="12">
        <v>46245</v>
      </c>
      <c r="H799" s="13">
        <v>0.60833333329999995</v>
      </c>
      <c r="I799" s="13"/>
      <c r="J799" s="13"/>
      <c r="K799" s="13"/>
      <c r="L799" s="13">
        <v>0.04</v>
      </c>
      <c r="M799" s="13">
        <v>0.25</v>
      </c>
    </row>
    <row r="800" spans="2:13" x14ac:dyDescent="0.25">
      <c r="B800" s="14" t="s">
        <v>165</v>
      </c>
      <c r="C800" s="14" t="s">
        <v>15</v>
      </c>
      <c r="D800" t="s">
        <v>46</v>
      </c>
      <c r="E800" s="16" t="s">
        <v>133</v>
      </c>
      <c r="F800">
        <v>2030</v>
      </c>
      <c r="G800" s="12">
        <v>46880</v>
      </c>
      <c r="H800" s="13">
        <v>0.7</v>
      </c>
      <c r="I800" s="13"/>
      <c r="J800" s="13"/>
      <c r="K800" s="13"/>
      <c r="L800" s="13">
        <v>0.04</v>
      </c>
      <c r="M800" s="13">
        <v>0.25</v>
      </c>
    </row>
    <row r="801" spans="2:13" x14ac:dyDescent="0.25">
      <c r="B801" s="14" t="s">
        <v>165</v>
      </c>
      <c r="C801" s="14" t="s">
        <v>145</v>
      </c>
      <c r="D801" t="s">
        <v>46</v>
      </c>
      <c r="E801" s="16" t="s">
        <v>133</v>
      </c>
      <c r="F801">
        <v>2026</v>
      </c>
      <c r="G801" s="12">
        <v>0</v>
      </c>
      <c r="H801" s="13"/>
      <c r="I801" s="13"/>
      <c r="J801" s="13"/>
      <c r="K801" s="13"/>
      <c r="L801" s="13"/>
      <c r="M801" s="13">
        <v>0.25</v>
      </c>
    </row>
    <row r="802" spans="2:13" x14ac:dyDescent="0.25">
      <c r="B802" s="14" t="s">
        <v>165</v>
      </c>
      <c r="C802" s="14" t="s">
        <v>145</v>
      </c>
      <c r="D802" t="s">
        <v>46</v>
      </c>
      <c r="E802" s="16" t="s">
        <v>133</v>
      </c>
      <c r="F802">
        <v>2027</v>
      </c>
      <c r="G802" s="12">
        <v>41954.341552469901</v>
      </c>
      <c r="H802" s="13">
        <v>0.85</v>
      </c>
      <c r="I802" s="13">
        <v>0.80900000000000005</v>
      </c>
      <c r="J802" s="13">
        <v>0.77005000000000001</v>
      </c>
      <c r="K802" s="13">
        <v>0.65404249999999997</v>
      </c>
      <c r="L802" s="13"/>
      <c r="M802" s="13">
        <v>0.25</v>
      </c>
    </row>
    <row r="803" spans="2:13" x14ac:dyDescent="0.25">
      <c r="B803" s="14" t="s">
        <v>165</v>
      </c>
      <c r="C803" s="14" t="s">
        <v>145</v>
      </c>
      <c r="D803" t="s">
        <v>46</v>
      </c>
      <c r="E803" s="16" t="s">
        <v>133</v>
      </c>
      <c r="F803">
        <v>2028</v>
      </c>
      <c r="G803" s="12">
        <v>42156.439139863098</v>
      </c>
      <c r="H803" s="13">
        <v>0.85499999999999998</v>
      </c>
      <c r="I803" s="13">
        <v>0.81399999999999995</v>
      </c>
      <c r="J803" s="13">
        <v>0.77505000000000002</v>
      </c>
      <c r="K803" s="13">
        <v>0.65904249999999998</v>
      </c>
      <c r="L803" s="13"/>
      <c r="M803" s="13">
        <v>0.25</v>
      </c>
    </row>
    <row r="804" spans="2:13" x14ac:dyDescent="0.25">
      <c r="B804" s="14" t="s">
        <v>165</v>
      </c>
      <c r="C804" s="14" t="s">
        <v>145</v>
      </c>
      <c r="D804" t="s">
        <v>46</v>
      </c>
      <c r="E804" s="16" t="s">
        <v>133</v>
      </c>
      <c r="F804">
        <v>2029</v>
      </c>
      <c r="G804" s="12">
        <v>42588.108410631401</v>
      </c>
      <c r="H804" s="13">
        <v>0.86</v>
      </c>
      <c r="I804" s="13">
        <v>0.81899999999999995</v>
      </c>
      <c r="J804" s="13">
        <v>0.78005000000000002</v>
      </c>
      <c r="K804" s="13">
        <v>0.66404249999999998</v>
      </c>
      <c r="L804" s="13"/>
      <c r="M804" s="13">
        <v>0.25</v>
      </c>
    </row>
    <row r="805" spans="2:13" x14ac:dyDescent="0.25">
      <c r="B805" s="14" t="s">
        <v>165</v>
      </c>
      <c r="C805" s="14" t="s">
        <v>145</v>
      </c>
      <c r="D805" t="s">
        <v>46</v>
      </c>
      <c r="E805" s="16" t="s">
        <v>133</v>
      </c>
      <c r="F805">
        <v>2030</v>
      </c>
      <c r="G805" s="12">
        <v>42946.668646328901</v>
      </c>
      <c r="H805" s="13">
        <v>0.86499999999999999</v>
      </c>
      <c r="I805" s="13">
        <v>0.82399999999999995</v>
      </c>
      <c r="J805" s="13">
        <v>0.78505000000000003</v>
      </c>
      <c r="K805" s="13">
        <v>0.66904249999999998</v>
      </c>
      <c r="L805" s="13"/>
      <c r="M805" s="13">
        <v>0.25</v>
      </c>
    </row>
    <row r="806" spans="2:13" x14ac:dyDescent="0.25">
      <c r="B806" s="14" t="s">
        <v>165</v>
      </c>
      <c r="C806" s="14" t="s">
        <v>38</v>
      </c>
      <c r="D806" t="s">
        <v>46</v>
      </c>
      <c r="E806" s="16" t="s">
        <v>133</v>
      </c>
      <c r="F806">
        <v>2026</v>
      </c>
      <c r="G806" s="12">
        <v>95275</v>
      </c>
      <c r="H806" s="13">
        <v>0.88</v>
      </c>
      <c r="I806" s="13"/>
      <c r="J806" s="13"/>
      <c r="K806" s="13"/>
      <c r="L806" s="13">
        <v>0.2</v>
      </c>
      <c r="M806" s="13">
        <v>0.25</v>
      </c>
    </row>
    <row r="807" spans="2:13" x14ac:dyDescent="0.25">
      <c r="B807" s="14" t="s">
        <v>165</v>
      </c>
      <c r="C807" s="14" t="s">
        <v>38</v>
      </c>
      <c r="D807" t="s">
        <v>46</v>
      </c>
      <c r="E807" s="16" t="s">
        <v>133</v>
      </c>
      <c r="F807">
        <v>2027</v>
      </c>
      <c r="G807" s="12">
        <v>96489</v>
      </c>
      <c r="H807" s="13">
        <v>0.89</v>
      </c>
      <c r="I807" s="13"/>
      <c r="J807" s="13"/>
      <c r="K807" s="13"/>
      <c r="L807" s="13">
        <v>0.2</v>
      </c>
      <c r="M807" s="13">
        <v>0.25</v>
      </c>
    </row>
    <row r="808" spans="2:13" x14ac:dyDescent="0.25">
      <c r="B808" s="14" t="s">
        <v>165</v>
      </c>
      <c r="C808" s="14" t="s">
        <v>38</v>
      </c>
      <c r="D808" t="s">
        <v>46</v>
      </c>
      <c r="E808" s="16" t="s">
        <v>133</v>
      </c>
      <c r="F808">
        <v>2028</v>
      </c>
      <c r="G808" s="12">
        <v>96620</v>
      </c>
      <c r="H808" s="13">
        <v>0.89</v>
      </c>
      <c r="I808" s="13"/>
      <c r="J808" s="13"/>
      <c r="K808" s="13"/>
      <c r="L808" s="13">
        <v>0.2</v>
      </c>
      <c r="M808" s="13">
        <v>0.25</v>
      </c>
    </row>
    <row r="809" spans="2:13" x14ac:dyDescent="0.25">
      <c r="B809" s="14" t="s">
        <v>165</v>
      </c>
      <c r="C809" s="14" t="s">
        <v>38</v>
      </c>
      <c r="D809" t="s">
        <v>46</v>
      </c>
      <c r="E809" s="16" t="s">
        <v>133</v>
      </c>
      <c r="F809">
        <v>2029</v>
      </c>
      <c r="G809" s="12">
        <v>96738</v>
      </c>
      <c r="H809" s="13">
        <v>0.89</v>
      </c>
      <c r="I809" s="13"/>
      <c r="J809" s="13"/>
      <c r="K809" s="13"/>
      <c r="L809" s="13">
        <v>0.2</v>
      </c>
      <c r="M809" s="13">
        <v>0.25</v>
      </c>
    </row>
    <row r="810" spans="2:13" x14ac:dyDescent="0.25">
      <c r="B810" s="14" t="s">
        <v>165</v>
      </c>
      <c r="C810" s="14" t="s">
        <v>38</v>
      </c>
      <c r="D810" t="s">
        <v>46</v>
      </c>
      <c r="E810" s="16" t="s">
        <v>133</v>
      </c>
      <c r="F810">
        <v>2030</v>
      </c>
      <c r="G810" s="12">
        <v>96900</v>
      </c>
      <c r="H810" s="13">
        <v>0.89</v>
      </c>
      <c r="I810" s="13"/>
      <c r="J810" s="13"/>
      <c r="K810" s="13"/>
      <c r="L810" s="13">
        <v>0.2</v>
      </c>
      <c r="M810" s="13">
        <v>0.25</v>
      </c>
    </row>
    <row r="811" spans="2:13" x14ac:dyDescent="0.25">
      <c r="B811" s="14" t="s">
        <v>165</v>
      </c>
      <c r="C811" s="14" t="s">
        <v>52</v>
      </c>
      <c r="D811" t="s">
        <v>141</v>
      </c>
      <c r="E811" s="16" t="s">
        <v>133</v>
      </c>
      <c r="F811">
        <v>2029</v>
      </c>
      <c r="G811" s="12">
        <v>357964.3125</v>
      </c>
      <c r="H811" s="13">
        <v>1</v>
      </c>
      <c r="I811" s="13"/>
      <c r="J811" s="13"/>
      <c r="K811" s="13"/>
      <c r="L811" s="13"/>
      <c r="M811" s="13"/>
    </row>
    <row r="812" spans="2:13" x14ac:dyDescent="0.25">
      <c r="B812" s="14" t="s">
        <v>165</v>
      </c>
      <c r="C812" s="14" t="s">
        <v>52</v>
      </c>
      <c r="D812" t="s">
        <v>138</v>
      </c>
      <c r="E812" s="16" t="s">
        <v>133</v>
      </c>
      <c r="F812">
        <v>2026</v>
      </c>
      <c r="G812" s="12">
        <v>80617</v>
      </c>
      <c r="H812" s="13">
        <v>0.84319999999999995</v>
      </c>
      <c r="I812" s="13">
        <v>0.84319999999999995</v>
      </c>
      <c r="J812" s="13"/>
      <c r="K812" s="13"/>
      <c r="L812" s="13"/>
      <c r="M812" s="13"/>
    </row>
    <row r="813" spans="2:13" x14ac:dyDescent="0.25">
      <c r="B813" s="14" t="s">
        <v>165</v>
      </c>
      <c r="C813" s="14" t="s">
        <v>52</v>
      </c>
      <c r="D813" t="s">
        <v>138</v>
      </c>
      <c r="E813" s="16" t="s">
        <v>133</v>
      </c>
      <c r="F813">
        <v>2027</v>
      </c>
      <c r="G813" s="12">
        <v>80716</v>
      </c>
      <c r="H813" s="13">
        <v>0.8498</v>
      </c>
      <c r="I813" s="13">
        <v>0.87954299999999996</v>
      </c>
      <c r="J813" s="13"/>
      <c r="K813" s="13"/>
      <c r="L813" s="13"/>
      <c r="M813" s="13"/>
    </row>
    <row r="814" spans="2:13" x14ac:dyDescent="0.25">
      <c r="B814" s="14" t="s">
        <v>165</v>
      </c>
      <c r="C814" s="14" t="s">
        <v>52</v>
      </c>
      <c r="D814" t="s">
        <v>138</v>
      </c>
      <c r="E814" s="16" t="s">
        <v>133</v>
      </c>
      <c r="F814">
        <v>2028</v>
      </c>
      <c r="G814" s="12">
        <v>80826</v>
      </c>
      <c r="H814" s="13">
        <v>0.85640000000000005</v>
      </c>
      <c r="I814" s="13">
        <v>0.886374</v>
      </c>
      <c r="J814" s="13"/>
      <c r="K814" s="13"/>
      <c r="L814" s="13"/>
      <c r="M814" s="13"/>
    </row>
    <row r="815" spans="2:13" x14ac:dyDescent="0.25">
      <c r="B815" s="14" t="s">
        <v>165</v>
      </c>
      <c r="C815" s="14" t="s">
        <v>52</v>
      </c>
      <c r="D815" t="s">
        <v>138</v>
      </c>
      <c r="E815" s="16" t="s">
        <v>133</v>
      </c>
      <c r="F815">
        <v>2029</v>
      </c>
      <c r="G815" s="12">
        <v>80924</v>
      </c>
      <c r="H815" s="13">
        <v>0.86299999999999999</v>
      </c>
      <c r="I815" s="13">
        <v>0.89320500000000003</v>
      </c>
      <c r="J815" s="13"/>
      <c r="K815" s="13"/>
      <c r="L815" s="13"/>
      <c r="M815" s="13"/>
    </row>
    <row r="816" spans="2:13" x14ac:dyDescent="0.25">
      <c r="B816" s="14" t="s">
        <v>165</v>
      </c>
      <c r="C816" s="14" t="s">
        <v>52</v>
      </c>
      <c r="D816" t="s">
        <v>138</v>
      </c>
      <c r="E816" s="16" t="s">
        <v>133</v>
      </c>
      <c r="F816">
        <v>2030</v>
      </c>
      <c r="G816" s="12">
        <v>81060</v>
      </c>
      <c r="H816" s="13">
        <v>0.86960000000000004</v>
      </c>
      <c r="I816" s="13">
        <v>0.90003599999999995</v>
      </c>
      <c r="J816" s="13"/>
      <c r="K816" s="13"/>
      <c r="L816" s="13"/>
      <c r="M816" s="13"/>
    </row>
    <row r="817" spans="2:13" x14ac:dyDescent="0.25">
      <c r="B817" s="14" t="s">
        <v>165</v>
      </c>
      <c r="C817" s="14" t="s">
        <v>139</v>
      </c>
      <c r="D817" t="s">
        <v>46</v>
      </c>
      <c r="E817" s="16" t="s">
        <v>133</v>
      </c>
      <c r="F817">
        <v>2026</v>
      </c>
      <c r="G817" s="12">
        <v>95275</v>
      </c>
      <c r="H817" s="13">
        <v>0.96</v>
      </c>
      <c r="I817" s="13">
        <v>0.91</v>
      </c>
      <c r="J817" s="13">
        <v>0</v>
      </c>
      <c r="K817" s="13"/>
      <c r="L817" s="13">
        <v>0.04</v>
      </c>
      <c r="M817" s="13">
        <v>0.25</v>
      </c>
    </row>
    <row r="818" spans="2:13" x14ac:dyDescent="0.25">
      <c r="B818" s="14" t="s">
        <v>165</v>
      </c>
      <c r="C818" s="14" t="s">
        <v>139</v>
      </c>
      <c r="D818" t="s">
        <v>46</v>
      </c>
      <c r="E818" s="16" t="s">
        <v>133</v>
      </c>
      <c r="F818">
        <v>2027</v>
      </c>
      <c r="G818" s="12">
        <v>95392.000446555903</v>
      </c>
      <c r="H818" s="13">
        <v>0.69412394879999995</v>
      </c>
      <c r="I818" s="13">
        <v>0.65831540980000003</v>
      </c>
      <c r="J818" s="13">
        <v>0</v>
      </c>
      <c r="K818" s="13"/>
      <c r="L818" s="13">
        <v>0.04</v>
      </c>
      <c r="M818" s="13">
        <v>0.25</v>
      </c>
    </row>
    <row r="819" spans="2:13" x14ac:dyDescent="0.25">
      <c r="B819" s="14" t="s">
        <v>165</v>
      </c>
      <c r="C819" s="14" t="s">
        <v>139</v>
      </c>
      <c r="D819" t="s">
        <v>46</v>
      </c>
      <c r="E819" s="16" t="s">
        <v>133</v>
      </c>
      <c r="F819">
        <v>2028</v>
      </c>
      <c r="G819" s="12">
        <v>95522.000942729195</v>
      </c>
      <c r="H819" s="13">
        <v>0.7007239488</v>
      </c>
      <c r="I819" s="13">
        <v>0.66491540979999997</v>
      </c>
      <c r="J819" s="13">
        <v>0</v>
      </c>
      <c r="K819" s="13"/>
      <c r="L819" s="13">
        <v>0.04</v>
      </c>
      <c r="M819" s="13">
        <v>0.25</v>
      </c>
    </row>
    <row r="820" spans="2:13" x14ac:dyDescent="0.25">
      <c r="B820" s="14" t="s">
        <v>165</v>
      </c>
      <c r="C820" s="14" t="s">
        <v>139</v>
      </c>
      <c r="D820" t="s">
        <v>46</v>
      </c>
      <c r="E820" s="16" t="s">
        <v>133</v>
      </c>
      <c r="F820">
        <v>2029</v>
      </c>
      <c r="G820" s="12">
        <v>95637.819566592603</v>
      </c>
      <c r="H820" s="13">
        <v>0.70732394880000005</v>
      </c>
      <c r="I820" s="13">
        <v>0.67151540980000002</v>
      </c>
      <c r="J820" s="13">
        <v>0</v>
      </c>
      <c r="K820" s="13"/>
      <c r="L820" s="13">
        <v>0.04</v>
      </c>
      <c r="M820" s="13">
        <v>0.25</v>
      </c>
    </row>
    <row r="821" spans="2:13" x14ac:dyDescent="0.25">
      <c r="B821" s="14" t="s">
        <v>165</v>
      </c>
      <c r="C821" s="14" t="s">
        <v>139</v>
      </c>
      <c r="D821" t="s">
        <v>46</v>
      </c>
      <c r="E821" s="16" t="s">
        <v>133</v>
      </c>
      <c r="F821">
        <v>2030</v>
      </c>
      <c r="G821" s="12">
        <v>95798.547452770494</v>
      </c>
      <c r="H821" s="13">
        <v>0.71392394879999999</v>
      </c>
      <c r="I821" s="13">
        <v>0.67811540979999996</v>
      </c>
      <c r="J821" s="13">
        <v>0</v>
      </c>
      <c r="K821" s="13"/>
      <c r="L821" s="13">
        <v>0.04</v>
      </c>
      <c r="M821" s="13">
        <v>0.25</v>
      </c>
    </row>
    <row r="822" spans="2:13" x14ac:dyDescent="0.25">
      <c r="B822" s="14" t="s">
        <v>165</v>
      </c>
      <c r="C822" s="14" t="s">
        <v>108</v>
      </c>
      <c r="D822" t="s">
        <v>46</v>
      </c>
      <c r="E822" s="16" t="s">
        <v>133</v>
      </c>
      <c r="F822">
        <v>2026</v>
      </c>
      <c r="G822" s="12">
        <v>82095</v>
      </c>
      <c r="H822" s="13">
        <v>0.72635114190000005</v>
      </c>
      <c r="I822" s="13"/>
      <c r="J822" s="13"/>
      <c r="K822" s="13"/>
      <c r="L822" s="13"/>
      <c r="M822" s="13"/>
    </row>
    <row r="823" spans="2:13" x14ac:dyDescent="0.25">
      <c r="B823" s="14" t="s">
        <v>165</v>
      </c>
      <c r="C823" s="14" t="s">
        <v>108</v>
      </c>
      <c r="D823" t="s">
        <v>46</v>
      </c>
      <c r="E823" s="16" t="s">
        <v>133</v>
      </c>
      <c r="F823">
        <v>2027</v>
      </c>
      <c r="G823" s="12">
        <v>82175</v>
      </c>
      <c r="H823" s="13">
        <v>0.73635113240000005</v>
      </c>
      <c r="I823" s="13"/>
      <c r="J823" s="13"/>
      <c r="K823" s="13"/>
      <c r="L823" s="13"/>
      <c r="M823" s="13"/>
    </row>
    <row r="824" spans="2:13" x14ac:dyDescent="0.25">
      <c r="B824" s="14" t="s">
        <v>165</v>
      </c>
      <c r="C824" s="14" t="s">
        <v>108</v>
      </c>
      <c r="D824" t="s">
        <v>46</v>
      </c>
      <c r="E824" s="16" t="s">
        <v>133</v>
      </c>
      <c r="F824">
        <v>2028</v>
      </c>
      <c r="G824" s="12">
        <v>82257</v>
      </c>
      <c r="H824" s="13">
        <v>0.74635112290000005</v>
      </c>
      <c r="I824" s="13"/>
      <c r="J824" s="13"/>
      <c r="K824" s="13"/>
      <c r="L824" s="13"/>
      <c r="M824" s="13"/>
    </row>
    <row r="825" spans="2:13" x14ac:dyDescent="0.25">
      <c r="B825" s="14" t="s">
        <v>165</v>
      </c>
      <c r="C825" s="14" t="s">
        <v>108</v>
      </c>
      <c r="D825" t="s">
        <v>46</v>
      </c>
      <c r="E825" s="16" t="s">
        <v>133</v>
      </c>
      <c r="F825">
        <v>2029</v>
      </c>
      <c r="G825" s="12">
        <v>82338</v>
      </c>
      <c r="H825" s="13">
        <v>0.75635111330000004</v>
      </c>
      <c r="I825" s="13"/>
      <c r="J825" s="13"/>
      <c r="K825" s="13"/>
      <c r="L825" s="13"/>
      <c r="M825" s="13">
        <v>0.25</v>
      </c>
    </row>
    <row r="826" spans="2:13" x14ac:dyDescent="0.25">
      <c r="B826" s="15" t="s">
        <v>165</v>
      </c>
      <c r="C826" s="14" t="s">
        <v>108</v>
      </c>
      <c r="D826" t="s">
        <v>46</v>
      </c>
      <c r="E826" s="16" t="s">
        <v>133</v>
      </c>
      <c r="F826">
        <v>2030</v>
      </c>
      <c r="G826" s="12">
        <v>82429</v>
      </c>
      <c r="H826" s="13">
        <v>0.76635110380000004</v>
      </c>
      <c r="I826" s="13"/>
      <c r="J826" s="13"/>
      <c r="K826" s="13"/>
      <c r="L826" s="13"/>
      <c r="M826" s="13">
        <v>0.25</v>
      </c>
    </row>
    <row r="827" spans="2:13" x14ac:dyDescent="0.25">
      <c r="B827" s="14" t="s">
        <v>166</v>
      </c>
      <c r="C827" s="14" t="s">
        <v>132</v>
      </c>
      <c r="D827" t="s">
        <v>46</v>
      </c>
      <c r="E827" s="16" t="s">
        <v>133</v>
      </c>
      <c r="F827">
        <v>2026</v>
      </c>
      <c r="G827" s="12">
        <v>67015</v>
      </c>
      <c r="H827" s="13">
        <v>0.66483816579999999</v>
      </c>
      <c r="I827" s="13">
        <v>0.64033626489999995</v>
      </c>
      <c r="J827" s="13">
        <v>0.60507743179999995</v>
      </c>
      <c r="K827" s="13">
        <v>0</v>
      </c>
      <c r="L827" s="13">
        <v>7.0000000000000007E-2</v>
      </c>
      <c r="M827" s="13">
        <v>0.25</v>
      </c>
    </row>
    <row r="828" spans="2:13" x14ac:dyDescent="0.25">
      <c r="B828" s="14" t="s">
        <v>166</v>
      </c>
      <c r="C828" s="14" t="s">
        <v>132</v>
      </c>
      <c r="D828" t="s">
        <v>46</v>
      </c>
      <c r="E828" s="16" t="s">
        <v>133</v>
      </c>
      <c r="F828">
        <v>2027</v>
      </c>
      <c r="G828" s="12">
        <v>67638.429693525803</v>
      </c>
      <c r="H828" s="13">
        <v>0.67143816580000004</v>
      </c>
      <c r="I828" s="13">
        <v>0.6469362649</v>
      </c>
      <c r="J828" s="13">
        <v>0.6116774318</v>
      </c>
      <c r="K828" s="13">
        <v>0</v>
      </c>
      <c r="L828" s="13">
        <v>7.0000000000000007E-2</v>
      </c>
      <c r="M828" s="13">
        <v>0.25</v>
      </c>
    </row>
    <row r="829" spans="2:13" x14ac:dyDescent="0.25">
      <c r="B829" s="14" t="s">
        <v>166</v>
      </c>
      <c r="C829" s="14" t="s">
        <v>132</v>
      </c>
      <c r="D829" t="s">
        <v>46</v>
      </c>
      <c r="E829" s="16" t="s">
        <v>133</v>
      </c>
      <c r="F829">
        <v>2028</v>
      </c>
      <c r="G829" s="12">
        <v>68221.774229092203</v>
      </c>
      <c r="H829" s="13">
        <v>0.67803816579999998</v>
      </c>
      <c r="I829" s="13">
        <v>0.65353626490000005</v>
      </c>
      <c r="J829" s="13">
        <v>0.61827743180000005</v>
      </c>
      <c r="K829" s="13">
        <v>0</v>
      </c>
      <c r="L829" s="13">
        <v>7.0000000000000007E-2</v>
      </c>
      <c r="M829" s="13">
        <v>0.25</v>
      </c>
    </row>
    <row r="830" spans="2:13" x14ac:dyDescent="0.25">
      <c r="B830" s="14" t="s">
        <v>166</v>
      </c>
      <c r="C830" s="14" t="s">
        <v>132</v>
      </c>
      <c r="D830" t="s">
        <v>46</v>
      </c>
      <c r="E830" s="16" t="s">
        <v>133</v>
      </c>
      <c r="F830">
        <v>2029</v>
      </c>
      <c r="G830" s="12">
        <v>68731.277684207205</v>
      </c>
      <c r="H830" s="13">
        <v>0.34231908290000002</v>
      </c>
      <c r="I830" s="13">
        <v>0.3300681325</v>
      </c>
      <c r="J830" s="13">
        <v>0.3124387159</v>
      </c>
      <c r="K830" s="13">
        <v>0</v>
      </c>
      <c r="L830" s="13">
        <v>7.0000000000000007E-2</v>
      </c>
      <c r="M830" s="13">
        <v>0.25</v>
      </c>
    </row>
    <row r="831" spans="2:13" x14ac:dyDescent="0.25">
      <c r="B831" s="14" t="s">
        <v>166</v>
      </c>
      <c r="C831" s="14" t="s">
        <v>132</v>
      </c>
      <c r="D831" t="s">
        <v>46</v>
      </c>
      <c r="E831" s="16" t="s">
        <v>133</v>
      </c>
      <c r="F831">
        <v>2030</v>
      </c>
      <c r="G831" s="12">
        <v>69053.013820459993</v>
      </c>
      <c r="H831" s="13">
        <v>0</v>
      </c>
      <c r="I831" s="13">
        <v>0</v>
      </c>
      <c r="J831" s="13">
        <v>0</v>
      </c>
      <c r="K831" s="13">
        <v>0</v>
      </c>
      <c r="L831" s="13">
        <v>7.0000000000000007E-2</v>
      </c>
      <c r="M831" s="13">
        <v>0.25</v>
      </c>
    </row>
    <row r="832" spans="2:13" x14ac:dyDescent="0.25">
      <c r="B832" s="14" t="s">
        <v>166</v>
      </c>
      <c r="C832" s="14" t="s">
        <v>70</v>
      </c>
      <c r="D832" t="s">
        <v>46</v>
      </c>
      <c r="E832" s="16" t="s">
        <v>133</v>
      </c>
      <c r="F832">
        <v>2026</v>
      </c>
      <c r="G832" s="12">
        <v>67015</v>
      </c>
      <c r="H832" s="13">
        <v>0.8</v>
      </c>
      <c r="I832" s="13">
        <v>0</v>
      </c>
      <c r="J832" s="13">
        <v>0</v>
      </c>
      <c r="K832" s="13">
        <v>0</v>
      </c>
      <c r="L832" s="13">
        <v>7.0000000000000007E-2</v>
      </c>
      <c r="M832" s="13">
        <v>0.25</v>
      </c>
    </row>
    <row r="833" spans="2:13" x14ac:dyDescent="0.25">
      <c r="B833" s="14" t="s">
        <v>166</v>
      </c>
      <c r="C833" s="14" t="s">
        <v>70</v>
      </c>
      <c r="D833" t="s">
        <v>46</v>
      </c>
      <c r="E833" s="16" t="s">
        <v>133</v>
      </c>
      <c r="F833">
        <v>2027</v>
      </c>
      <c r="G833" s="12">
        <v>67638.429693525803</v>
      </c>
      <c r="H833" s="13">
        <v>0.80659999999999998</v>
      </c>
      <c r="I833" s="13">
        <v>6.6E-3</v>
      </c>
      <c r="J833" s="13">
        <v>6.6E-3</v>
      </c>
      <c r="K833" s="13">
        <v>0</v>
      </c>
      <c r="L833" s="13">
        <v>7.0000000000000007E-2</v>
      </c>
      <c r="M833" s="13">
        <v>0.25</v>
      </c>
    </row>
    <row r="834" spans="2:13" x14ac:dyDescent="0.25">
      <c r="B834" s="14" t="s">
        <v>166</v>
      </c>
      <c r="C834" s="14" t="s">
        <v>70</v>
      </c>
      <c r="D834" t="s">
        <v>46</v>
      </c>
      <c r="E834" s="16" t="s">
        <v>133</v>
      </c>
      <c r="F834">
        <v>2028</v>
      </c>
      <c r="G834" s="12">
        <v>68221.774229092203</v>
      </c>
      <c r="H834" s="13">
        <v>0.81320000000000003</v>
      </c>
      <c r="I834" s="13">
        <v>1.32E-2</v>
      </c>
      <c r="J834" s="13">
        <v>1.32E-2</v>
      </c>
      <c r="K834" s="13">
        <v>0</v>
      </c>
      <c r="L834" s="13">
        <v>7.0000000000000007E-2</v>
      </c>
      <c r="M834" s="13">
        <v>0.25</v>
      </c>
    </row>
    <row r="835" spans="2:13" x14ac:dyDescent="0.25">
      <c r="B835" s="14" t="s">
        <v>166</v>
      </c>
      <c r="C835" s="14" t="s">
        <v>70</v>
      </c>
      <c r="D835" t="s">
        <v>46</v>
      </c>
      <c r="E835" s="16" t="s">
        <v>133</v>
      </c>
      <c r="F835">
        <v>2029</v>
      </c>
      <c r="G835" s="12">
        <v>68731.277684207205</v>
      </c>
      <c r="H835" s="13">
        <v>0.40989999999999999</v>
      </c>
      <c r="I835" s="13">
        <v>9.9000000000000008E-3</v>
      </c>
      <c r="J835" s="13">
        <v>9.9000000000000008E-3</v>
      </c>
      <c r="K835" s="13">
        <v>0</v>
      </c>
      <c r="L835" s="13">
        <v>7.0000000000000007E-2</v>
      </c>
      <c r="M835" s="13">
        <v>0.25</v>
      </c>
    </row>
    <row r="836" spans="2:13" x14ac:dyDescent="0.25">
      <c r="B836" s="14" t="s">
        <v>166</v>
      </c>
      <c r="C836" s="14" t="s">
        <v>70</v>
      </c>
      <c r="D836" t="s">
        <v>46</v>
      </c>
      <c r="E836" s="16" t="s">
        <v>133</v>
      </c>
      <c r="F836">
        <v>2030</v>
      </c>
      <c r="G836" s="12">
        <v>69053.013820459993</v>
      </c>
      <c r="H836" s="13">
        <v>0</v>
      </c>
      <c r="I836" s="13">
        <v>0</v>
      </c>
      <c r="J836" s="13">
        <v>0</v>
      </c>
      <c r="K836" s="13">
        <v>0</v>
      </c>
      <c r="L836" s="13">
        <v>7.0000000000000007E-2</v>
      </c>
      <c r="M836" s="13">
        <v>0.25</v>
      </c>
    </row>
    <row r="837" spans="2:13" x14ac:dyDescent="0.25">
      <c r="B837" s="14" t="s">
        <v>166</v>
      </c>
      <c r="C837" s="14" t="s">
        <v>134</v>
      </c>
      <c r="D837" t="s">
        <v>46</v>
      </c>
      <c r="E837" s="16" t="s">
        <v>133</v>
      </c>
      <c r="F837">
        <v>2028</v>
      </c>
      <c r="G837" s="12">
        <v>68221.774229092203</v>
      </c>
      <c r="H837" s="13">
        <v>0</v>
      </c>
      <c r="I837" s="13">
        <v>0</v>
      </c>
      <c r="J837" s="13">
        <v>0</v>
      </c>
      <c r="K837" s="13">
        <v>0</v>
      </c>
      <c r="L837" s="13">
        <v>7.0000000000000007E-2</v>
      </c>
      <c r="M837" s="13">
        <v>0.25</v>
      </c>
    </row>
    <row r="838" spans="2:13" x14ac:dyDescent="0.25">
      <c r="B838" s="14" t="s">
        <v>166</v>
      </c>
      <c r="C838" s="14" t="s">
        <v>134</v>
      </c>
      <c r="D838" t="s">
        <v>46</v>
      </c>
      <c r="E838" s="16" t="s">
        <v>133</v>
      </c>
      <c r="F838">
        <v>2029</v>
      </c>
      <c r="G838" s="12">
        <v>68731.277684207205</v>
      </c>
      <c r="H838" s="13">
        <v>0.34231908290000002</v>
      </c>
      <c r="I838" s="13">
        <v>0.3300681325</v>
      </c>
      <c r="J838" s="13">
        <v>0.3124387159</v>
      </c>
      <c r="K838" s="13">
        <v>0</v>
      </c>
      <c r="L838" s="13">
        <v>7.0000000000000007E-2</v>
      </c>
      <c r="M838" s="13">
        <v>0.25</v>
      </c>
    </row>
    <row r="839" spans="2:13" x14ac:dyDescent="0.25">
      <c r="B839" s="14" t="s">
        <v>166</v>
      </c>
      <c r="C839" s="14" t="s">
        <v>134</v>
      </c>
      <c r="D839" t="s">
        <v>46</v>
      </c>
      <c r="E839" s="16" t="s">
        <v>133</v>
      </c>
      <c r="F839">
        <v>2030</v>
      </c>
      <c r="G839" s="12">
        <v>69053.013820459993</v>
      </c>
      <c r="H839" s="13">
        <v>0.69123816579999997</v>
      </c>
      <c r="I839" s="13">
        <v>0.66673626490000004</v>
      </c>
      <c r="J839" s="13">
        <v>0.63147743180000004</v>
      </c>
      <c r="K839" s="13">
        <v>0</v>
      </c>
      <c r="L839" s="13">
        <v>7.0000000000000007E-2</v>
      </c>
      <c r="M839" s="13">
        <v>0.25</v>
      </c>
    </row>
    <row r="840" spans="2:13" x14ac:dyDescent="0.25">
      <c r="B840" s="14" t="s">
        <v>166</v>
      </c>
      <c r="C840" s="14" t="s">
        <v>72</v>
      </c>
      <c r="D840" t="s">
        <v>46</v>
      </c>
      <c r="E840" s="16" t="s">
        <v>133</v>
      </c>
      <c r="F840">
        <v>2026</v>
      </c>
      <c r="G840" s="12">
        <v>67015</v>
      </c>
      <c r="H840" s="13">
        <v>0.89</v>
      </c>
      <c r="I840" s="13">
        <v>0.85719999999999996</v>
      </c>
      <c r="J840" s="13">
        <v>0.81</v>
      </c>
      <c r="K840" s="13"/>
      <c r="L840" s="13">
        <v>7.0000000000000007E-2</v>
      </c>
      <c r="M840" s="13">
        <v>0.25</v>
      </c>
    </row>
    <row r="841" spans="2:13" x14ac:dyDescent="0.25">
      <c r="B841" s="14" t="s">
        <v>166</v>
      </c>
      <c r="C841" s="14" t="s">
        <v>72</v>
      </c>
      <c r="D841" t="s">
        <v>46</v>
      </c>
      <c r="E841" s="16" t="s">
        <v>133</v>
      </c>
      <c r="F841">
        <v>2027</v>
      </c>
      <c r="G841" s="12">
        <v>67638.429693525803</v>
      </c>
      <c r="H841" s="13">
        <v>0.89659999999999995</v>
      </c>
      <c r="I841" s="13">
        <v>0.86380000000000001</v>
      </c>
      <c r="J841" s="13">
        <v>0.81659999999999999</v>
      </c>
      <c r="K841" s="13"/>
      <c r="L841" s="13">
        <v>7.0000000000000007E-2</v>
      </c>
      <c r="M841" s="13">
        <v>0.25</v>
      </c>
    </row>
    <row r="842" spans="2:13" x14ac:dyDescent="0.25">
      <c r="B842" s="14" t="s">
        <v>166</v>
      </c>
      <c r="C842" s="14" t="s">
        <v>72</v>
      </c>
      <c r="D842" t="s">
        <v>46</v>
      </c>
      <c r="E842" s="16" t="s">
        <v>133</v>
      </c>
      <c r="F842">
        <v>2028</v>
      </c>
      <c r="G842" s="12">
        <v>68221.774229092203</v>
      </c>
      <c r="H842" s="13">
        <v>0.9032</v>
      </c>
      <c r="I842" s="13">
        <v>0.87039999999999995</v>
      </c>
      <c r="J842" s="13">
        <v>0.82320000000000004</v>
      </c>
      <c r="K842" s="13"/>
      <c r="L842" s="13">
        <v>7.0000000000000007E-2</v>
      </c>
      <c r="M842" s="13">
        <v>0.25</v>
      </c>
    </row>
    <row r="843" spans="2:13" x14ac:dyDescent="0.25">
      <c r="B843" s="14" t="s">
        <v>166</v>
      </c>
      <c r="C843" s="14" t="s">
        <v>72</v>
      </c>
      <c r="D843" t="s">
        <v>46</v>
      </c>
      <c r="E843" s="16" t="s">
        <v>133</v>
      </c>
      <c r="F843">
        <v>2029</v>
      </c>
      <c r="G843" s="12">
        <v>68731.277684207205</v>
      </c>
      <c r="H843" s="13">
        <v>0.90980000000000005</v>
      </c>
      <c r="I843" s="13">
        <v>0.877</v>
      </c>
      <c r="J843" s="13">
        <v>0.82979999999999998</v>
      </c>
      <c r="K843" s="13"/>
      <c r="L843" s="13">
        <v>0.08</v>
      </c>
      <c r="M843" s="13">
        <v>0.25</v>
      </c>
    </row>
    <row r="844" spans="2:13" x14ac:dyDescent="0.25">
      <c r="B844" s="14" t="s">
        <v>166</v>
      </c>
      <c r="C844" s="14" t="s">
        <v>72</v>
      </c>
      <c r="D844" t="s">
        <v>46</v>
      </c>
      <c r="E844" s="16" t="s">
        <v>133</v>
      </c>
      <c r="F844">
        <v>2030</v>
      </c>
      <c r="G844" s="12">
        <v>69053.013820459993</v>
      </c>
      <c r="H844" s="13">
        <v>0.91639999999999999</v>
      </c>
      <c r="I844" s="13">
        <v>0.88360000000000005</v>
      </c>
      <c r="J844" s="13">
        <v>0.83640000000000003</v>
      </c>
      <c r="K844" s="13"/>
      <c r="L844" s="13">
        <v>0.08</v>
      </c>
      <c r="M844" s="13">
        <v>0.25</v>
      </c>
    </row>
    <row r="845" spans="2:13" x14ac:dyDescent="0.25">
      <c r="B845" s="14" t="s">
        <v>166</v>
      </c>
      <c r="C845" s="14" t="s">
        <v>102</v>
      </c>
      <c r="D845" t="s">
        <v>46</v>
      </c>
      <c r="E845" s="16" t="s">
        <v>133</v>
      </c>
      <c r="F845">
        <v>2028</v>
      </c>
      <c r="G845" s="12">
        <v>68221.774229092203</v>
      </c>
      <c r="H845" s="13">
        <v>0.38292127819999999</v>
      </c>
      <c r="I845" s="13"/>
      <c r="J845" s="13"/>
      <c r="K845" s="13"/>
      <c r="L845" s="13">
        <v>7.0000000000000007E-2</v>
      </c>
      <c r="M845" s="13">
        <v>0.25</v>
      </c>
    </row>
    <row r="846" spans="2:13" x14ac:dyDescent="0.25">
      <c r="B846" s="14" t="s">
        <v>166</v>
      </c>
      <c r="C846" s="14" t="s">
        <v>102</v>
      </c>
      <c r="D846" t="s">
        <v>46</v>
      </c>
      <c r="E846" s="16" t="s">
        <v>133</v>
      </c>
      <c r="F846">
        <v>2029</v>
      </c>
      <c r="G846" s="12">
        <v>68731.277684207205</v>
      </c>
      <c r="H846" s="13">
        <v>0.6630364769</v>
      </c>
      <c r="I846" s="13"/>
      <c r="J846" s="13"/>
      <c r="K846" s="13"/>
      <c r="L846" s="13">
        <v>7.0000000000000007E-2</v>
      </c>
      <c r="M846" s="13">
        <v>0.25</v>
      </c>
    </row>
    <row r="847" spans="2:13" x14ac:dyDescent="0.25">
      <c r="B847" s="14" t="s">
        <v>166</v>
      </c>
      <c r="C847" s="14" t="s">
        <v>102</v>
      </c>
      <c r="D847" t="s">
        <v>46</v>
      </c>
      <c r="E847" s="16" t="s">
        <v>133</v>
      </c>
      <c r="F847">
        <v>2030</v>
      </c>
      <c r="G847" s="12">
        <v>69053.013820459993</v>
      </c>
      <c r="H847" s="13">
        <v>0.66963647690000005</v>
      </c>
      <c r="I847" s="13"/>
      <c r="J847" s="13"/>
      <c r="K847" s="13"/>
      <c r="L847" s="13">
        <v>7.0000000000000007E-2</v>
      </c>
      <c r="M847" s="13">
        <v>0.25</v>
      </c>
    </row>
    <row r="848" spans="2:13" x14ac:dyDescent="0.25">
      <c r="B848" s="14" t="s">
        <v>166</v>
      </c>
      <c r="C848" s="14" t="s">
        <v>15</v>
      </c>
      <c r="D848" t="s">
        <v>136</v>
      </c>
      <c r="E848" s="16" t="s">
        <v>133</v>
      </c>
      <c r="F848">
        <v>2026</v>
      </c>
      <c r="G848" s="12">
        <v>137370</v>
      </c>
      <c r="H848" s="13">
        <v>0.8</v>
      </c>
      <c r="I848" s="13"/>
      <c r="J848" s="13"/>
      <c r="K848" s="13"/>
      <c r="L848" s="13">
        <v>0.05</v>
      </c>
      <c r="M848" s="13">
        <v>0.25</v>
      </c>
    </row>
    <row r="849" spans="2:13" x14ac:dyDescent="0.25">
      <c r="B849" s="14" t="s">
        <v>166</v>
      </c>
      <c r="C849" s="14" t="s">
        <v>15</v>
      </c>
      <c r="D849" t="s">
        <v>136</v>
      </c>
      <c r="E849" s="16" t="s">
        <v>133</v>
      </c>
      <c r="F849">
        <v>2027</v>
      </c>
      <c r="G849" s="12">
        <v>0</v>
      </c>
      <c r="H849" s="13">
        <v>0</v>
      </c>
      <c r="I849" s="13"/>
      <c r="J849" s="13"/>
      <c r="K849" s="13"/>
      <c r="L849" s="13">
        <v>0.05</v>
      </c>
      <c r="M849" s="13">
        <v>0.25</v>
      </c>
    </row>
    <row r="850" spans="2:13" x14ac:dyDescent="0.25">
      <c r="B850" s="14" t="s">
        <v>166</v>
      </c>
      <c r="C850" s="14" t="s">
        <v>15</v>
      </c>
      <c r="D850" t="s">
        <v>46</v>
      </c>
      <c r="E850" s="16" t="s">
        <v>133</v>
      </c>
      <c r="F850">
        <v>2026</v>
      </c>
      <c r="G850" s="12">
        <v>27233</v>
      </c>
      <c r="H850" s="13">
        <v>0.59388342039999997</v>
      </c>
      <c r="I850" s="13"/>
      <c r="J850" s="13"/>
      <c r="K850" s="13"/>
      <c r="L850" s="13">
        <v>0.05</v>
      </c>
      <c r="M850" s="13">
        <v>0.25</v>
      </c>
    </row>
    <row r="851" spans="2:13" x14ac:dyDescent="0.25">
      <c r="B851" s="14" t="s">
        <v>166</v>
      </c>
      <c r="C851" s="14" t="s">
        <v>15</v>
      </c>
      <c r="D851" t="s">
        <v>46</v>
      </c>
      <c r="E851" s="16" t="s">
        <v>133</v>
      </c>
      <c r="F851">
        <v>2027</v>
      </c>
      <c r="G851" s="12">
        <v>27229</v>
      </c>
      <c r="H851" s="13">
        <v>0.59388342039999997</v>
      </c>
      <c r="I851" s="13"/>
      <c r="J851" s="13"/>
      <c r="K851" s="13"/>
      <c r="L851" s="13">
        <v>0.05</v>
      </c>
      <c r="M851" s="13">
        <v>0.25</v>
      </c>
    </row>
    <row r="852" spans="2:13" x14ac:dyDescent="0.25">
      <c r="B852" s="14" t="s">
        <v>166</v>
      </c>
      <c r="C852" s="14" t="s">
        <v>15</v>
      </c>
      <c r="D852" t="s">
        <v>46</v>
      </c>
      <c r="E852" s="16" t="s">
        <v>133</v>
      </c>
      <c r="F852">
        <v>2028</v>
      </c>
      <c r="G852" s="12">
        <v>27459</v>
      </c>
      <c r="H852" s="13">
        <v>0.59388342039999997</v>
      </c>
      <c r="I852" s="13"/>
      <c r="J852" s="13"/>
      <c r="K852" s="13"/>
      <c r="L852" s="13">
        <v>0.05</v>
      </c>
      <c r="M852" s="13">
        <v>0.25</v>
      </c>
    </row>
    <row r="853" spans="2:13" x14ac:dyDescent="0.25">
      <c r="B853" s="14" t="s">
        <v>166</v>
      </c>
      <c r="C853" s="14" t="s">
        <v>15</v>
      </c>
      <c r="D853" t="s">
        <v>46</v>
      </c>
      <c r="E853" s="16" t="s">
        <v>133</v>
      </c>
      <c r="F853">
        <v>2029</v>
      </c>
      <c r="G853" s="12">
        <v>27754</v>
      </c>
      <c r="H853" s="13">
        <v>0.59388342039999997</v>
      </c>
      <c r="I853" s="13"/>
      <c r="J853" s="13"/>
      <c r="K853" s="13"/>
      <c r="L853" s="13">
        <v>0.05</v>
      </c>
      <c r="M853" s="13">
        <v>0.25</v>
      </c>
    </row>
    <row r="854" spans="2:13" x14ac:dyDescent="0.25">
      <c r="B854" s="14" t="s">
        <v>166</v>
      </c>
      <c r="C854" s="14" t="s">
        <v>15</v>
      </c>
      <c r="D854" t="s">
        <v>46</v>
      </c>
      <c r="E854" s="16" t="s">
        <v>133</v>
      </c>
      <c r="F854">
        <v>2030</v>
      </c>
      <c r="G854" s="12">
        <v>28063</v>
      </c>
      <c r="H854" s="13">
        <v>0.59388342039999997</v>
      </c>
      <c r="I854" s="13"/>
      <c r="J854" s="13"/>
      <c r="K854" s="13"/>
      <c r="L854" s="13">
        <v>0.05</v>
      </c>
      <c r="M854" s="13">
        <v>0.25</v>
      </c>
    </row>
    <row r="855" spans="2:13" x14ac:dyDescent="0.25">
      <c r="B855" s="14" t="s">
        <v>166</v>
      </c>
      <c r="C855" s="14" t="s">
        <v>145</v>
      </c>
      <c r="D855" t="s">
        <v>46</v>
      </c>
      <c r="E855" s="16" t="s">
        <v>133</v>
      </c>
      <c r="F855">
        <v>2026</v>
      </c>
      <c r="G855" s="12">
        <v>41973.881620189502</v>
      </c>
      <c r="H855" s="13">
        <v>0.74</v>
      </c>
      <c r="I855" s="13">
        <v>0.68</v>
      </c>
      <c r="J855" s="13">
        <v>0.65</v>
      </c>
      <c r="K855" s="13"/>
      <c r="L855" s="13"/>
      <c r="M855" s="13">
        <v>0.25</v>
      </c>
    </row>
    <row r="856" spans="2:13" x14ac:dyDescent="0.25">
      <c r="B856" s="14" t="s">
        <v>166</v>
      </c>
      <c r="C856" s="14" t="s">
        <v>145</v>
      </c>
      <c r="D856" t="s">
        <v>46</v>
      </c>
      <c r="E856" s="16" t="s">
        <v>133</v>
      </c>
      <c r="F856">
        <v>2027</v>
      </c>
      <c r="G856" s="12">
        <v>39834.3670227162</v>
      </c>
      <c r="H856" s="13">
        <v>0.745</v>
      </c>
      <c r="I856" s="13">
        <v>0.68500000000000005</v>
      </c>
      <c r="J856" s="13">
        <v>0.65500000000000003</v>
      </c>
      <c r="K856" s="13">
        <v>0.5</v>
      </c>
      <c r="L856" s="13"/>
      <c r="M856" s="13">
        <v>0.25</v>
      </c>
    </row>
    <row r="857" spans="2:13" x14ac:dyDescent="0.25">
      <c r="B857" s="14" t="s">
        <v>166</v>
      </c>
      <c r="C857" s="14" t="s">
        <v>145</v>
      </c>
      <c r="D857" t="s">
        <v>46</v>
      </c>
      <c r="E857" s="16" t="s">
        <v>133</v>
      </c>
      <c r="F857">
        <v>2028</v>
      </c>
      <c r="G857" s="12">
        <v>37714.751420967397</v>
      </c>
      <c r="H857" s="13">
        <v>0.75</v>
      </c>
      <c r="I857" s="13">
        <v>0.69</v>
      </c>
      <c r="J857" s="13">
        <v>0.66</v>
      </c>
      <c r="K857" s="13">
        <v>0.505</v>
      </c>
      <c r="L857" s="13"/>
      <c r="M857" s="13">
        <v>0.25</v>
      </c>
    </row>
    <row r="858" spans="2:13" x14ac:dyDescent="0.25">
      <c r="B858" s="14" t="s">
        <v>166</v>
      </c>
      <c r="C858" s="14" t="s">
        <v>145</v>
      </c>
      <c r="D858" t="s">
        <v>46</v>
      </c>
      <c r="E858" s="16" t="s">
        <v>133</v>
      </c>
      <c r="F858">
        <v>2029</v>
      </c>
      <c r="G858" s="12">
        <v>35530.050182669002</v>
      </c>
      <c r="H858" s="13">
        <v>0.755</v>
      </c>
      <c r="I858" s="13">
        <v>0.69499999999999995</v>
      </c>
      <c r="J858" s="13">
        <v>0.66500000000000004</v>
      </c>
      <c r="K858" s="13">
        <v>0.51</v>
      </c>
      <c r="L858" s="13"/>
      <c r="M858" s="13">
        <v>0.25</v>
      </c>
    </row>
    <row r="859" spans="2:13" x14ac:dyDescent="0.25">
      <c r="B859" s="14" t="s">
        <v>166</v>
      </c>
      <c r="C859" s="14" t="s">
        <v>145</v>
      </c>
      <c r="D859" t="s">
        <v>46</v>
      </c>
      <c r="E859" s="16" t="s">
        <v>133</v>
      </c>
      <c r="F859">
        <v>2030</v>
      </c>
      <c r="G859" s="12">
        <v>35837.944947632903</v>
      </c>
      <c r="H859" s="13">
        <v>0.76</v>
      </c>
      <c r="I859" s="13">
        <v>0.7</v>
      </c>
      <c r="J859" s="13">
        <v>0.67</v>
      </c>
      <c r="K859" s="13">
        <v>0.51500000000000001</v>
      </c>
      <c r="L859" s="13"/>
      <c r="M859" s="13">
        <v>0.25</v>
      </c>
    </row>
    <row r="860" spans="2:13" x14ac:dyDescent="0.25">
      <c r="B860" s="14" t="s">
        <v>166</v>
      </c>
      <c r="C860" s="14" t="s">
        <v>38</v>
      </c>
      <c r="D860" t="s">
        <v>46</v>
      </c>
      <c r="E860" s="16" t="s">
        <v>133</v>
      </c>
      <c r="F860">
        <v>2026</v>
      </c>
      <c r="G860" s="12">
        <v>67015</v>
      </c>
      <c r="H860" s="13">
        <v>0.82</v>
      </c>
      <c r="I860" s="13"/>
      <c r="J860" s="13"/>
      <c r="K860" s="13"/>
      <c r="L860" s="13">
        <v>0.2</v>
      </c>
      <c r="M860" s="13">
        <v>0.25</v>
      </c>
    </row>
    <row r="861" spans="2:13" x14ac:dyDescent="0.25">
      <c r="B861" s="14" t="s">
        <v>166</v>
      </c>
      <c r="C861" s="14" t="s">
        <v>38</v>
      </c>
      <c r="D861" t="s">
        <v>46</v>
      </c>
      <c r="E861" s="16" t="s">
        <v>133</v>
      </c>
      <c r="F861">
        <v>2027</v>
      </c>
      <c r="G861" s="12">
        <v>67656</v>
      </c>
      <c r="H861" s="13">
        <v>0.83</v>
      </c>
      <c r="I861" s="13"/>
      <c r="J861" s="13"/>
      <c r="K861" s="13"/>
      <c r="L861" s="13">
        <v>0.2</v>
      </c>
      <c r="M861" s="13">
        <v>0.25</v>
      </c>
    </row>
    <row r="862" spans="2:13" x14ac:dyDescent="0.25">
      <c r="B862" s="14" t="s">
        <v>166</v>
      </c>
      <c r="C862" s="14" t="s">
        <v>38</v>
      </c>
      <c r="D862" t="s">
        <v>46</v>
      </c>
      <c r="E862" s="16" t="s">
        <v>133</v>
      </c>
      <c r="F862">
        <v>2028</v>
      </c>
      <c r="G862" s="12">
        <v>68239</v>
      </c>
      <c r="H862" s="13">
        <v>0.83</v>
      </c>
      <c r="I862" s="13"/>
      <c r="J862" s="13"/>
      <c r="K862" s="13"/>
      <c r="L862" s="13">
        <v>0.2</v>
      </c>
      <c r="M862" s="13">
        <v>0.25</v>
      </c>
    </row>
    <row r="863" spans="2:13" x14ac:dyDescent="0.25">
      <c r="B863" s="14" t="s">
        <v>166</v>
      </c>
      <c r="C863" s="14" t="s">
        <v>38</v>
      </c>
      <c r="D863" t="s">
        <v>46</v>
      </c>
      <c r="E863" s="16" t="s">
        <v>133</v>
      </c>
      <c r="F863">
        <v>2029</v>
      </c>
      <c r="G863" s="12">
        <v>68749</v>
      </c>
      <c r="H863" s="13">
        <v>0.83</v>
      </c>
      <c r="I863" s="13"/>
      <c r="J863" s="13"/>
      <c r="K863" s="13"/>
      <c r="L863" s="13">
        <v>0.2</v>
      </c>
      <c r="M863" s="13">
        <v>0.25</v>
      </c>
    </row>
    <row r="864" spans="2:13" x14ac:dyDescent="0.25">
      <c r="B864" s="14" t="s">
        <v>166</v>
      </c>
      <c r="C864" s="14" t="s">
        <v>38</v>
      </c>
      <c r="D864" t="s">
        <v>46</v>
      </c>
      <c r="E864" s="16" t="s">
        <v>133</v>
      </c>
      <c r="F864">
        <v>2030</v>
      </c>
      <c r="G864" s="12">
        <v>69071</v>
      </c>
      <c r="H864" s="13">
        <v>0.83</v>
      </c>
      <c r="I864" s="13"/>
      <c r="J864" s="13"/>
      <c r="K864" s="13"/>
      <c r="L864" s="13">
        <v>0.2</v>
      </c>
      <c r="M864" s="13">
        <v>0.25</v>
      </c>
    </row>
    <row r="865" spans="2:13" x14ac:dyDescent="0.25">
      <c r="B865" s="14" t="s">
        <v>166</v>
      </c>
      <c r="C865" s="14" t="s">
        <v>52</v>
      </c>
      <c r="D865" t="s">
        <v>141</v>
      </c>
      <c r="E865" s="16" t="s">
        <v>133</v>
      </c>
      <c r="F865">
        <v>2027</v>
      </c>
      <c r="G865" s="12">
        <v>274649.0625</v>
      </c>
      <c r="H865" s="13">
        <v>0.85</v>
      </c>
      <c r="I865" s="13"/>
      <c r="J865" s="13"/>
      <c r="K865" s="13"/>
      <c r="L865" s="13"/>
      <c r="M865" s="13"/>
    </row>
    <row r="866" spans="2:13" x14ac:dyDescent="0.25">
      <c r="B866" s="14" t="s">
        <v>166</v>
      </c>
      <c r="C866" s="14" t="s">
        <v>52</v>
      </c>
      <c r="D866" t="s">
        <v>141</v>
      </c>
      <c r="E866" s="16" t="s">
        <v>133</v>
      </c>
      <c r="F866">
        <v>2030</v>
      </c>
      <c r="G866" s="12">
        <v>281527.875</v>
      </c>
      <c r="H866" s="13">
        <v>0.85</v>
      </c>
      <c r="I866" s="13"/>
      <c r="J866" s="13"/>
      <c r="K866" s="13"/>
      <c r="L866" s="13"/>
      <c r="M866" s="13"/>
    </row>
    <row r="867" spans="2:13" x14ac:dyDescent="0.25">
      <c r="B867" s="14" t="s">
        <v>166</v>
      </c>
      <c r="C867" s="14" t="s">
        <v>52</v>
      </c>
      <c r="D867" t="s">
        <v>138</v>
      </c>
      <c r="E867" s="16" t="s">
        <v>133</v>
      </c>
      <c r="F867">
        <v>2026</v>
      </c>
      <c r="G867" s="12">
        <v>78861</v>
      </c>
      <c r="H867" s="13">
        <v>0.9</v>
      </c>
      <c r="I867" s="13">
        <v>0.82799999999999996</v>
      </c>
      <c r="J867" s="13"/>
      <c r="K867" s="13"/>
      <c r="L867" s="13"/>
      <c r="M867" s="13"/>
    </row>
    <row r="868" spans="2:13" x14ac:dyDescent="0.25">
      <c r="B868" s="14" t="s">
        <v>166</v>
      </c>
      <c r="C868" s="14" t="s">
        <v>52</v>
      </c>
      <c r="D868" t="s">
        <v>138</v>
      </c>
      <c r="E868" s="16" t="s">
        <v>133</v>
      </c>
      <c r="F868">
        <v>2027</v>
      </c>
      <c r="G868" s="12">
        <v>79595</v>
      </c>
      <c r="H868" s="13">
        <v>0.9</v>
      </c>
      <c r="I868" s="13">
        <v>0.82799999999999996</v>
      </c>
      <c r="J868" s="13"/>
      <c r="K868" s="13"/>
      <c r="L868" s="13"/>
      <c r="M868" s="13"/>
    </row>
    <row r="869" spans="2:13" x14ac:dyDescent="0.25">
      <c r="B869" s="14" t="s">
        <v>166</v>
      </c>
      <c r="C869" s="14" t="s">
        <v>52</v>
      </c>
      <c r="D869" t="s">
        <v>138</v>
      </c>
      <c r="E869" s="16" t="s">
        <v>133</v>
      </c>
      <c r="F869">
        <v>2028</v>
      </c>
      <c r="G869" s="12">
        <v>80281</v>
      </c>
      <c r="H869" s="13">
        <v>0.9</v>
      </c>
      <c r="I869" s="13">
        <v>0.82799999999999996</v>
      </c>
      <c r="J869" s="13"/>
      <c r="K869" s="13"/>
      <c r="L869" s="13"/>
      <c r="M869" s="13"/>
    </row>
    <row r="870" spans="2:13" x14ac:dyDescent="0.25">
      <c r="B870" s="14" t="s">
        <v>166</v>
      </c>
      <c r="C870" s="14" t="s">
        <v>52</v>
      </c>
      <c r="D870" t="s">
        <v>138</v>
      </c>
      <c r="E870" s="16" t="s">
        <v>133</v>
      </c>
      <c r="F870">
        <v>2029</v>
      </c>
      <c r="G870" s="12">
        <v>80881</v>
      </c>
      <c r="H870" s="13">
        <v>0.9</v>
      </c>
      <c r="I870" s="13">
        <v>0.82799999999999996</v>
      </c>
      <c r="J870" s="13"/>
      <c r="K870" s="13"/>
      <c r="L870" s="13"/>
      <c r="M870" s="13"/>
    </row>
    <row r="871" spans="2:13" x14ac:dyDescent="0.25">
      <c r="B871" s="14" t="s">
        <v>166</v>
      </c>
      <c r="C871" s="14" t="s">
        <v>52</v>
      </c>
      <c r="D871" t="s">
        <v>138</v>
      </c>
      <c r="E871" s="16" t="s">
        <v>133</v>
      </c>
      <c r="F871">
        <v>2030</v>
      </c>
      <c r="G871" s="12">
        <v>81259</v>
      </c>
      <c r="H871" s="13">
        <v>0.9</v>
      </c>
      <c r="I871" s="13">
        <v>0.82799999999999996</v>
      </c>
      <c r="J871" s="13"/>
      <c r="K871" s="13"/>
      <c r="L871" s="13"/>
      <c r="M871" s="13"/>
    </row>
    <row r="872" spans="2:13" x14ac:dyDescent="0.25">
      <c r="B872" s="14" t="s">
        <v>166</v>
      </c>
      <c r="C872" s="14" t="s">
        <v>139</v>
      </c>
      <c r="D872" t="s">
        <v>46</v>
      </c>
      <c r="E872" s="16" t="s">
        <v>133</v>
      </c>
      <c r="F872">
        <v>2026</v>
      </c>
      <c r="G872" s="12">
        <v>67015</v>
      </c>
      <c r="H872" s="13">
        <v>0.89</v>
      </c>
      <c r="I872" s="13">
        <v>0.81</v>
      </c>
      <c r="J872" s="13">
        <v>0</v>
      </c>
      <c r="K872" s="13"/>
      <c r="L872" s="13">
        <v>0.04</v>
      </c>
      <c r="M872" s="13">
        <v>0.25</v>
      </c>
    </row>
    <row r="873" spans="2:13" x14ac:dyDescent="0.25">
      <c r="B873" s="14" t="s">
        <v>166</v>
      </c>
      <c r="C873" s="14" t="s">
        <v>139</v>
      </c>
      <c r="D873" t="s">
        <v>46</v>
      </c>
      <c r="E873" s="16" t="s">
        <v>133</v>
      </c>
      <c r="F873">
        <v>2027</v>
      </c>
      <c r="G873" s="12">
        <v>67638.429693525803</v>
      </c>
      <c r="H873" s="13">
        <v>0.89659999999999995</v>
      </c>
      <c r="I873" s="13">
        <v>0.81659999999999999</v>
      </c>
      <c r="J873" s="13">
        <v>0</v>
      </c>
      <c r="K873" s="13"/>
      <c r="L873" s="13">
        <v>0.04</v>
      </c>
      <c r="M873" s="13">
        <v>0.25</v>
      </c>
    </row>
    <row r="874" spans="2:13" x14ac:dyDescent="0.25">
      <c r="B874" s="14" t="s">
        <v>166</v>
      </c>
      <c r="C874" s="14" t="s">
        <v>139</v>
      </c>
      <c r="D874" t="s">
        <v>46</v>
      </c>
      <c r="E874" s="16" t="s">
        <v>133</v>
      </c>
      <c r="F874">
        <v>2028</v>
      </c>
      <c r="G874" s="12">
        <v>68221.774229092203</v>
      </c>
      <c r="H874" s="13">
        <v>0.9032</v>
      </c>
      <c r="I874" s="13">
        <v>0.82320000000000004</v>
      </c>
      <c r="J874" s="13">
        <v>0</v>
      </c>
      <c r="K874" s="13"/>
      <c r="L874" s="13">
        <v>0.04</v>
      </c>
      <c r="M874" s="13">
        <v>0.25</v>
      </c>
    </row>
    <row r="875" spans="2:13" x14ac:dyDescent="0.25">
      <c r="B875" s="14" t="s">
        <v>166</v>
      </c>
      <c r="C875" s="14" t="s">
        <v>139</v>
      </c>
      <c r="D875" t="s">
        <v>46</v>
      </c>
      <c r="E875" s="16" t="s">
        <v>133</v>
      </c>
      <c r="F875">
        <v>2029</v>
      </c>
      <c r="G875" s="12">
        <v>68731.277684207205</v>
      </c>
      <c r="H875" s="13">
        <v>0.90980000000000005</v>
      </c>
      <c r="I875" s="13">
        <v>0.82979999999999998</v>
      </c>
      <c r="J875" s="13">
        <v>0</v>
      </c>
      <c r="K875" s="13"/>
      <c r="L875" s="13">
        <v>0.04</v>
      </c>
      <c r="M875" s="13">
        <v>0.25</v>
      </c>
    </row>
    <row r="876" spans="2:13" x14ac:dyDescent="0.25">
      <c r="B876" s="14" t="s">
        <v>166</v>
      </c>
      <c r="C876" s="14" t="s">
        <v>139</v>
      </c>
      <c r="D876" t="s">
        <v>46</v>
      </c>
      <c r="E876" s="16" t="s">
        <v>133</v>
      </c>
      <c r="F876">
        <v>2030</v>
      </c>
      <c r="G876" s="12">
        <v>69053.013820459993</v>
      </c>
      <c r="H876" s="13">
        <v>0.91639999999999999</v>
      </c>
      <c r="I876" s="13">
        <v>0.83640000000000003</v>
      </c>
      <c r="J876" s="13">
        <v>0</v>
      </c>
      <c r="K876" s="13"/>
      <c r="L876" s="13">
        <v>0.04</v>
      </c>
      <c r="M876" s="13">
        <v>0.25</v>
      </c>
    </row>
    <row r="877" spans="2:13" x14ac:dyDescent="0.25">
      <c r="B877" s="14" t="s">
        <v>166</v>
      </c>
      <c r="C877" s="14" t="s">
        <v>74</v>
      </c>
      <c r="D877" t="s">
        <v>46</v>
      </c>
      <c r="E877" s="16" t="s">
        <v>133</v>
      </c>
      <c r="F877">
        <v>2026</v>
      </c>
      <c r="G877" s="12">
        <v>67015</v>
      </c>
      <c r="H877" s="13">
        <v>0.82</v>
      </c>
      <c r="I877" s="13"/>
      <c r="J877" s="13"/>
      <c r="K877" s="13"/>
      <c r="L877" s="13">
        <v>0.2</v>
      </c>
      <c r="M877" s="13">
        <v>0.25</v>
      </c>
    </row>
    <row r="878" spans="2:13" x14ac:dyDescent="0.25">
      <c r="B878" s="14" t="s">
        <v>166</v>
      </c>
      <c r="C878" s="14" t="s">
        <v>74</v>
      </c>
      <c r="D878" t="s">
        <v>46</v>
      </c>
      <c r="E878" s="16" t="s">
        <v>133</v>
      </c>
      <c r="F878">
        <v>2027</v>
      </c>
      <c r="G878" s="12">
        <v>67656</v>
      </c>
      <c r="H878" s="13">
        <v>0.83</v>
      </c>
      <c r="I878" s="13"/>
      <c r="J878" s="13"/>
      <c r="K878" s="13"/>
      <c r="L878" s="13">
        <v>0.2</v>
      </c>
      <c r="M878" s="13">
        <v>0.25</v>
      </c>
    </row>
    <row r="879" spans="2:13" x14ac:dyDescent="0.25">
      <c r="B879" s="14" t="s">
        <v>166</v>
      </c>
      <c r="C879" s="14" t="s">
        <v>74</v>
      </c>
      <c r="D879" t="s">
        <v>46</v>
      </c>
      <c r="E879" s="16" t="s">
        <v>133</v>
      </c>
      <c r="F879">
        <v>2028</v>
      </c>
      <c r="G879" s="12">
        <v>68239</v>
      </c>
      <c r="H879" s="13">
        <v>0.83</v>
      </c>
      <c r="I879" s="13"/>
      <c r="J879" s="13"/>
      <c r="K879" s="13"/>
      <c r="L879" s="13">
        <v>0.2</v>
      </c>
      <c r="M879" s="13">
        <v>0.25</v>
      </c>
    </row>
    <row r="880" spans="2:13" x14ac:dyDescent="0.25">
      <c r="B880" s="14" t="s">
        <v>166</v>
      </c>
      <c r="C880" s="14" t="s">
        <v>74</v>
      </c>
      <c r="D880" t="s">
        <v>46</v>
      </c>
      <c r="E880" s="16" t="s">
        <v>133</v>
      </c>
      <c r="F880">
        <v>2029</v>
      </c>
      <c r="G880" s="12">
        <v>68749</v>
      </c>
      <c r="H880" s="13">
        <v>0.83</v>
      </c>
      <c r="I880" s="13"/>
      <c r="J880" s="13"/>
      <c r="K880" s="13"/>
      <c r="L880" s="13">
        <v>0.2</v>
      </c>
      <c r="M880" s="13">
        <v>0.25</v>
      </c>
    </row>
    <row r="881" spans="2:13" x14ac:dyDescent="0.25">
      <c r="B881" s="15" t="s">
        <v>166</v>
      </c>
      <c r="C881" s="14" t="s">
        <v>74</v>
      </c>
      <c r="D881" t="s">
        <v>46</v>
      </c>
      <c r="E881" s="16" t="s">
        <v>133</v>
      </c>
      <c r="F881">
        <v>2030</v>
      </c>
      <c r="G881" s="12">
        <v>69071</v>
      </c>
      <c r="H881" s="13">
        <v>0.83</v>
      </c>
      <c r="I881" s="13"/>
      <c r="J881" s="13"/>
      <c r="K881" s="13"/>
      <c r="L881" s="13">
        <v>0.2</v>
      </c>
      <c r="M881" s="13">
        <v>0.25</v>
      </c>
    </row>
    <row r="882" spans="2:13" x14ac:dyDescent="0.25">
      <c r="B882" s="14" t="s">
        <v>167</v>
      </c>
      <c r="C882" s="14" t="s">
        <v>134</v>
      </c>
      <c r="D882" t="s">
        <v>46</v>
      </c>
      <c r="E882" s="16" t="s">
        <v>133</v>
      </c>
      <c r="F882">
        <v>2026</v>
      </c>
      <c r="G882" s="12">
        <v>231771</v>
      </c>
      <c r="H882" s="13">
        <v>0.75465199999999999</v>
      </c>
      <c r="I882" s="13">
        <v>0.75047081999999998</v>
      </c>
      <c r="J882" s="13">
        <v>0.74445399999999995</v>
      </c>
      <c r="K882" s="13">
        <v>0</v>
      </c>
      <c r="L882" s="13">
        <v>0.15</v>
      </c>
      <c r="M882" s="13">
        <v>0.25</v>
      </c>
    </row>
    <row r="883" spans="2:13" x14ac:dyDescent="0.25">
      <c r="B883" s="14" t="s">
        <v>167</v>
      </c>
      <c r="C883" s="14" t="s">
        <v>134</v>
      </c>
      <c r="D883" t="s">
        <v>46</v>
      </c>
      <c r="E883" s="16" t="s">
        <v>133</v>
      </c>
      <c r="F883">
        <v>2027</v>
      </c>
      <c r="G883" s="12">
        <v>231489</v>
      </c>
      <c r="H883" s="13">
        <v>0.76125200000000004</v>
      </c>
      <c r="I883" s="13">
        <v>0.75707082000000003</v>
      </c>
      <c r="J883" s="13">
        <v>0.751054</v>
      </c>
      <c r="K883" s="13">
        <v>0</v>
      </c>
      <c r="L883" s="13">
        <v>7.0000000000000007E-2</v>
      </c>
      <c r="M883" s="13">
        <v>0.25</v>
      </c>
    </row>
    <row r="884" spans="2:13" x14ac:dyDescent="0.25">
      <c r="B884" s="14" t="s">
        <v>167</v>
      </c>
      <c r="C884" s="14" t="s">
        <v>134</v>
      </c>
      <c r="D884" t="s">
        <v>46</v>
      </c>
      <c r="E884" s="16" t="s">
        <v>133</v>
      </c>
      <c r="F884">
        <v>2028</v>
      </c>
      <c r="G884" s="12">
        <v>231278</v>
      </c>
      <c r="H884" s="13">
        <v>0.76785199999999998</v>
      </c>
      <c r="I884" s="13">
        <v>0.76367081999999997</v>
      </c>
      <c r="J884" s="13">
        <v>0.75765400000000005</v>
      </c>
      <c r="K884" s="13">
        <v>0</v>
      </c>
      <c r="L884" s="13">
        <v>7.0000000000000007E-2</v>
      </c>
      <c r="M884" s="13">
        <v>0.25</v>
      </c>
    </row>
    <row r="885" spans="2:13" x14ac:dyDescent="0.25">
      <c r="B885" s="14" t="s">
        <v>167</v>
      </c>
      <c r="C885" s="14" t="s">
        <v>134</v>
      </c>
      <c r="D885" t="s">
        <v>46</v>
      </c>
      <c r="E885" s="16" t="s">
        <v>133</v>
      </c>
      <c r="F885">
        <v>2029</v>
      </c>
      <c r="G885" s="12">
        <v>230659</v>
      </c>
      <c r="H885" s="13">
        <v>0.77445200000000003</v>
      </c>
      <c r="I885" s="13">
        <v>0.77027082000000002</v>
      </c>
      <c r="J885" s="13">
        <v>0.76425399999999999</v>
      </c>
      <c r="K885" s="13">
        <v>0</v>
      </c>
      <c r="L885" s="13">
        <v>7.0000000000000007E-2</v>
      </c>
      <c r="M885" s="13">
        <v>0.25</v>
      </c>
    </row>
    <row r="886" spans="2:13" x14ac:dyDescent="0.25">
      <c r="B886" s="15" t="s">
        <v>167</v>
      </c>
      <c r="C886" s="14" t="s">
        <v>134</v>
      </c>
      <c r="D886" t="s">
        <v>46</v>
      </c>
      <c r="E886" s="16" t="s">
        <v>133</v>
      </c>
      <c r="F886">
        <v>2030</v>
      </c>
      <c r="G886" s="12">
        <v>229717</v>
      </c>
      <c r="H886" s="13">
        <v>0.78105199999999997</v>
      </c>
      <c r="I886" s="13">
        <v>0.77687081999999996</v>
      </c>
      <c r="J886" s="13">
        <v>0.77085400000000004</v>
      </c>
      <c r="K886" s="13">
        <v>0</v>
      </c>
      <c r="L886" s="13">
        <v>7.0000000000000007E-2</v>
      </c>
      <c r="M886" s="13">
        <v>0.25</v>
      </c>
    </row>
    <row r="887" spans="2:13" x14ac:dyDescent="0.25">
      <c r="B887" s="14" t="s">
        <v>168</v>
      </c>
      <c r="C887" s="14" t="s">
        <v>132</v>
      </c>
      <c r="D887" t="s">
        <v>46</v>
      </c>
      <c r="E887" s="16" t="s">
        <v>133</v>
      </c>
      <c r="F887">
        <v>2026</v>
      </c>
      <c r="G887" s="12">
        <v>250278</v>
      </c>
      <c r="H887" s="13">
        <v>0.78</v>
      </c>
      <c r="I887" s="13">
        <v>0.68159999999999998</v>
      </c>
      <c r="J887" s="13">
        <v>0.54</v>
      </c>
      <c r="K887" s="13">
        <v>0</v>
      </c>
      <c r="L887" s="13">
        <v>0.04</v>
      </c>
      <c r="M887" s="13">
        <v>0.25</v>
      </c>
    </row>
    <row r="888" spans="2:13" x14ac:dyDescent="0.25">
      <c r="B888" s="14" t="s">
        <v>168</v>
      </c>
      <c r="C888" s="14" t="s">
        <v>132</v>
      </c>
      <c r="D888" t="s">
        <v>46</v>
      </c>
      <c r="E888" s="16" t="s">
        <v>133</v>
      </c>
      <c r="F888">
        <v>2027</v>
      </c>
      <c r="G888" s="12">
        <v>249215</v>
      </c>
      <c r="H888" s="13">
        <v>0.78659999999999997</v>
      </c>
      <c r="I888" s="13">
        <v>0.68820000000000003</v>
      </c>
      <c r="J888" s="13">
        <v>0.54659999999999997</v>
      </c>
      <c r="K888" s="13">
        <v>0</v>
      </c>
      <c r="L888" s="13">
        <v>0.04</v>
      </c>
      <c r="M888" s="13">
        <v>0.25</v>
      </c>
    </row>
    <row r="889" spans="2:13" x14ac:dyDescent="0.25">
      <c r="B889" s="14" t="s">
        <v>168</v>
      </c>
      <c r="C889" s="14" t="s">
        <v>132</v>
      </c>
      <c r="D889" t="s">
        <v>46</v>
      </c>
      <c r="E889" s="16" t="s">
        <v>133</v>
      </c>
      <c r="F889">
        <v>2028</v>
      </c>
      <c r="G889" s="12">
        <v>248361</v>
      </c>
      <c r="H889" s="13">
        <v>0.79320000000000002</v>
      </c>
      <c r="I889" s="13">
        <v>0.69479999999999997</v>
      </c>
      <c r="J889" s="13">
        <v>0.55320000000000003</v>
      </c>
      <c r="K889" s="13">
        <v>0</v>
      </c>
      <c r="L889" s="13">
        <v>0.04</v>
      </c>
      <c r="M889" s="13">
        <v>0.25</v>
      </c>
    </row>
    <row r="890" spans="2:13" x14ac:dyDescent="0.25">
      <c r="B890" s="14" t="s">
        <v>168</v>
      </c>
      <c r="C890" s="14" t="s">
        <v>132</v>
      </c>
      <c r="D890" t="s">
        <v>46</v>
      </c>
      <c r="E890" s="16" t="s">
        <v>133</v>
      </c>
      <c r="F890">
        <v>2029</v>
      </c>
      <c r="G890" s="12">
        <v>248585.94213410799</v>
      </c>
      <c r="H890" s="13">
        <v>0.79979999999999996</v>
      </c>
      <c r="I890" s="13">
        <v>0.70140000000000002</v>
      </c>
      <c r="J890" s="13">
        <v>0.55979999999999996</v>
      </c>
      <c r="K890" s="13">
        <v>0</v>
      </c>
      <c r="L890" s="13">
        <v>0.04</v>
      </c>
      <c r="M890" s="13">
        <v>0.25</v>
      </c>
    </row>
    <row r="891" spans="2:13" x14ac:dyDescent="0.25">
      <c r="B891" s="14" t="s">
        <v>168</v>
      </c>
      <c r="C891" s="14" t="s">
        <v>132</v>
      </c>
      <c r="D891" t="s">
        <v>46</v>
      </c>
      <c r="E891" s="16" t="s">
        <v>133</v>
      </c>
      <c r="F891">
        <v>2030</v>
      </c>
      <c r="G891" s="12">
        <v>248106.828974948</v>
      </c>
      <c r="H891" s="13">
        <v>0.4032</v>
      </c>
      <c r="I891" s="13">
        <v>0.35399999999999998</v>
      </c>
      <c r="J891" s="13">
        <v>0.28320000000000001</v>
      </c>
      <c r="K891" s="13">
        <v>0</v>
      </c>
      <c r="L891" s="13">
        <v>0.04</v>
      </c>
      <c r="M891" s="13">
        <v>0.25</v>
      </c>
    </row>
    <row r="892" spans="2:13" x14ac:dyDescent="0.25">
      <c r="B892" s="14" t="s">
        <v>168</v>
      </c>
      <c r="C892" s="14" t="s">
        <v>70</v>
      </c>
      <c r="D892" t="s">
        <v>46</v>
      </c>
      <c r="E892" s="16" t="s">
        <v>133</v>
      </c>
      <c r="F892">
        <v>2026</v>
      </c>
      <c r="G892" s="12">
        <v>250278</v>
      </c>
      <c r="H892" s="13">
        <v>0.81</v>
      </c>
      <c r="I892" s="13">
        <v>0</v>
      </c>
      <c r="J892" s="13">
        <v>0</v>
      </c>
      <c r="K892" s="13">
        <v>0</v>
      </c>
      <c r="L892" s="13">
        <v>7.0000000000000007E-2</v>
      </c>
      <c r="M892" s="13">
        <v>0.25</v>
      </c>
    </row>
    <row r="893" spans="2:13" x14ac:dyDescent="0.25">
      <c r="B893" s="14" t="s">
        <v>168</v>
      </c>
      <c r="C893" s="14" t="s">
        <v>70</v>
      </c>
      <c r="D893" t="s">
        <v>46</v>
      </c>
      <c r="E893" s="16" t="s">
        <v>133</v>
      </c>
      <c r="F893">
        <v>2027</v>
      </c>
      <c r="G893" s="12">
        <v>249215</v>
      </c>
      <c r="H893" s="13">
        <v>0.82</v>
      </c>
      <c r="I893" s="13">
        <v>0</v>
      </c>
      <c r="J893" s="13">
        <v>0</v>
      </c>
      <c r="K893" s="13">
        <v>0</v>
      </c>
      <c r="L893" s="13">
        <v>7.0000000000000007E-2</v>
      </c>
      <c r="M893" s="13">
        <v>0.25</v>
      </c>
    </row>
    <row r="894" spans="2:13" x14ac:dyDescent="0.25">
      <c r="B894" s="14" t="s">
        <v>168</v>
      </c>
      <c r="C894" s="14" t="s">
        <v>70</v>
      </c>
      <c r="D894" t="s">
        <v>46</v>
      </c>
      <c r="E894" s="16" t="s">
        <v>133</v>
      </c>
      <c r="F894">
        <v>2028</v>
      </c>
      <c r="G894" s="12">
        <v>248361</v>
      </c>
      <c r="H894" s="13">
        <v>0.61499999999999999</v>
      </c>
      <c r="I894" s="13">
        <v>0</v>
      </c>
      <c r="J894" s="13">
        <v>0</v>
      </c>
      <c r="K894" s="13">
        <v>0</v>
      </c>
      <c r="L894" s="13">
        <v>7.0000000000000007E-2</v>
      </c>
      <c r="M894" s="13">
        <v>0.25</v>
      </c>
    </row>
    <row r="895" spans="2:13" x14ac:dyDescent="0.25">
      <c r="B895" s="14" t="s">
        <v>168</v>
      </c>
      <c r="C895" s="14" t="s">
        <v>70</v>
      </c>
      <c r="D895" t="s">
        <v>46</v>
      </c>
      <c r="E895" s="16" t="s">
        <v>133</v>
      </c>
      <c r="F895">
        <v>2029</v>
      </c>
      <c r="G895" s="12">
        <v>248585.94213410799</v>
      </c>
      <c r="H895" s="13">
        <v>0.82979999999999998</v>
      </c>
      <c r="I895" s="13">
        <v>0.77980000000000005</v>
      </c>
      <c r="J895" s="13">
        <v>1.9800000000000002E-2</v>
      </c>
      <c r="K895" s="13">
        <v>0</v>
      </c>
      <c r="L895" s="13">
        <v>7.0000000000000007E-2</v>
      </c>
      <c r="M895" s="13">
        <v>0.25</v>
      </c>
    </row>
    <row r="896" spans="2:13" x14ac:dyDescent="0.25">
      <c r="B896" s="14" t="s">
        <v>168</v>
      </c>
      <c r="C896" s="14" t="s">
        <v>70</v>
      </c>
      <c r="D896" t="s">
        <v>46</v>
      </c>
      <c r="E896" s="16" t="s">
        <v>133</v>
      </c>
      <c r="F896">
        <v>2030</v>
      </c>
      <c r="G896" s="12">
        <v>248106.828974948</v>
      </c>
      <c r="H896" s="13">
        <v>0.41820000000000002</v>
      </c>
      <c r="I896" s="13">
        <v>0.39319999999999999</v>
      </c>
      <c r="J896" s="13">
        <v>1.32E-2</v>
      </c>
      <c r="K896" s="13">
        <v>0</v>
      </c>
      <c r="L896" s="13">
        <v>7.0000000000000007E-2</v>
      </c>
      <c r="M896" s="13">
        <v>0.25</v>
      </c>
    </row>
    <row r="897" spans="2:13" x14ac:dyDescent="0.25">
      <c r="B897" s="14" t="s">
        <v>168</v>
      </c>
      <c r="C897" s="14" t="s">
        <v>134</v>
      </c>
      <c r="D897" t="s">
        <v>46</v>
      </c>
      <c r="E897" s="16" t="s">
        <v>133</v>
      </c>
      <c r="F897">
        <v>2029</v>
      </c>
      <c r="G897" s="12">
        <v>248585.94213410799</v>
      </c>
      <c r="H897" s="13">
        <v>0</v>
      </c>
      <c r="I897" s="13">
        <v>0</v>
      </c>
      <c r="J897" s="13">
        <v>0</v>
      </c>
      <c r="K897" s="13">
        <v>0</v>
      </c>
      <c r="L897" s="13">
        <v>7.0000000000000007E-2</v>
      </c>
      <c r="M897" s="13">
        <v>0.25</v>
      </c>
    </row>
    <row r="898" spans="2:13" x14ac:dyDescent="0.25">
      <c r="B898" s="14" t="s">
        <v>168</v>
      </c>
      <c r="C898" s="14" t="s">
        <v>134</v>
      </c>
      <c r="D898" t="s">
        <v>46</v>
      </c>
      <c r="E898" s="16" t="s">
        <v>133</v>
      </c>
      <c r="F898">
        <v>2030</v>
      </c>
      <c r="G898" s="12">
        <v>248106.828974948</v>
      </c>
      <c r="H898" s="13">
        <v>0.4032</v>
      </c>
      <c r="I898" s="13">
        <v>0.35399999999999998</v>
      </c>
      <c r="J898" s="13">
        <v>0.28320000000000001</v>
      </c>
      <c r="K898" s="13">
        <v>0</v>
      </c>
      <c r="L898" s="13">
        <v>7.0000000000000007E-2</v>
      </c>
      <c r="M898" s="13">
        <v>0.25</v>
      </c>
    </row>
    <row r="899" spans="2:13" x14ac:dyDescent="0.25">
      <c r="B899" s="14" t="s">
        <v>168</v>
      </c>
      <c r="C899" s="14" t="s">
        <v>72</v>
      </c>
      <c r="D899" t="s">
        <v>46</v>
      </c>
      <c r="E899" s="16" t="s">
        <v>133</v>
      </c>
      <c r="F899">
        <v>2026</v>
      </c>
      <c r="G899" s="12">
        <v>250278</v>
      </c>
      <c r="H899" s="13">
        <v>0.78</v>
      </c>
      <c r="I899" s="13">
        <v>0.68200000000000005</v>
      </c>
      <c r="J899" s="13">
        <v>0.54</v>
      </c>
      <c r="K899" s="13"/>
      <c r="L899" s="13">
        <v>0.04</v>
      </c>
      <c r="M899" s="13">
        <v>0.25</v>
      </c>
    </row>
    <row r="900" spans="2:13" x14ac:dyDescent="0.25">
      <c r="B900" s="14" t="s">
        <v>168</v>
      </c>
      <c r="C900" s="14" t="s">
        <v>72</v>
      </c>
      <c r="D900" t="s">
        <v>46</v>
      </c>
      <c r="E900" s="16" t="s">
        <v>133</v>
      </c>
      <c r="F900">
        <v>2027</v>
      </c>
      <c r="G900" s="12">
        <v>249215</v>
      </c>
      <c r="H900" s="13">
        <v>0.79</v>
      </c>
      <c r="I900" s="13">
        <v>0.69199999999999995</v>
      </c>
      <c r="J900" s="13">
        <v>0.55000000000000004</v>
      </c>
      <c r="K900" s="13"/>
      <c r="L900" s="13">
        <v>0.04</v>
      </c>
      <c r="M900" s="13">
        <v>0.25</v>
      </c>
    </row>
    <row r="901" spans="2:13" x14ac:dyDescent="0.25">
      <c r="B901" s="14" t="s">
        <v>168</v>
      </c>
      <c r="C901" s="14" t="s">
        <v>72</v>
      </c>
      <c r="D901" t="s">
        <v>46</v>
      </c>
      <c r="E901" s="16" t="s">
        <v>133</v>
      </c>
      <c r="F901">
        <v>2028</v>
      </c>
      <c r="G901" s="12">
        <v>248361</v>
      </c>
      <c r="H901" s="13">
        <v>0.79</v>
      </c>
      <c r="I901" s="13">
        <v>0.69199999999999995</v>
      </c>
      <c r="J901" s="13">
        <v>0.55000000000000004</v>
      </c>
      <c r="K901" s="13"/>
      <c r="L901" s="13">
        <v>0.04</v>
      </c>
      <c r="M901" s="13">
        <v>0.25</v>
      </c>
    </row>
    <row r="902" spans="2:13" x14ac:dyDescent="0.25">
      <c r="B902" s="14" t="s">
        <v>168</v>
      </c>
      <c r="C902" s="14" t="s">
        <v>72</v>
      </c>
      <c r="D902" t="s">
        <v>46</v>
      </c>
      <c r="E902" s="16" t="s">
        <v>133</v>
      </c>
      <c r="F902">
        <v>2029</v>
      </c>
      <c r="G902" s="12">
        <v>248585.94213410799</v>
      </c>
      <c r="H902" s="13">
        <v>0.79979999999999996</v>
      </c>
      <c r="I902" s="13">
        <v>0.70140000000000002</v>
      </c>
      <c r="J902" s="13">
        <v>0.55979999999999996</v>
      </c>
      <c r="K902" s="13"/>
      <c r="L902" s="13">
        <v>0.04</v>
      </c>
      <c r="M902" s="13">
        <v>0.25</v>
      </c>
    </row>
    <row r="903" spans="2:13" x14ac:dyDescent="0.25">
      <c r="B903" s="14" t="s">
        <v>168</v>
      </c>
      <c r="C903" s="14" t="s">
        <v>72</v>
      </c>
      <c r="D903" t="s">
        <v>46</v>
      </c>
      <c r="E903" s="16" t="s">
        <v>133</v>
      </c>
      <c r="F903">
        <v>2030</v>
      </c>
      <c r="G903" s="12">
        <v>248106.828974948</v>
      </c>
      <c r="H903" s="13">
        <v>0.80640000000000001</v>
      </c>
      <c r="I903" s="13">
        <v>0.70799999999999996</v>
      </c>
      <c r="J903" s="13">
        <v>0.56640000000000001</v>
      </c>
      <c r="K903" s="13"/>
      <c r="L903" s="13">
        <v>0.04</v>
      </c>
      <c r="M903" s="13">
        <v>0.25</v>
      </c>
    </row>
    <row r="904" spans="2:13" x14ac:dyDescent="0.25">
      <c r="B904" s="14" t="s">
        <v>168</v>
      </c>
      <c r="C904" s="14" t="s">
        <v>102</v>
      </c>
      <c r="D904" t="s">
        <v>46</v>
      </c>
      <c r="E904" s="16" t="s">
        <v>133</v>
      </c>
      <c r="F904">
        <v>2030</v>
      </c>
      <c r="G904" s="12">
        <v>248106.828974948</v>
      </c>
      <c r="H904" s="13">
        <v>4.56073278E-2</v>
      </c>
      <c r="I904" s="13"/>
      <c r="J904" s="13"/>
      <c r="K904" s="13"/>
      <c r="L904" s="13">
        <v>7.0000000000000007E-2</v>
      </c>
      <c r="M904" s="13">
        <v>0.25</v>
      </c>
    </row>
    <row r="905" spans="2:13" x14ac:dyDescent="0.25">
      <c r="B905" s="14" t="s">
        <v>168</v>
      </c>
      <c r="C905" s="14" t="s">
        <v>15</v>
      </c>
      <c r="D905" t="s">
        <v>136</v>
      </c>
      <c r="E905" s="16" t="s">
        <v>133</v>
      </c>
      <c r="F905">
        <v>2026</v>
      </c>
      <c r="G905" s="12">
        <v>0</v>
      </c>
      <c r="H905" s="13">
        <v>0</v>
      </c>
      <c r="I905" s="13"/>
      <c r="J905" s="13"/>
      <c r="K905" s="13"/>
      <c r="L905" s="13">
        <v>0.05</v>
      </c>
      <c r="M905" s="13">
        <v>0.25</v>
      </c>
    </row>
    <row r="906" spans="2:13" x14ac:dyDescent="0.25">
      <c r="B906" s="14" t="s">
        <v>168</v>
      </c>
      <c r="C906" s="14" t="s">
        <v>15</v>
      </c>
      <c r="D906" t="s">
        <v>136</v>
      </c>
      <c r="E906" s="16" t="s">
        <v>133</v>
      </c>
      <c r="F906">
        <v>2027</v>
      </c>
      <c r="G906" s="12">
        <v>603425</v>
      </c>
      <c r="H906" s="13">
        <v>0.8</v>
      </c>
      <c r="I906" s="13"/>
      <c r="J906" s="13"/>
      <c r="K906" s="13"/>
      <c r="L906" s="13">
        <v>0.05</v>
      </c>
      <c r="M906" s="13">
        <v>0.25</v>
      </c>
    </row>
    <row r="907" spans="2:13" x14ac:dyDescent="0.25">
      <c r="B907" s="14" t="s">
        <v>168</v>
      </c>
      <c r="C907" s="14" t="s">
        <v>15</v>
      </c>
      <c r="D907" t="s">
        <v>136</v>
      </c>
      <c r="E907" s="16" t="s">
        <v>133</v>
      </c>
      <c r="F907">
        <v>2028</v>
      </c>
      <c r="G907" s="12">
        <v>0</v>
      </c>
      <c r="H907" s="13">
        <v>0</v>
      </c>
      <c r="I907" s="13"/>
      <c r="J907" s="13"/>
      <c r="K907" s="13"/>
      <c r="L907" s="13">
        <v>0.05</v>
      </c>
      <c r="M907" s="13">
        <v>0.25</v>
      </c>
    </row>
    <row r="908" spans="2:13" x14ac:dyDescent="0.25">
      <c r="B908" s="14" t="s">
        <v>168</v>
      </c>
      <c r="C908" s="14" t="s">
        <v>15</v>
      </c>
      <c r="D908" t="s">
        <v>46</v>
      </c>
      <c r="E908" s="16" t="s">
        <v>133</v>
      </c>
      <c r="F908">
        <v>2026</v>
      </c>
      <c r="G908" s="12">
        <v>121591.5</v>
      </c>
      <c r="H908" s="13">
        <v>0</v>
      </c>
      <c r="I908" s="13"/>
      <c r="J908" s="13"/>
      <c r="K908" s="13"/>
      <c r="L908" s="13">
        <v>0.05</v>
      </c>
      <c r="M908" s="13">
        <v>0.25</v>
      </c>
    </row>
    <row r="909" spans="2:13" x14ac:dyDescent="0.25">
      <c r="B909" s="14" t="s">
        <v>168</v>
      </c>
      <c r="C909" s="14" t="s">
        <v>15</v>
      </c>
      <c r="D909" t="s">
        <v>46</v>
      </c>
      <c r="E909" s="16" t="s">
        <v>133</v>
      </c>
      <c r="F909">
        <v>2027</v>
      </c>
      <c r="G909" s="12">
        <v>125960</v>
      </c>
      <c r="H909" s="13">
        <v>0.71706250000000005</v>
      </c>
      <c r="I909" s="13"/>
      <c r="J909" s="13"/>
      <c r="K909" s="13"/>
      <c r="L909" s="13">
        <v>0.05</v>
      </c>
      <c r="M909" s="13">
        <v>0.25</v>
      </c>
    </row>
    <row r="910" spans="2:13" x14ac:dyDescent="0.25">
      <c r="B910" s="14" t="s">
        <v>168</v>
      </c>
      <c r="C910" s="14" t="s">
        <v>15</v>
      </c>
      <c r="D910" t="s">
        <v>46</v>
      </c>
      <c r="E910" s="16" t="s">
        <v>133</v>
      </c>
      <c r="F910">
        <v>2028</v>
      </c>
      <c r="G910" s="12">
        <v>125451</v>
      </c>
      <c r="H910" s="13">
        <v>0.71706250000000005</v>
      </c>
      <c r="I910" s="13"/>
      <c r="J910" s="13"/>
      <c r="K910" s="13"/>
      <c r="L910" s="13">
        <v>0.05</v>
      </c>
      <c r="M910" s="13">
        <v>0.25</v>
      </c>
    </row>
    <row r="911" spans="2:13" x14ac:dyDescent="0.25">
      <c r="B911" s="14" t="s">
        <v>168</v>
      </c>
      <c r="C911" s="14" t="s">
        <v>15</v>
      </c>
      <c r="D911" t="s">
        <v>46</v>
      </c>
      <c r="E911" s="16" t="s">
        <v>133</v>
      </c>
      <c r="F911">
        <v>2029</v>
      </c>
      <c r="G911" s="12">
        <v>124803</v>
      </c>
      <c r="H911" s="13">
        <v>0.71706250000000005</v>
      </c>
      <c r="I911" s="13"/>
      <c r="J911" s="13"/>
      <c r="K911" s="13"/>
      <c r="L911" s="13">
        <v>0.05</v>
      </c>
      <c r="M911" s="13">
        <v>0.25</v>
      </c>
    </row>
    <row r="912" spans="2:13" x14ac:dyDescent="0.25">
      <c r="B912" s="14" t="s">
        <v>168</v>
      </c>
      <c r="C912" s="14" t="s">
        <v>15</v>
      </c>
      <c r="D912" t="s">
        <v>46</v>
      </c>
      <c r="E912" s="16" t="s">
        <v>133</v>
      </c>
      <c r="F912">
        <v>2030</v>
      </c>
      <c r="G912" s="12">
        <v>124128</v>
      </c>
      <c r="H912" s="13">
        <v>0.71706250000000005</v>
      </c>
      <c r="I912" s="13"/>
      <c r="J912" s="13"/>
      <c r="K912" s="13"/>
      <c r="L912" s="13">
        <v>0.05</v>
      </c>
      <c r="M912" s="13">
        <v>0.25</v>
      </c>
    </row>
    <row r="913" spans="2:13" x14ac:dyDescent="0.25">
      <c r="B913" s="14" t="s">
        <v>168</v>
      </c>
      <c r="C913" s="14" t="s">
        <v>52</v>
      </c>
      <c r="D913" t="s">
        <v>141</v>
      </c>
      <c r="E913" s="16" t="s">
        <v>133</v>
      </c>
      <c r="F913">
        <v>2026</v>
      </c>
      <c r="G913" s="12">
        <v>1236481</v>
      </c>
      <c r="H913" s="13">
        <v>0.95</v>
      </c>
      <c r="I913" s="13"/>
      <c r="J913" s="13"/>
      <c r="K913" s="13"/>
      <c r="L913" s="13"/>
      <c r="M913" s="13"/>
    </row>
    <row r="914" spans="2:13" x14ac:dyDescent="0.25">
      <c r="B914" s="14" t="s">
        <v>168</v>
      </c>
      <c r="C914" s="14" t="s">
        <v>52</v>
      </c>
      <c r="D914" t="s">
        <v>141</v>
      </c>
      <c r="E914" s="16" t="s">
        <v>133</v>
      </c>
      <c r="F914">
        <v>2028</v>
      </c>
      <c r="G914" s="12">
        <v>1090023.1875</v>
      </c>
      <c r="H914" s="13">
        <v>1</v>
      </c>
      <c r="I914" s="13"/>
      <c r="J914" s="13"/>
      <c r="K914" s="13"/>
      <c r="L914" s="13"/>
      <c r="M914" s="13"/>
    </row>
    <row r="915" spans="2:13" x14ac:dyDescent="0.25">
      <c r="B915" s="14" t="s">
        <v>168</v>
      </c>
      <c r="C915" s="14" t="s">
        <v>139</v>
      </c>
      <c r="D915" t="s">
        <v>46</v>
      </c>
      <c r="E915" s="16" t="s">
        <v>133</v>
      </c>
      <c r="F915">
        <v>2026</v>
      </c>
      <c r="G915" s="12">
        <v>250278</v>
      </c>
      <c r="H915" s="13">
        <v>0.78</v>
      </c>
      <c r="I915" s="13">
        <v>0.66</v>
      </c>
      <c r="J915" s="13">
        <v>0</v>
      </c>
      <c r="K915" s="13"/>
      <c r="L915" s="13">
        <v>0.04</v>
      </c>
      <c r="M915" s="13">
        <v>0.25</v>
      </c>
    </row>
    <row r="916" spans="2:13" x14ac:dyDescent="0.25">
      <c r="B916" s="14" t="s">
        <v>168</v>
      </c>
      <c r="C916" s="14" t="s">
        <v>139</v>
      </c>
      <c r="D916" t="s">
        <v>46</v>
      </c>
      <c r="E916" s="16" t="s">
        <v>133</v>
      </c>
      <c r="F916">
        <v>2027</v>
      </c>
      <c r="G916" s="12">
        <v>249215</v>
      </c>
      <c r="H916" s="13">
        <v>0.79</v>
      </c>
      <c r="I916" s="13">
        <v>0.67</v>
      </c>
      <c r="J916" s="13">
        <v>0</v>
      </c>
      <c r="K916" s="13"/>
      <c r="L916" s="13">
        <v>0.04</v>
      </c>
      <c r="M916" s="13">
        <v>0.25</v>
      </c>
    </row>
    <row r="917" spans="2:13" x14ac:dyDescent="0.25">
      <c r="B917" s="14" t="s">
        <v>168</v>
      </c>
      <c r="C917" s="14" t="s">
        <v>139</v>
      </c>
      <c r="D917" t="s">
        <v>46</v>
      </c>
      <c r="E917" s="16" t="s">
        <v>133</v>
      </c>
      <c r="F917">
        <v>2028</v>
      </c>
      <c r="G917" s="12">
        <v>248361</v>
      </c>
      <c r="H917" s="13">
        <v>0.79</v>
      </c>
      <c r="I917" s="13">
        <v>0.67</v>
      </c>
      <c r="J917" s="13">
        <v>0</v>
      </c>
      <c r="K917" s="13"/>
      <c r="L917" s="13">
        <v>0.04</v>
      </c>
      <c r="M917" s="13">
        <v>0.25</v>
      </c>
    </row>
    <row r="918" spans="2:13" x14ac:dyDescent="0.25">
      <c r="B918" s="14" t="s">
        <v>168</v>
      </c>
      <c r="C918" s="14" t="s">
        <v>139</v>
      </c>
      <c r="D918" t="s">
        <v>46</v>
      </c>
      <c r="E918" s="16" t="s">
        <v>133</v>
      </c>
      <c r="F918">
        <v>2029</v>
      </c>
      <c r="G918" s="12">
        <v>248585.94213410799</v>
      </c>
      <c r="H918" s="13">
        <v>0.79979999999999996</v>
      </c>
      <c r="I918" s="13">
        <v>0.67979999999999996</v>
      </c>
      <c r="J918" s="13">
        <v>0</v>
      </c>
      <c r="K918" s="13"/>
      <c r="L918" s="13">
        <v>0.04</v>
      </c>
      <c r="M918" s="13">
        <v>0.25</v>
      </c>
    </row>
    <row r="919" spans="2:13" x14ac:dyDescent="0.25">
      <c r="B919" s="14" t="s">
        <v>168</v>
      </c>
      <c r="C919" s="14" t="s">
        <v>139</v>
      </c>
      <c r="D919" t="s">
        <v>46</v>
      </c>
      <c r="E919" s="16" t="s">
        <v>133</v>
      </c>
      <c r="F919">
        <v>2030</v>
      </c>
      <c r="G919" s="12">
        <v>248106.828974948</v>
      </c>
      <c r="H919" s="13">
        <v>0.80640000000000001</v>
      </c>
      <c r="I919" s="13">
        <v>0.68640000000000001</v>
      </c>
      <c r="J919" s="13">
        <v>0</v>
      </c>
      <c r="K919" s="13"/>
      <c r="L919" s="13">
        <v>0.04</v>
      </c>
      <c r="M919" s="13">
        <v>0.25</v>
      </c>
    </row>
    <row r="920" spans="2:13" x14ac:dyDescent="0.25">
      <c r="B920" s="14" t="s">
        <v>168</v>
      </c>
      <c r="C920" s="14" t="s">
        <v>108</v>
      </c>
      <c r="D920" t="s">
        <v>46</v>
      </c>
      <c r="E920" s="16" t="s">
        <v>133</v>
      </c>
      <c r="F920">
        <v>2026</v>
      </c>
      <c r="G920" s="12">
        <v>252738</v>
      </c>
      <c r="H920" s="13">
        <v>0.75316762920000002</v>
      </c>
      <c r="I920" s="13"/>
      <c r="J920" s="13"/>
      <c r="K920" s="13"/>
      <c r="L920" s="13"/>
      <c r="M920" s="13"/>
    </row>
    <row r="921" spans="2:13" x14ac:dyDescent="0.25">
      <c r="B921" s="14" t="s">
        <v>168</v>
      </c>
      <c r="C921" s="14" t="s">
        <v>108</v>
      </c>
      <c r="D921" t="s">
        <v>46</v>
      </c>
      <c r="E921" s="16" t="s">
        <v>133</v>
      </c>
      <c r="F921">
        <v>2027</v>
      </c>
      <c r="G921" s="12">
        <v>252187</v>
      </c>
      <c r="H921" s="13">
        <v>0.76316761970000002</v>
      </c>
      <c r="I921" s="13"/>
      <c r="J921" s="13"/>
      <c r="K921" s="13"/>
      <c r="L921" s="13"/>
      <c r="M921" s="13"/>
    </row>
    <row r="922" spans="2:13" x14ac:dyDescent="0.25">
      <c r="B922" s="14" t="s">
        <v>168</v>
      </c>
      <c r="C922" s="14" t="s">
        <v>108</v>
      </c>
      <c r="D922" t="s">
        <v>46</v>
      </c>
      <c r="E922" s="16" t="s">
        <v>133</v>
      </c>
      <c r="F922">
        <v>2028</v>
      </c>
      <c r="G922" s="12">
        <v>251483</v>
      </c>
      <c r="H922" s="13">
        <v>0.77316761020000002</v>
      </c>
      <c r="I922" s="13"/>
      <c r="J922" s="13"/>
      <c r="K922" s="13"/>
      <c r="L922" s="13"/>
      <c r="M922" s="13"/>
    </row>
    <row r="923" spans="2:13" x14ac:dyDescent="0.25">
      <c r="B923" s="14" t="s">
        <v>168</v>
      </c>
      <c r="C923" s="14" t="s">
        <v>108</v>
      </c>
      <c r="D923" t="s">
        <v>46</v>
      </c>
      <c r="E923" s="16" t="s">
        <v>133</v>
      </c>
      <c r="F923">
        <v>2029</v>
      </c>
      <c r="G923" s="12">
        <v>250847</v>
      </c>
      <c r="H923" s="13">
        <v>0.78316760060000001</v>
      </c>
      <c r="I923" s="13"/>
      <c r="J923" s="13"/>
      <c r="K923" s="13"/>
      <c r="L923" s="13"/>
      <c r="M923" s="13"/>
    </row>
    <row r="924" spans="2:13" x14ac:dyDescent="0.25">
      <c r="B924" s="15" t="s">
        <v>168</v>
      </c>
      <c r="C924" s="14" t="s">
        <v>108</v>
      </c>
      <c r="D924" t="s">
        <v>46</v>
      </c>
      <c r="E924" s="16" t="s">
        <v>133</v>
      </c>
      <c r="F924">
        <v>2030</v>
      </c>
      <c r="G924" s="12">
        <v>250402</v>
      </c>
      <c r="H924" s="13">
        <v>0.79316759110000001</v>
      </c>
      <c r="I924" s="13"/>
      <c r="J924" s="13"/>
      <c r="K924" s="13"/>
      <c r="L924" s="13"/>
      <c r="M924" s="13">
        <v>0.25</v>
      </c>
    </row>
    <row r="925" spans="2:13" x14ac:dyDescent="0.25">
      <c r="B925" s="14" t="s">
        <v>169</v>
      </c>
      <c r="C925" s="14" t="s">
        <v>15</v>
      </c>
      <c r="D925" t="s">
        <v>136</v>
      </c>
      <c r="E925" s="16" t="s">
        <v>133</v>
      </c>
      <c r="F925">
        <v>2026</v>
      </c>
      <c r="G925" s="12">
        <v>38853883.333333403</v>
      </c>
      <c r="H925" s="13">
        <v>0.197434362</v>
      </c>
      <c r="I925" s="13"/>
      <c r="J925" s="13"/>
      <c r="K925" s="13"/>
      <c r="L925" s="13">
        <v>0.1</v>
      </c>
      <c r="M925" s="13">
        <v>0.5</v>
      </c>
    </row>
    <row r="926" spans="2:13" x14ac:dyDescent="0.25">
      <c r="B926" s="14" t="s">
        <v>169</v>
      </c>
      <c r="C926" s="14" t="s">
        <v>15</v>
      </c>
      <c r="D926" t="s">
        <v>136</v>
      </c>
      <c r="E926" s="16" t="s">
        <v>133</v>
      </c>
      <c r="F926">
        <v>2027</v>
      </c>
      <c r="G926" s="12">
        <v>38460636.666666597</v>
      </c>
      <c r="H926" s="13">
        <v>0.3330337182</v>
      </c>
      <c r="I926" s="13"/>
      <c r="J926" s="13"/>
      <c r="K926" s="13"/>
      <c r="L926" s="13">
        <v>0.1</v>
      </c>
      <c r="M926" s="13">
        <v>0.5</v>
      </c>
    </row>
    <row r="927" spans="2:13" x14ac:dyDescent="0.25">
      <c r="B927" s="15" t="s">
        <v>169</v>
      </c>
      <c r="C927" s="14" t="s">
        <v>101</v>
      </c>
      <c r="D927" t="s">
        <v>46</v>
      </c>
      <c r="E927" s="16" t="s">
        <v>133</v>
      </c>
      <c r="F927">
        <v>2027</v>
      </c>
      <c r="G927" s="12">
        <v>8651196.2983360607</v>
      </c>
      <c r="H927" s="13">
        <v>0.93613800000000003</v>
      </c>
      <c r="I927" s="13"/>
      <c r="J927" s="13"/>
      <c r="K927" s="13"/>
      <c r="L927" s="13">
        <v>0.1</v>
      </c>
      <c r="M927" s="13">
        <v>0</v>
      </c>
    </row>
    <row r="928" spans="2:13" x14ac:dyDescent="0.25">
      <c r="B928" s="14" t="s">
        <v>170</v>
      </c>
      <c r="C928" s="14" t="s">
        <v>132</v>
      </c>
      <c r="D928" t="s">
        <v>46</v>
      </c>
      <c r="E928" s="16" t="s">
        <v>133</v>
      </c>
      <c r="F928">
        <v>2026</v>
      </c>
      <c r="G928" s="12">
        <v>1572033</v>
      </c>
      <c r="H928" s="13">
        <v>0.81834112879999998</v>
      </c>
      <c r="I928" s="13">
        <v>0.80139568120000004</v>
      </c>
      <c r="J928" s="13">
        <v>0.77701076869999997</v>
      </c>
      <c r="K928" s="13">
        <v>0</v>
      </c>
      <c r="L928" s="13">
        <v>7.0000000000000007E-2</v>
      </c>
      <c r="M928" s="13">
        <v>0.25</v>
      </c>
    </row>
    <row r="929" spans="2:13" x14ac:dyDescent="0.25">
      <c r="B929" s="14" t="s">
        <v>170</v>
      </c>
      <c r="C929" s="14" t="s">
        <v>132</v>
      </c>
      <c r="D929" t="s">
        <v>46</v>
      </c>
      <c r="E929" s="16" t="s">
        <v>133</v>
      </c>
      <c r="F929">
        <v>2027</v>
      </c>
      <c r="G929" s="12">
        <v>1591119.6041236599</v>
      </c>
      <c r="H929" s="13">
        <v>0.82494112880000003</v>
      </c>
      <c r="I929" s="13">
        <v>0.80799568119999998</v>
      </c>
      <c r="J929" s="13">
        <v>0.78361076870000002</v>
      </c>
      <c r="K929" s="13">
        <v>0</v>
      </c>
      <c r="L929" s="13">
        <v>7.0000000000000007E-2</v>
      </c>
      <c r="M929" s="13">
        <v>0.25</v>
      </c>
    </row>
    <row r="930" spans="2:13" x14ac:dyDescent="0.25">
      <c r="B930" s="14" t="s">
        <v>170</v>
      </c>
      <c r="C930" s="14" t="s">
        <v>132</v>
      </c>
      <c r="D930" t="s">
        <v>46</v>
      </c>
      <c r="E930" s="16" t="s">
        <v>133</v>
      </c>
      <c r="F930">
        <v>2028</v>
      </c>
      <c r="G930" s="12">
        <v>1609302.1495000899</v>
      </c>
      <c r="H930" s="13">
        <v>0.83154112879999997</v>
      </c>
      <c r="I930" s="13">
        <v>0.81459568120000003</v>
      </c>
      <c r="J930" s="13">
        <v>0.79021076869999995</v>
      </c>
      <c r="K930" s="13">
        <v>0</v>
      </c>
      <c r="L930" s="13">
        <v>7.0000000000000007E-2</v>
      </c>
      <c r="M930" s="13">
        <v>0.25</v>
      </c>
    </row>
    <row r="931" spans="2:13" x14ac:dyDescent="0.25">
      <c r="B931" s="14" t="s">
        <v>170</v>
      </c>
      <c r="C931" s="14" t="s">
        <v>132</v>
      </c>
      <c r="D931" t="s">
        <v>46</v>
      </c>
      <c r="E931" s="16" t="s">
        <v>133</v>
      </c>
      <c r="F931">
        <v>2029</v>
      </c>
      <c r="G931" s="12">
        <v>1626125.50357917</v>
      </c>
      <c r="H931" s="13">
        <v>0.83814112880000002</v>
      </c>
      <c r="I931" s="13">
        <v>0.82119568119999997</v>
      </c>
      <c r="J931" s="13">
        <v>0.79681076870000001</v>
      </c>
      <c r="K931" s="13">
        <v>0</v>
      </c>
      <c r="L931" s="13">
        <v>7.0000000000000007E-2</v>
      </c>
      <c r="M931" s="13">
        <v>0.25</v>
      </c>
    </row>
    <row r="932" spans="2:13" x14ac:dyDescent="0.25">
      <c r="B932" s="14" t="s">
        <v>170</v>
      </c>
      <c r="C932" s="14" t="s">
        <v>132</v>
      </c>
      <c r="D932" t="s">
        <v>46</v>
      </c>
      <c r="E932" s="16" t="s">
        <v>133</v>
      </c>
      <c r="F932">
        <v>2030</v>
      </c>
      <c r="G932" s="12">
        <v>1641460.3673409999</v>
      </c>
      <c r="H932" s="13">
        <v>0.84474112879999996</v>
      </c>
      <c r="I932" s="13">
        <v>0.82779568120000002</v>
      </c>
      <c r="J932" s="13">
        <v>0.80341076870000006</v>
      </c>
      <c r="K932" s="13">
        <v>0</v>
      </c>
      <c r="L932" s="13">
        <v>7.0000000000000007E-2</v>
      </c>
      <c r="M932" s="13">
        <v>0.25</v>
      </c>
    </row>
    <row r="933" spans="2:13" x14ac:dyDescent="0.25">
      <c r="B933" s="14" t="s">
        <v>170</v>
      </c>
      <c r="C933" s="14" t="s">
        <v>70</v>
      </c>
      <c r="D933" t="s">
        <v>46</v>
      </c>
      <c r="E933" s="16" t="s">
        <v>133</v>
      </c>
      <c r="F933">
        <v>2026</v>
      </c>
      <c r="G933" s="12">
        <v>1572033</v>
      </c>
      <c r="H933" s="13">
        <v>0.90904352320000004</v>
      </c>
      <c r="I933" s="13">
        <v>0.90904352320000004</v>
      </c>
      <c r="J933" s="13">
        <v>0</v>
      </c>
      <c r="K933" s="13">
        <v>0</v>
      </c>
      <c r="L933" s="13">
        <v>7.0000000000000007E-2</v>
      </c>
      <c r="M933" s="13">
        <v>0.25</v>
      </c>
    </row>
    <row r="934" spans="2:13" x14ac:dyDescent="0.25">
      <c r="B934" s="14" t="s">
        <v>170</v>
      </c>
      <c r="C934" s="14" t="s">
        <v>70</v>
      </c>
      <c r="D934" t="s">
        <v>46</v>
      </c>
      <c r="E934" s="16" t="s">
        <v>133</v>
      </c>
      <c r="F934">
        <v>2027</v>
      </c>
      <c r="G934" s="12">
        <v>1591119.6041236599</v>
      </c>
      <c r="H934" s="13">
        <v>0.91564352319999998</v>
      </c>
      <c r="I934" s="13">
        <v>0.91564352319999998</v>
      </c>
      <c r="J934" s="13">
        <v>6.6E-3</v>
      </c>
      <c r="K934" s="13">
        <v>0</v>
      </c>
      <c r="L934" s="13">
        <v>7.0000000000000007E-2</v>
      </c>
      <c r="M934" s="13">
        <v>0.25</v>
      </c>
    </row>
    <row r="935" spans="2:13" x14ac:dyDescent="0.25">
      <c r="B935" s="14" t="s">
        <v>170</v>
      </c>
      <c r="C935" s="14" t="s">
        <v>70</v>
      </c>
      <c r="D935" t="s">
        <v>46</v>
      </c>
      <c r="E935" s="16" t="s">
        <v>133</v>
      </c>
      <c r="F935">
        <v>2028</v>
      </c>
      <c r="G935" s="12">
        <v>1609302.1495000899</v>
      </c>
      <c r="H935" s="13">
        <v>0.92224352320000003</v>
      </c>
      <c r="I935" s="13">
        <v>0.92224352320000003</v>
      </c>
      <c r="J935" s="13">
        <v>1.32E-2</v>
      </c>
      <c r="K935" s="13">
        <v>0</v>
      </c>
      <c r="L935" s="13">
        <v>7.0000000000000007E-2</v>
      </c>
      <c r="M935" s="13">
        <v>0.25</v>
      </c>
    </row>
    <row r="936" spans="2:13" x14ac:dyDescent="0.25">
      <c r="B936" s="14" t="s">
        <v>170</v>
      </c>
      <c r="C936" s="14" t="s">
        <v>70</v>
      </c>
      <c r="D936" t="s">
        <v>46</v>
      </c>
      <c r="E936" s="16" t="s">
        <v>133</v>
      </c>
      <c r="F936">
        <v>2029</v>
      </c>
      <c r="G936" s="12">
        <v>1626125.50357917</v>
      </c>
      <c r="H936" s="13">
        <v>0.92884352319999997</v>
      </c>
      <c r="I936" s="13">
        <v>0.92884352319999997</v>
      </c>
      <c r="J936" s="13">
        <v>1.9800000000000002E-2</v>
      </c>
      <c r="K936" s="13">
        <v>0</v>
      </c>
      <c r="L936" s="13">
        <v>7.0000000000000007E-2</v>
      </c>
      <c r="M936" s="13">
        <v>0.25</v>
      </c>
    </row>
    <row r="937" spans="2:13" x14ac:dyDescent="0.25">
      <c r="B937" s="14" t="s">
        <v>170</v>
      </c>
      <c r="C937" s="14" t="s">
        <v>70</v>
      </c>
      <c r="D937" t="s">
        <v>46</v>
      </c>
      <c r="E937" s="16" t="s">
        <v>133</v>
      </c>
      <c r="F937">
        <v>2030</v>
      </c>
      <c r="G937" s="12">
        <v>1641460.3673409999</v>
      </c>
      <c r="H937" s="13">
        <v>0.93544352320000002</v>
      </c>
      <c r="I937" s="13">
        <v>0.93544352320000002</v>
      </c>
      <c r="J937" s="13">
        <v>2.64E-2</v>
      </c>
      <c r="K937" s="13">
        <v>0</v>
      </c>
      <c r="L937" s="13">
        <v>7.0000000000000007E-2</v>
      </c>
      <c r="M937" s="13">
        <v>0.25</v>
      </c>
    </row>
    <row r="938" spans="2:13" x14ac:dyDescent="0.25">
      <c r="B938" s="14" t="s">
        <v>170</v>
      </c>
      <c r="C938" s="14" t="s">
        <v>72</v>
      </c>
      <c r="D938" t="s">
        <v>46</v>
      </c>
      <c r="E938" s="16" t="s">
        <v>133</v>
      </c>
      <c r="F938">
        <v>2026</v>
      </c>
      <c r="G938" s="12">
        <v>1572033</v>
      </c>
      <c r="H938" s="13">
        <v>0.99</v>
      </c>
      <c r="I938" s="13">
        <v>0.96950000000000003</v>
      </c>
      <c r="J938" s="13">
        <v>0.94</v>
      </c>
      <c r="K938" s="13"/>
      <c r="L938" s="13">
        <v>7.0000000000000007E-2</v>
      </c>
      <c r="M938" s="13">
        <v>0.25</v>
      </c>
    </row>
    <row r="939" spans="2:13" x14ac:dyDescent="0.25">
      <c r="B939" s="14" t="s">
        <v>170</v>
      </c>
      <c r="C939" s="14" t="s">
        <v>72</v>
      </c>
      <c r="D939" t="s">
        <v>46</v>
      </c>
      <c r="E939" s="16" t="s">
        <v>133</v>
      </c>
      <c r="F939">
        <v>2027</v>
      </c>
      <c r="G939" s="12">
        <v>1591119.6041236599</v>
      </c>
      <c r="H939" s="13">
        <v>0.71498686150000001</v>
      </c>
      <c r="I939" s="13">
        <v>0.70031824470000004</v>
      </c>
      <c r="J939" s="13">
        <v>0.67920974730000006</v>
      </c>
      <c r="K939" s="13"/>
      <c r="L939" s="13">
        <v>7.0000000000000007E-2</v>
      </c>
      <c r="M939" s="13">
        <v>0.25</v>
      </c>
    </row>
    <row r="940" spans="2:13" x14ac:dyDescent="0.25">
      <c r="B940" s="14" t="s">
        <v>170</v>
      </c>
      <c r="C940" s="14" t="s">
        <v>72</v>
      </c>
      <c r="D940" t="s">
        <v>46</v>
      </c>
      <c r="E940" s="16" t="s">
        <v>133</v>
      </c>
      <c r="F940">
        <v>2028</v>
      </c>
      <c r="G940" s="12">
        <v>1609302.1495000899</v>
      </c>
      <c r="H940" s="13">
        <v>0.72158686149999995</v>
      </c>
      <c r="I940" s="13">
        <v>0.70691824469999998</v>
      </c>
      <c r="J940" s="13">
        <v>0.68580974729999999</v>
      </c>
      <c r="K940" s="13"/>
      <c r="L940" s="13">
        <v>7.0000000000000007E-2</v>
      </c>
      <c r="M940" s="13">
        <v>0.25</v>
      </c>
    </row>
    <row r="941" spans="2:13" x14ac:dyDescent="0.25">
      <c r="B941" s="14" t="s">
        <v>170</v>
      </c>
      <c r="C941" s="14" t="s">
        <v>72</v>
      </c>
      <c r="D941" t="s">
        <v>46</v>
      </c>
      <c r="E941" s="16" t="s">
        <v>133</v>
      </c>
      <c r="F941">
        <v>2029</v>
      </c>
      <c r="G941" s="12">
        <v>1626125.50357917</v>
      </c>
      <c r="H941" s="13">
        <v>0.7281868615</v>
      </c>
      <c r="I941" s="13">
        <v>0.71351824470000003</v>
      </c>
      <c r="J941" s="13">
        <v>0.69240974730000004</v>
      </c>
      <c r="K941" s="13"/>
      <c r="L941" s="13">
        <v>7.0000000000000007E-2</v>
      </c>
      <c r="M941" s="13">
        <v>0.25</v>
      </c>
    </row>
    <row r="942" spans="2:13" x14ac:dyDescent="0.25">
      <c r="B942" s="14" t="s">
        <v>170</v>
      </c>
      <c r="C942" s="14" t="s">
        <v>72</v>
      </c>
      <c r="D942" t="s">
        <v>46</v>
      </c>
      <c r="E942" s="16" t="s">
        <v>133</v>
      </c>
      <c r="F942">
        <v>2030</v>
      </c>
      <c r="G942" s="12">
        <v>1641460.3673409999</v>
      </c>
      <c r="H942" s="13">
        <v>0.73478686150000005</v>
      </c>
      <c r="I942" s="13">
        <v>0.72011824469999997</v>
      </c>
      <c r="J942" s="13">
        <v>0.69900974729999998</v>
      </c>
      <c r="K942" s="13"/>
      <c r="L942" s="13">
        <v>7.0000000000000007E-2</v>
      </c>
      <c r="M942" s="13">
        <v>0.25</v>
      </c>
    </row>
    <row r="943" spans="2:13" x14ac:dyDescent="0.25">
      <c r="B943" s="14" t="s">
        <v>170</v>
      </c>
      <c r="C943" s="14" t="s">
        <v>102</v>
      </c>
      <c r="D943" t="s">
        <v>46</v>
      </c>
      <c r="E943" s="16" t="s">
        <v>133</v>
      </c>
      <c r="F943">
        <v>2028</v>
      </c>
      <c r="G943" s="12">
        <v>1609302.1495000899</v>
      </c>
      <c r="H943" s="13">
        <v>6.8443387699999997E-2</v>
      </c>
      <c r="I943" s="13"/>
      <c r="J943" s="13"/>
      <c r="K943" s="13"/>
      <c r="L943" s="13">
        <v>7.0000000000000007E-2</v>
      </c>
      <c r="M943" s="13">
        <v>0.25</v>
      </c>
    </row>
    <row r="944" spans="2:13" x14ac:dyDescent="0.25">
      <c r="B944" s="14" t="s">
        <v>170</v>
      </c>
      <c r="C944" s="14" t="s">
        <v>102</v>
      </c>
      <c r="D944" t="s">
        <v>46</v>
      </c>
      <c r="E944" s="16" t="s">
        <v>133</v>
      </c>
      <c r="F944">
        <v>2029</v>
      </c>
      <c r="G944" s="12">
        <v>1626125.50357917</v>
      </c>
      <c r="H944" s="13">
        <v>0.8279206523</v>
      </c>
      <c r="I944" s="13"/>
      <c r="J944" s="13"/>
      <c r="K944" s="13"/>
      <c r="L944" s="13">
        <v>7.0000000000000007E-2</v>
      </c>
      <c r="M944" s="13">
        <v>0.25</v>
      </c>
    </row>
    <row r="945" spans="2:13" x14ac:dyDescent="0.25">
      <c r="B945" s="14" t="s">
        <v>170</v>
      </c>
      <c r="C945" s="14" t="s">
        <v>102</v>
      </c>
      <c r="D945" t="s">
        <v>46</v>
      </c>
      <c r="E945" s="16" t="s">
        <v>133</v>
      </c>
      <c r="F945">
        <v>2030</v>
      </c>
      <c r="G945" s="12">
        <v>1641460.3673409999</v>
      </c>
      <c r="H945" s="13">
        <v>0.83452065230000005</v>
      </c>
      <c r="I945" s="13"/>
      <c r="J945" s="13"/>
      <c r="K945" s="13"/>
      <c r="L945" s="13">
        <v>7.0000000000000007E-2</v>
      </c>
      <c r="M945" s="13">
        <v>0.25</v>
      </c>
    </row>
    <row r="946" spans="2:13" x14ac:dyDescent="0.25">
      <c r="B946" s="14" t="s">
        <v>170</v>
      </c>
      <c r="C946" s="14" t="s">
        <v>15</v>
      </c>
      <c r="D946" t="s">
        <v>46</v>
      </c>
      <c r="E946" s="16" t="s">
        <v>133</v>
      </c>
      <c r="F946">
        <v>2026</v>
      </c>
      <c r="G946" s="12">
        <v>764918</v>
      </c>
      <c r="H946" s="13">
        <v>0.79</v>
      </c>
      <c r="I946" s="13"/>
      <c r="J946" s="13"/>
      <c r="K946" s="13"/>
      <c r="L946" s="13">
        <v>0.05</v>
      </c>
      <c r="M946" s="13">
        <v>0.25</v>
      </c>
    </row>
    <row r="947" spans="2:13" x14ac:dyDescent="0.25">
      <c r="B947" s="14" t="s">
        <v>170</v>
      </c>
      <c r="C947" s="14" t="s">
        <v>15</v>
      </c>
      <c r="D947" t="s">
        <v>46</v>
      </c>
      <c r="E947" s="16" t="s">
        <v>133</v>
      </c>
      <c r="F947">
        <v>2027</v>
      </c>
      <c r="G947" s="12">
        <v>788196</v>
      </c>
      <c r="H947" s="13">
        <v>0.79</v>
      </c>
      <c r="I947" s="13"/>
      <c r="J947" s="13"/>
      <c r="K947" s="13"/>
      <c r="L947" s="13">
        <v>0.05</v>
      </c>
      <c r="M947" s="13">
        <v>0.25</v>
      </c>
    </row>
    <row r="948" spans="2:13" x14ac:dyDescent="0.25">
      <c r="B948" s="14" t="s">
        <v>170</v>
      </c>
      <c r="C948" s="14" t="s">
        <v>15</v>
      </c>
      <c r="D948" t="s">
        <v>46</v>
      </c>
      <c r="E948" s="16" t="s">
        <v>133</v>
      </c>
      <c r="F948">
        <v>2028</v>
      </c>
      <c r="G948" s="12">
        <v>788592</v>
      </c>
      <c r="H948" s="13">
        <v>0.79</v>
      </c>
      <c r="I948" s="13"/>
      <c r="J948" s="13"/>
      <c r="K948" s="13"/>
      <c r="L948" s="13">
        <v>0.05</v>
      </c>
      <c r="M948" s="13">
        <v>0.25</v>
      </c>
    </row>
    <row r="949" spans="2:13" x14ac:dyDescent="0.25">
      <c r="B949" s="14" t="s">
        <v>170</v>
      </c>
      <c r="C949" s="14" t="s">
        <v>15</v>
      </c>
      <c r="D949" t="s">
        <v>46</v>
      </c>
      <c r="E949" s="16" t="s">
        <v>133</v>
      </c>
      <c r="F949">
        <v>2029</v>
      </c>
      <c r="G949" s="12">
        <v>790219</v>
      </c>
      <c r="H949" s="13">
        <v>0.79</v>
      </c>
      <c r="I949" s="13"/>
      <c r="J949" s="13"/>
      <c r="K949" s="13"/>
      <c r="L949" s="13">
        <v>0.05</v>
      </c>
      <c r="M949" s="13">
        <v>0.25</v>
      </c>
    </row>
    <row r="950" spans="2:13" x14ac:dyDescent="0.25">
      <c r="B950" s="14" t="s">
        <v>170</v>
      </c>
      <c r="C950" s="14" t="s">
        <v>15</v>
      </c>
      <c r="D950" t="s">
        <v>46</v>
      </c>
      <c r="E950" s="16" t="s">
        <v>133</v>
      </c>
      <c r="F950">
        <v>2030</v>
      </c>
      <c r="G950" s="12">
        <v>798762</v>
      </c>
      <c r="H950" s="13">
        <v>0.79</v>
      </c>
      <c r="I950" s="13"/>
      <c r="J950" s="13"/>
      <c r="K950" s="13"/>
      <c r="L950" s="13">
        <v>0.05</v>
      </c>
      <c r="M950" s="13">
        <v>0.25</v>
      </c>
    </row>
    <row r="951" spans="2:13" x14ac:dyDescent="0.25">
      <c r="B951" s="14" t="s">
        <v>170</v>
      </c>
      <c r="C951" s="14" t="s">
        <v>145</v>
      </c>
      <c r="D951" t="s">
        <v>46</v>
      </c>
      <c r="E951" s="16" t="s">
        <v>133</v>
      </c>
      <c r="F951">
        <v>2026</v>
      </c>
      <c r="G951" s="12">
        <v>419850.20672300103</v>
      </c>
      <c r="H951" s="13">
        <v>0.67586272869999997</v>
      </c>
      <c r="I951" s="13">
        <v>0.62451627259999998</v>
      </c>
      <c r="J951" s="13">
        <v>0.62499148999999998</v>
      </c>
      <c r="K951" s="13">
        <v>0.45434230149999999</v>
      </c>
      <c r="L951" s="13"/>
      <c r="M951" s="13">
        <v>0.25</v>
      </c>
    </row>
    <row r="952" spans="2:13" x14ac:dyDescent="0.25">
      <c r="B952" s="14" t="s">
        <v>170</v>
      </c>
      <c r="C952" s="14" t="s">
        <v>145</v>
      </c>
      <c r="D952" t="s">
        <v>46</v>
      </c>
      <c r="E952" s="16" t="s">
        <v>133</v>
      </c>
      <c r="F952">
        <v>2027</v>
      </c>
      <c r="G952" s="12">
        <v>341081.17249356402</v>
      </c>
      <c r="H952" s="13">
        <v>0.68086272869999998</v>
      </c>
      <c r="I952" s="13">
        <v>0.62951627259999998</v>
      </c>
      <c r="J952" s="13">
        <v>0.62999148999999999</v>
      </c>
      <c r="K952" s="13">
        <v>0.45934230149999999</v>
      </c>
      <c r="L952" s="13"/>
      <c r="M952" s="13">
        <v>0.25</v>
      </c>
    </row>
    <row r="953" spans="2:13" x14ac:dyDescent="0.25">
      <c r="B953" s="14" t="s">
        <v>170</v>
      </c>
      <c r="C953" s="14" t="s">
        <v>145</v>
      </c>
      <c r="D953" t="s">
        <v>46</v>
      </c>
      <c r="E953" s="16" t="s">
        <v>133</v>
      </c>
      <c r="F953">
        <v>2028</v>
      </c>
      <c r="G953" s="12">
        <v>322769.41744020203</v>
      </c>
      <c r="H953" s="13">
        <v>0.68586272869999998</v>
      </c>
      <c r="I953" s="13">
        <v>0.63451627259999999</v>
      </c>
      <c r="J953" s="13">
        <v>0.63499148999999999</v>
      </c>
      <c r="K953" s="13">
        <v>0.4643423015</v>
      </c>
      <c r="L953" s="13"/>
      <c r="M953" s="13">
        <v>0.25</v>
      </c>
    </row>
    <row r="954" spans="2:13" x14ac:dyDescent="0.25">
      <c r="B954" s="14" t="s">
        <v>170</v>
      </c>
      <c r="C954" s="14" t="s">
        <v>145</v>
      </c>
      <c r="D954" t="s">
        <v>46</v>
      </c>
      <c r="E954" s="16" t="s">
        <v>133</v>
      </c>
      <c r="F954">
        <v>2029</v>
      </c>
      <c r="G954" s="12">
        <v>304787.74710014201</v>
      </c>
      <c r="H954" s="13">
        <v>0.69086272869999998</v>
      </c>
      <c r="I954" s="13">
        <v>0.63951627259999999</v>
      </c>
      <c r="J954" s="13">
        <v>0.63999149</v>
      </c>
      <c r="K954" s="13">
        <v>0.4693423015</v>
      </c>
      <c r="L954" s="13"/>
      <c r="M954" s="13">
        <v>0.25</v>
      </c>
    </row>
    <row r="955" spans="2:13" x14ac:dyDescent="0.25">
      <c r="B955" s="14" t="s">
        <v>170</v>
      </c>
      <c r="C955" s="14" t="s">
        <v>145</v>
      </c>
      <c r="D955" t="s">
        <v>46</v>
      </c>
      <c r="E955" s="16" t="s">
        <v>133</v>
      </c>
      <c r="F955">
        <v>2030</v>
      </c>
      <c r="G955" s="12">
        <v>307185.062174169</v>
      </c>
      <c r="H955" s="13">
        <v>0.69586272869999999</v>
      </c>
      <c r="I955" s="13">
        <v>0.6445162726</v>
      </c>
      <c r="J955" s="13">
        <v>0.64499149</v>
      </c>
      <c r="K955" s="13">
        <v>0.47434230150000001</v>
      </c>
      <c r="L955" s="13"/>
      <c r="M955" s="13">
        <v>0.25</v>
      </c>
    </row>
    <row r="956" spans="2:13" x14ac:dyDescent="0.25">
      <c r="B956" s="14" t="s">
        <v>170</v>
      </c>
      <c r="C956" s="14" t="s">
        <v>52</v>
      </c>
      <c r="D956" t="s">
        <v>141</v>
      </c>
      <c r="E956" s="16" t="s">
        <v>133</v>
      </c>
      <c r="F956">
        <v>2028</v>
      </c>
      <c r="G956" s="12">
        <v>6674354.4375</v>
      </c>
      <c r="H956" s="13">
        <v>1</v>
      </c>
      <c r="I956" s="13"/>
      <c r="J956" s="13"/>
      <c r="K956" s="13"/>
      <c r="L956" s="13"/>
      <c r="M956" s="13"/>
    </row>
    <row r="957" spans="2:13" x14ac:dyDescent="0.25">
      <c r="B957" s="14" t="s">
        <v>170</v>
      </c>
      <c r="C957" s="14" t="s">
        <v>52</v>
      </c>
      <c r="D957" t="s">
        <v>138</v>
      </c>
      <c r="E957" s="16" t="s">
        <v>133</v>
      </c>
      <c r="F957">
        <v>2026</v>
      </c>
      <c r="G957" s="12">
        <v>1519765</v>
      </c>
      <c r="H957" s="13">
        <v>0.89319999999999999</v>
      </c>
      <c r="I957" s="13">
        <v>0.7732</v>
      </c>
      <c r="J957" s="13"/>
      <c r="K957" s="13"/>
      <c r="L957" s="13"/>
      <c r="M957" s="13"/>
    </row>
    <row r="958" spans="2:13" x14ac:dyDescent="0.25">
      <c r="B958" s="14" t="s">
        <v>170</v>
      </c>
      <c r="C958" s="14" t="s">
        <v>52</v>
      </c>
      <c r="D958" t="s">
        <v>138</v>
      </c>
      <c r="E958" s="16" t="s">
        <v>133</v>
      </c>
      <c r="F958">
        <v>2027</v>
      </c>
      <c r="G958" s="12">
        <v>1538217</v>
      </c>
      <c r="H958" s="13">
        <v>0.89980000000000004</v>
      </c>
      <c r="I958" s="13">
        <v>0.80709299999999995</v>
      </c>
      <c r="J958" s="13"/>
      <c r="K958" s="13"/>
      <c r="L958" s="13"/>
      <c r="M958" s="13"/>
    </row>
    <row r="959" spans="2:13" x14ac:dyDescent="0.25">
      <c r="B959" s="14" t="s">
        <v>170</v>
      </c>
      <c r="C959" s="14" t="s">
        <v>52</v>
      </c>
      <c r="D959" t="s">
        <v>138</v>
      </c>
      <c r="E959" s="16" t="s">
        <v>133</v>
      </c>
      <c r="F959">
        <v>2028</v>
      </c>
      <c r="G959" s="12">
        <v>1555795</v>
      </c>
      <c r="H959" s="13">
        <v>0.90639999999999998</v>
      </c>
      <c r="I959" s="13">
        <v>0.81392399999999998</v>
      </c>
      <c r="J959" s="13"/>
      <c r="K959" s="13"/>
      <c r="L959" s="13"/>
      <c r="M959" s="13"/>
    </row>
    <row r="960" spans="2:13" x14ac:dyDescent="0.25">
      <c r="B960" s="14" t="s">
        <v>170</v>
      </c>
      <c r="C960" s="14" t="s">
        <v>52</v>
      </c>
      <c r="D960" t="s">
        <v>138</v>
      </c>
      <c r="E960" s="16" t="s">
        <v>133</v>
      </c>
      <c r="F960">
        <v>2029</v>
      </c>
      <c r="G960" s="12">
        <v>1572059</v>
      </c>
      <c r="H960" s="13">
        <v>0.91300000000000003</v>
      </c>
      <c r="I960" s="13">
        <v>0.82075500000000001</v>
      </c>
      <c r="J960" s="13"/>
      <c r="K960" s="13"/>
      <c r="L960" s="13"/>
      <c r="M960" s="13"/>
    </row>
    <row r="961" spans="2:13" x14ac:dyDescent="0.25">
      <c r="B961" s="14" t="s">
        <v>170</v>
      </c>
      <c r="C961" s="14" t="s">
        <v>52</v>
      </c>
      <c r="D961" t="s">
        <v>138</v>
      </c>
      <c r="E961" s="16" t="s">
        <v>133</v>
      </c>
      <c r="F961">
        <v>2030</v>
      </c>
      <c r="G961" s="12">
        <v>1586884</v>
      </c>
      <c r="H961" s="13">
        <v>0.91959999999999997</v>
      </c>
      <c r="I961" s="13">
        <v>0.82758600000000004</v>
      </c>
      <c r="J961" s="13"/>
      <c r="K961" s="13"/>
      <c r="L961" s="13"/>
      <c r="M961" s="13"/>
    </row>
    <row r="962" spans="2:13" x14ac:dyDescent="0.25">
      <c r="B962" s="14" t="s">
        <v>170</v>
      </c>
      <c r="C962" s="14" t="s">
        <v>109</v>
      </c>
      <c r="D962" t="s">
        <v>151</v>
      </c>
      <c r="E962" s="16" t="s">
        <v>133</v>
      </c>
      <c r="F962">
        <v>2026</v>
      </c>
      <c r="G962" s="12">
        <v>0</v>
      </c>
      <c r="H962" s="13"/>
      <c r="I962" s="13"/>
      <c r="J962" s="13"/>
      <c r="K962" s="13"/>
      <c r="L962" s="13"/>
      <c r="M962" s="13"/>
    </row>
    <row r="963" spans="2:13" x14ac:dyDescent="0.25">
      <c r="B963" s="14" t="s">
        <v>170</v>
      </c>
      <c r="C963" s="14" t="s">
        <v>109</v>
      </c>
      <c r="D963" t="s">
        <v>151</v>
      </c>
      <c r="E963" s="16" t="s">
        <v>133</v>
      </c>
      <c r="F963">
        <v>2027</v>
      </c>
      <c r="G963" s="12">
        <v>2363772.97297297</v>
      </c>
      <c r="H963" s="13">
        <v>1</v>
      </c>
      <c r="I963" s="13">
        <v>0.85</v>
      </c>
      <c r="J963" s="13"/>
      <c r="K963" s="13"/>
      <c r="L963" s="13"/>
      <c r="M963" s="13"/>
    </row>
    <row r="964" spans="2:13" x14ac:dyDescent="0.25">
      <c r="B964" s="14" t="s">
        <v>170</v>
      </c>
      <c r="C964" s="14" t="s">
        <v>109</v>
      </c>
      <c r="D964" t="s">
        <v>151</v>
      </c>
      <c r="E964" s="16" t="s">
        <v>133</v>
      </c>
      <c r="F964">
        <v>2028</v>
      </c>
      <c r="G964" s="12">
        <v>0</v>
      </c>
      <c r="H964" s="13"/>
      <c r="I964" s="13"/>
      <c r="J964" s="13"/>
      <c r="K964" s="13"/>
      <c r="L964" s="13"/>
      <c r="M964" s="13"/>
    </row>
    <row r="965" spans="2:13" x14ac:dyDescent="0.25">
      <c r="B965" s="14" t="s">
        <v>170</v>
      </c>
      <c r="C965" s="14" t="s">
        <v>109</v>
      </c>
      <c r="D965" t="s">
        <v>151</v>
      </c>
      <c r="E965" s="16" t="s">
        <v>133</v>
      </c>
      <c r="F965">
        <v>2029</v>
      </c>
      <c r="G965" s="12">
        <v>0</v>
      </c>
      <c r="H965" s="13"/>
      <c r="I965" s="13"/>
      <c r="J965" s="13"/>
      <c r="K965" s="13"/>
      <c r="L965" s="13"/>
      <c r="M965" s="13"/>
    </row>
    <row r="966" spans="2:13" x14ac:dyDescent="0.25">
      <c r="B966" s="14" t="s">
        <v>170</v>
      </c>
      <c r="C966" s="14" t="s">
        <v>109</v>
      </c>
      <c r="D966" t="s">
        <v>151</v>
      </c>
      <c r="E966" s="16" t="s">
        <v>133</v>
      </c>
      <c r="F966">
        <v>2030</v>
      </c>
      <c r="G966" s="12">
        <v>0</v>
      </c>
      <c r="H966" s="13"/>
      <c r="I966" s="13"/>
      <c r="J966" s="13"/>
      <c r="K966" s="13"/>
      <c r="L966" s="13"/>
      <c r="M966" s="13"/>
    </row>
    <row r="967" spans="2:13" x14ac:dyDescent="0.25">
      <c r="B967" s="14" t="s">
        <v>170</v>
      </c>
      <c r="C967" s="14" t="s">
        <v>139</v>
      </c>
      <c r="D967" t="s">
        <v>46</v>
      </c>
      <c r="E967" s="16" t="s">
        <v>133</v>
      </c>
      <c r="F967">
        <v>2026</v>
      </c>
      <c r="G967" s="12">
        <v>1572033</v>
      </c>
      <c r="H967" s="13">
        <v>0.99</v>
      </c>
      <c r="I967" s="13">
        <v>0.96950000000000003</v>
      </c>
      <c r="J967" s="13">
        <v>0.94</v>
      </c>
      <c r="K967" s="13"/>
      <c r="L967" s="13">
        <v>0.13</v>
      </c>
      <c r="M967" s="13">
        <v>0.25</v>
      </c>
    </row>
    <row r="968" spans="2:13" x14ac:dyDescent="0.25">
      <c r="B968" s="14" t="s">
        <v>170</v>
      </c>
      <c r="C968" s="14" t="s">
        <v>139</v>
      </c>
      <c r="D968" t="s">
        <v>46</v>
      </c>
      <c r="E968" s="16" t="s">
        <v>133</v>
      </c>
      <c r="F968">
        <v>2027</v>
      </c>
      <c r="G968" s="12">
        <v>1591119.6041236599</v>
      </c>
      <c r="H968" s="13">
        <v>0.99</v>
      </c>
      <c r="I968" s="13">
        <v>0.97220600000000001</v>
      </c>
      <c r="J968" s="13">
        <v>0.9466</v>
      </c>
      <c r="K968" s="13"/>
      <c r="L968" s="13">
        <v>0.13</v>
      </c>
      <c r="M968" s="13">
        <v>0.25</v>
      </c>
    </row>
    <row r="969" spans="2:13" x14ac:dyDescent="0.25">
      <c r="B969" s="14" t="s">
        <v>170</v>
      </c>
      <c r="C969" s="14" t="s">
        <v>139</v>
      </c>
      <c r="D969" t="s">
        <v>46</v>
      </c>
      <c r="E969" s="16" t="s">
        <v>133</v>
      </c>
      <c r="F969">
        <v>2028</v>
      </c>
      <c r="G969" s="12">
        <v>1609302.1495000899</v>
      </c>
      <c r="H969" s="13">
        <v>0.99</v>
      </c>
      <c r="I969" s="13">
        <v>0.974912</v>
      </c>
      <c r="J969" s="13">
        <v>0.95320000000000005</v>
      </c>
      <c r="K969" s="13"/>
      <c r="L969" s="13">
        <v>0.13</v>
      </c>
      <c r="M969" s="13">
        <v>0.25</v>
      </c>
    </row>
    <row r="970" spans="2:13" x14ac:dyDescent="0.25">
      <c r="B970" s="14" t="s">
        <v>170</v>
      </c>
      <c r="C970" s="14" t="s">
        <v>139</v>
      </c>
      <c r="D970" t="s">
        <v>46</v>
      </c>
      <c r="E970" s="16" t="s">
        <v>133</v>
      </c>
      <c r="F970">
        <v>2029</v>
      </c>
      <c r="G970" s="12">
        <v>1626125.50357917</v>
      </c>
      <c r="H970" s="13">
        <v>0.99</v>
      </c>
      <c r="I970" s="13">
        <v>0.97761799999999999</v>
      </c>
      <c r="J970" s="13">
        <v>0.95979999999999999</v>
      </c>
      <c r="K970" s="13"/>
      <c r="L970" s="13">
        <v>0.13</v>
      </c>
      <c r="M970" s="13">
        <v>0.25</v>
      </c>
    </row>
    <row r="971" spans="2:13" x14ac:dyDescent="0.25">
      <c r="B971" s="14" t="s">
        <v>170</v>
      </c>
      <c r="C971" s="14" t="s">
        <v>139</v>
      </c>
      <c r="D971" t="s">
        <v>46</v>
      </c>
      <c r="E971" s="16" t="s">
        <v>133</v>
      </c>
      <c r="F971">
        <v>2030</v>
      </c>
      <c r="G971" s="12">
        <v>1641460.3673409999</v>
      </c>
      <c r="H971" s="13">
        <v>0.99</v>
      </c>
      <c r="I971" s="13">
        <v>0.98032399999999997</v>
      </c>
      <c r="J971" s="13">
        <v>0.96640000000000004</v>
      </c>
      <c r="K971" s="13"/>
      <c r="L971" s="13">
        <v>0.13</v>
      </c>
      <c r="M971" s="13">
        <v>0.25</v>
      </c>
    </row>
    <row r="972" spans="2:13" x14ac:dyDescent="0.25">
      <c r="B972" s="14" t="s">
        <v>170</v>
      </c>
      <c r="C972" s="14" t="s">
        <v>108</v>
      </c>
      <c r="D972" t="s">
        <v>46</v>
      </c>
      <c r="E972" s="16" t="s">
        <v>133</v>
      </c>
      <c r="F972">
        <v>2026</v>
      </c>
      <c r="G972" s="12">
        <v>1541031</v>
      </c>
      <c r="H972" s="13">
        <v>0.75284886360000003</v>
      </c>
      <c r="I972" s="13"/>
      <c r="J972" s="13"/>
      <c r="K972" s="13"/>
      <c r="L972" s="13"/>
      <c r="M972" s="13"/>
    </row>
    <row r="973" spans="2:13" x14ac:dyDescent="0.25">
      <c r="B973" s="14" t="s">
        <v>170</v>
      </c>
      <c r="C973" s="14" t="s">
        <v>108</v>
      </c>
      <c r="D973" t="s">
        <v>46</v>
      </c>
      <c r="E973" s="16" t="s">
        <v>133</v>
      </c>
      <c r="F973">
        <v>2027</v>
      </c>
      <c r="G973" s="12">
        <v>1558896</v>
      </c>
      <c r="H973" s="13">
        <v>0.76284885410000003</v>
      </c>
      <c r="I973" s="13"/>
      <c r="J973" s="13"/>
      <c r="K973" s="13"/>
      <c r="L973" s="13"/>
      <c r="M973" s="13"/>
    </row>
    <row r="974" spans="2:13" x14ac:dyDescent="0.25">
      <c r="B974" s="14" t="s">
        <v>170</v>
      </c>
      <c r="C974" s="14" t="s">
        <v>108</v>
      </c>
      <c r="D974" t="s">
        <v>46</v>
      </c>
      <c r="E974" s="16" t="s">
        <v>133</v>
      </c>
      <c r="F974">
        <v>2028</v>
      </c>
      <c r="G974" s="12">
        <v>1576784</v>
      </c>
      <c r="H974" s="13">
        <v>0.77284884450000002</v>
      </c>
      <c r="I974" s="13"/>
      <c r="J974" s="13"/>
      <c r="K974" s="13"/>
      <c r="L974" s="13"/>
      <c r="M974" s="13"/>
    </row>
    <row r="975" spans="2:13" x14ac:dyDescent="0.25">
      <c r="B975" s="14" t="s">
        <v>170</v>
      </c>
      <c r="C975" s="14" t="s">
        <v>108</v>
      </c>
      <c r="D975" t="s">
        <v>46</v>
      </c>
      <c r="E975" s="16" t="s">
        <v>133</v>
      </c>
      <c r="F975">
        <v>2029</v>
      </c>
      <c r="G975" s="12">
        <v>1593556</v>
      </c>
      <c r="H975" s="13">
        <v>0.78284883500000002</v>
      </c>
      <c r="I975" s="13"/>
      <c r="J975" s="13"/>
      <c r="K975" s="13"/>
      <c r="L975" s="13"/>
      <c r="M975" s="13">
        <v>0.25</v>
      </c>
    </row>
    <row r="976" spans="2:13" x14ac:dyDescent="0.25">
      <c r="B976" s="14" t="s">
        <v>170</v>
      </c>
      <c r="C976" s="14" t="s">
        <v>108</v>
      </c>
      <c r="D976" t="s">
        <v>46</v>
      </c>
      <c r="E976" s="16" t="s">
        <v>133</v>
      </c>
      <c r="F976">
        <v>2030</v>
      </c>
      <c r="G976" s="12">
        <v>1608972</v>
      </c>
      <c r="H976" s="13">
        <v>0.79284882550000002</v>
      </c>
      <c r="I976" s="13"/>
      <c r="J976" s="13"/>
      <c r="K976" s="13"/>
      <c r="L976" s="13"/>
      <c r="M976" s="13">
        <v>0.25</v>
      </c>
    </row>
    <row r="977" spans="2:13" x14ac:dyDescent="0.25">
      <c r="B977" s="14" t="s">
        <v>170</v>
      </c>
      <c r="C977" s="14" t="s">
        <v>101</v>
      </c>
      <c r="D977" t="s">
        <v>46</v>
      </c>
      <c r="E977" s="16" t="s">
        <v>133</v>
      </c>
      <c r="F977">
        <v>2026</v>
      </c>
      <c r="G977" s="12">
        <v>1737467</v>
      </c>
      <c r="H977" s="13">
        <v>0.91</v>
      </c>
      <c r="I977" s="13"/>
      <c r="J977" s="13"/>
      <c r="K977" s="13"/>
      <c r="L977" s="13">
        <v>0.1</v>
      </c>
      <c r="M977" s="13">
        <v>0.25</v>
      </c>
    </row>
    <row r="978" spans="2:13" x14ac:dyDescent="0.25">
      <c r="B978" s="14" t="s">
        <v>170</v>
      </c>
      <c r="C978" s="14" t="s">
        <v>101</v>
      </c>
      <c r="D978" t="s">
        <v>46</v>
      </c>
      <c r="E978" s="16" t="s">
        <v>133</v>
      </c>
      <c r="F978">
        <v>2027</v>
      </c>
      <c r="G978" s="12">
        <v>1746842.6296369201</v>
      </c>
      <c r="H978" s="13">
        <v>0.91659999999999997</v>
      </c>
      <c r="I978" s="13"/>
      <c r="J978" s="13"/>
      <c r="K978" s="13"/>
      <c r="L978" s="13">
        <v>0.1</v>
      </c>
      <c r="M978" s="13">
        <v>0.25</v>
      </c>
    </row>
    <row r="979" spans="2:13" x14ac:dyDescent="0.25">
      <c r="B979" s="14" t="s">
        <v>170</v>
      </c>
      <c r="C979" s="14" t="s">
        <v>101</v>
      </c>
      <c r="D979" t="s">
        <v>46</v>
      </c>
      <c r="E979" s="16" t="s">
        <v>133</v>
      </c>
      <c r="F979">
        <v>2028</v>
      </c>
      <c r="G979" s="12">
        <v>1756268.8515619701</v>
      </c>
      <c r="H979" s="13">
        <v>0.92320000000000002</v>
      </c>
      <c r="I979" s="13"/>
      <c r="J979" s="13"/>
      <c r="K979" s="13"/>
      <c r="L979" s="13">
        <v>0.1</v>
      </c>
      <c r="M979" s="13">
        <v>0.25</v>
      </c>
    </row>
    <row r="980" spans="2:13" x14ac:dyDescent="0.25">
      <c r="B980" s="14" t="s">
        <v>170</v>
      </c>
      <c r="C980" s="14" t="s">
        <v>101</v>
      </c>
      <c r="D980" t="s">
        <v>46</v>
      </c>
      <c r="E980" s="16" t="s">
        <v>133</v>
      </c>
      <c r="F980">
        <v>2029</v>
      </c>
      <c r="G980" s="12">
        <v>1765745.93877865</v>
      </c>
      <c r="H980" s="13">
        <v>0.92979999999999996</v>
      </c>
      <c r="I980" s="13"/>
      <c r="J980" s="13"/>
      <c r="K980" s="13"/>
      <c r="L980" s="13">
        <v>0.1</v>
      </c>
      <c r="M980" s="13">
        <v>0.25</v>
      </c>
    </row>
    <row r="981" spans="2:13" x14ac:dyDescent="0.25">
      <c r="B981" s="14" t="s">
        <v>170</v>
      </c>
      <c r="C981" s="14" t="s">
        <v>101</v>
      </c>
      <c r="D981" t="s">
        <v>46</v>
      </c>
      <c r="E981" s="16" t="s">
        <v>133</v>
      </c>
      <c r="F981">
        <v>2030</v>
      </c>
      <c r="G981" s="12">
        <v>1775274.1657636201</v>
      </c>
      <c r="H981" s="13">
        <v>0.93640000000000001</v>
      </c>
      <c r="I981" s="13"/>
      <c r="J981" s="13"/>
      <c r="K981" s="13"/>
      <c r="L981" s="13">
        <v>0.1</v>
      </c>
      <c r="M981" s="13">
        <v>0.25</v>
      </c>
    </row>
    <row r="982" spans="2:13" x14ac:dyDescent="0.25">
      <c r="B982" s="14" t="s">
        <v>170</v>
      </c>
      <c r="C982" s="14" t="s">
        <v>74</v>
      </c>
      <c r="D982" t="s">
        <v>46</v>
      </c>
      <c r="E982" s="16" t="s">
        <v>133</v>
      </c>
      <c r="F982">
        <v>2026</v>
      </c>
      <c r="G982" s="12">
        <v>110886.956521739</v>
      </c>
      <c r="H982" s="13">
        <v>0.92</v>
      </c>
      <c r="I982" s="13"/>
      <c r="J982" s="13"/>
      <c r="K982" s="13"/>
      <c r="L982" s="13">
        <v>0.2</v>
      </c>
      <c r="M982" s="13">
        <v>0.25</v>
      </c>
    </row>
    <row r="983" spans="2:13" x14ac:dyDescent="0.25">
      <c r="B983" s="14" t="s">
        <v>170</v>
      </c>
      <c r="C983" s="14" t="s">
        <v>74</v>
      </c>
      <c r="D983" t="s">
        <v>46</v>
      </c>
      <c r="E983" s="16" t="s">
        <v>133</v>
      </c>
      <c r="F983">
        <v>2027</v>
      </c>
      <c r="G983" s="12">
        <v>112233.273960119</v>
      </c>
      <c r="H983" s="13">
        <v>0.93</v>
      </c>
      <c r="I983" s="13"/>
      <c r="J983" s="13"/>
      <c r="K983" s="13"/>
      <c r="L983" s="13">
        <v>0.2</v>
      </c>
      <c r="M983" s="13">
        <v>0.25</v>
      </c>
    </row>
    <row r="984" spans="2:13" x14ac:dyDescent="0.25">
      <c r="B984" s="14" t="s">
        <v>170</v>
      </c>
      <c r="C984" s="14" t="s">
        <v>74</v>
      </c>
      <c r="D984" t="s">
        <v>46</v>
      </c>
      <c r="E984" s="16" t="s">
        <v>133</v>
      </c>
      <c r="F984">
        <v>2028</v>
      </c>
      <c r="G984" s="12">
        <v>113515.821539343</v>
      </c>
      <c r="H984" s="13">
        <v>0.93</v>
      </c>
      <c r="I984" s="13"/>
      <c r="J984" s="13"/>
      <c r="K984" s="13"/>
      <c r="L984" s="13">
        <v>0.2</v>
      </c>
      <c r="M984" s="13">
        <v>0.25</v>
      </c>
    </row>
    <row r="985" spans="2:13" x14ac:dyDescent="0.25">
      <c r="B985" s="14" t="s">
        <v>170</v>
      </c>
      <c r="C985" s="14" t="s">
        <v>74</v>
      </c>
      <c r="D985" t="s">
        <v>46</v>
      </c>
      <c r="E985" s="16" t="s">
        <v>133</v>
      </c>
      <c r="F985">
        <v>2029</v>
      </c>
      <c r="G985" s="12">
        <v>114702.495440156</v>
      </c>
      <c r="H985" s="13">
        <v>0.93</v>
      </c>
      <c r="I985" s="13"/>
      <c r="J985" s="13"/>
      <c r="K985" s="13"/>
      <c r="L985" s="13">
        <v>0.2</v>
      </c>
      <c r="M985" s="13">
        <v>0.25</v>
      </c>
    </row>
    <row r="986" spans="2:13" x14ac:dyDescent="0.25">
      <c r="B986" s="15" t="s">
        <v>170</v>
      </c>
      <c r="C986" s="14" t="s">
        <v>74</v>
      </c>
      <c r="D986" t="s">
        <v>46</v>
      </c>
      <c r="E986" s="16" t="s">
        <v>133</v>
      </c>
      <c r="F986">
        <v>2030</v>
      </c>
      <c r="G986" s="12">
        <v>115784.175259361</v>
      </c>
      <c r="H986" s="13">
        <v>0.93</v>
      </c>
      <c r="I986" s="13"/>
      <c r="J986" s="13"/>
      <c r="K986" s="13"/>
      <c r="L986" s="13">
        <v>0.2</v>
      </c>
      <c r="M986" s="13">
        <v>0.25</v>
      </c>
    </row>
    <row r="987" spans="2:13" x14ac:dyDescent="0.25">
      <c r="B987" s="14" t="s">
        <v>171</v>
      </c>
      <c r="C987" s="14" t="s">
        <v>132</v>
      </c>
      <c r="D987" t="s">
        <v>46</v>
      </c>
      <c r="E987" s="16" t="s">
        <v>133</v>
      </c>
      <c r="F987">
        <v>2026</v>
      </c>
      <c r="G987" s="12">
        <v>140028</v>
      </c>
      <c r="H987" s="13">
        <v>0.99</v>
      </c>
      <c r="I987" s="13">
        <v>0.9859</v>
      </c>
      <c r="J987" s="13">
        <v>0.98</v>
      </c>
      <c r="K987" s="13">
        <v>0</v>
      </c>
      <c r="L987" s="13">
        <v>0.04</v>
      </c>
      <c r="M987" s="13">
        <v>0.25</v>
      </c>
    </row>
    <row r="988" spans="2:13" x14ac:dyDescent="0.25">
      <c r="B988" s="14" t="s">
        <v>171</v>
      </c>
      <c r="C988" s="14" t="s">
        <v>132</v>
      </c>
      <c r="D988" t="s">
        <v>46</v>
      </c>
      <c r="E988" s="16" t="s">
        <v>133</v>
      </c>
      <c r="F988">
        <v>2027</v>
      </c>
      <c r="G988" s="12">
        <v>139699.79599711901</v>
      </c>
      <c r="H988" s="13">
        <v>0.495</v>
      </c>
      <c r="I988" s="13">
        <v>0.495</v>
      </c>
      <c r="J988" s="13">
        <v>0.49</v>
      </c>
      <c r="K988" s="13">
        <v>0</v>
      </c>
      <c r="L988" s="13">
        <v>0.04</v>
      </c>
      <c r="M988" s="13">
        <v>0.25</v>
      </c>
    </row>
    <row r="989" spans="2:13" x14ac:dyDescent="0.25">
      <c r="B989" s="14" t="s">
        <v>171</v>
      </c>
      <c r="C989" s="14" t="s">
        <v>132</v>
      </c>
      <c r="D989" t="s">
        <v>46</v>
      </c>
      <c r="E989" s="16" t="s">
        <v>133</v>
      </c>
      <c r="F989">
        <v>2028</v>
      </c>
      <c r="G989" s="12">
        <v>139690.28283761599</v>
      </c>
      <c r="H989" s="13">
        <v>0</v>
      </c>
      <c r="I989" s="13">
        <v>0</v>
      </c>
      <c r="J989" s="13">
        <v>0</v>
      </c>
      <c r="K989" s="13">
        <v>0</v>
      </c>
      <c r="L989" s="13">
        <v>0.04</v>
      </c>
      <c r="M989" s="13">
        <v>0.25</v>
      </c>
    </row>
    <row r="990" spans="2:13" x14ac:dyDescent="0.25">
      <c r="B990" s="14" t="s">
        <v>171</v>
      </c>
      <c r="C990" s="14" t="s">
        <v>70</v>
      </c>
      <c r="D990" t="s">
        <v>46</v>
      </c>
      <c r="E990" s="16" t="s">
        <v>133</v>
      </c>
      <c r="F990">
        <v>2026</v>
      </c>
      <c r="G990" s="12">
        <v>140028</v>
      </c>
      <c r="H990" s="13">
        <v>0.97</v>
      </c>
      <c r="I990" s="13">
        <v>0.93200000000000005</v>
      </c>
      <c r="J990" s="13">
        <v>0</v>
      </c>
      <c r="K990" s="13">
        <v>0</v>
      </c>
      <c r="L990" s="13">
        <v>0.04</v>
      </c>
      <c r="M990" s="13">
        <v>0.25</v>
      </c>
    </row>
    <row r="991" spans="2:13" x14ac:dyDescent="0.25">
      <c r="B991" s="14" t="s">
        <v>171</v>
      </c>
      <c r="C991" s="14" t="s">
        <v>70</v>
      </c>
      <c r="D991" t="s">
        <v>46</v>
      </c>
      <c r="E991" s="16" t="s">
        <v>133</v>
      </c>
      <c r="F991">
        <v>2027</v>
      </c>
      <c r="G991" s="12">
        <v>139699.79599711901</v>
      </c>
      <c r="H991" s="13">
        <v>0.48830000000000001</v>
      </c>
      <c r="I991" s="13">
        <v>0.46929999999999999</v>
      </c>
      <c r="J991" s="13">
        <v>3.3E-3</v>
      </c>
      <c r="K991" s="13">
        <v>0</v>
      </c>
      <c r="L991" s="13">
        <v>0.04</v>
      </c>
      <c r="M991" s="13">
        <v>0.25</v>
      </c>
    </row>
    <row r="992" spans="2:13" x14ac:dyDescent="0.25">
      <c r="B992" s="14" t="s">
        <v>171</v>
      </c>
      <c r="C992" s="14" t="s">
        <v>70</v>
      </c>
      <c r="D992" t="s">
        <v>46</v>
      </c>
      <c r="E992" s="16" t="s">
        <v>133</v>
      </c>
      <c r="F992">
        <v>2028</v>
      </c>
      <c r="G992" s="12">
        <v>139690.28283761599</v>
      </c>
      <c r="H992" s="13">
        <v>0</v>
      </c>
      <c r="I992" s="13">
        <v>0</v>
      </c>
      <c r="J992" s="13">
        <v>0</v>
      </c>
      <c r="K992" s="13">
        <v>0</v>
      </c>
      <c r="L992" s="13">
        <v>0.04</v>
      </c>
      <c r="M992" s="13">
        <v>0.25</v>
      </c>
    </row>
    <row r="993" spans="2:13" x14ac:dyDescent="0.25">
      <c r="B993" s="14" t="s">
        <v>171</v>
      </c>
      <c r="C993" s="14" t="s">
        <v>134</v>
      </c>
      <c r="D993" t="s">
        <v>46</v>
      </c>
      <c r="E993" s="16" t="s">
        <v>133</v>
      </c>
      <c r="F993">
        <v>2026</v>
      </c>
      <c r="G993" s="12">
        <v>140028</v>
      </c>
      <c r="H993" s="13">
        <v>0</v>
      </c>
      <c r="I993" s="13">
        <v>0</v>
      </c>
      <c r="J993" s="13">
        <v>0</v>
      </c>
      <c r="K993" s="13">
        <v>0</v>
      </c>
      <c r="L993" s="13">
        <v>7.0000000000000007E-2</v>
      </c>
      <c r="M993" s="13">
        <v>0.25</v>
      </c>
    </row>
    <row r="994" spans="2:13" x14ac:dyDescent="0.25">
      <c r="B994" s="14" t="s">
        <v>171</v>
      </c>
      <c r="C994" s="14" t="s">
        <v>134</v>
      </c>
      <c r="D994" t="s">
        <v>46</v>
      </c>
      <c r="E994" s="16" t="s">
        <v>133</v>
      </c>
      <c r="F994">
        <v>2027</v>
      </c>
      <c r="G994" s="12">
        <v>139699.79599711901</v>
      </c>
      <c r="H994" s="13">
        <v>0.495</v>
      </c>
      <c r="I994" s="13">
        <v>0.495</v>
      </c>
      <c r="J994" s="13">
        <v>0.49</v>
      </c>
      <c r="K994" s="13">
        <v>0</v>
      </c>
      <c r="L994" s="13">
        <v>7.0000000000000007E-2</v>
      </c>
      <c r="M994" s="13">
        <v>0.25</v>
      </c>
    </row>
    <row r="995" spans="2:13" x14ac:dyDescent="0.25">
      <c r="B995" s="14" t="s">
        <v>171</v>
      </c>
      <c r="C995" s="14" t="s">
        <v>134</v>
      </c>
      <c r="D995" t="s">
        <v>46</v>
      </c>
      <c r="E995" s="16" t="s">
        <v>133</v>
      </c>
      <c r="F995">
        <v>2028</v>
      </c>
      <c r="G995" s="12">
        <v>139690.28283761599</v>
      </c>
      <c r="H995" s="13">
        <v>0.99</v>
      </c>
      <c r="I995" s="13">
        <v>0.99</v>
      </c>
      <c r="J995" s="13">
        <v>0.98</v>
      </c>
      <c r="K995" s="13">
        <v>0</v>
      </c>
      <c r="L995" s="13">
        <v>7.0000000000000007E-2</v>
      </c>
      <c r="M995" s="13">
        <v>0.25</v>
      </c>
    </row>
    <row r="996" spans="2:13" x14ac:dyDescent="0.25">
      <c r="B996" s="14" t="s">
        <v>171</v>
      </c>
      <c r="C996" s="14" t="s">
        <v>134</v>
      </c>
      <c r="D996" t="s">
        <v>46</v>
      </c>
      <c r="E996" s="16" t="s">
        <v>133</v>
      </c>
      <c r="F996">
        <v>2029</v>
      </c>
      <c r="G996" s="12">
        <v>140150.719757599</v>
      </c>
      <c r="H996" s="13">
        <v>0.99</v>
      </c>
      <c r="I996" s="13">
        <v>0.99</v>
      </c>
      <c r="J996" s="13">
        <v>0.98</v>
      </c>
      <c r="K996" s="13">
        <v>0</v>
      </c>
      <c r="L996" s="13">
        <v>7.0000000000000007E-2</v>
      </c>
      <c r="M996" s="13">
        <v>0.25</v>
      </c>
    </row>
    <row r="997" spans="2:13" x14ac:dyDescent="0.25">
      <c r="B997" s="14" t="s">
        <v>171</v>
      </c>
      <c r="C997" s="14" t="s">
        <v>134</v>
      </c>
      <c r="D997" t="s">
        <v>46</v>
      </c>
      <c r="E997" s="16" t="s">
        <v>133</v>
      </c>
      <c r="F997">
        <v>2030</v>
      </c>
      <c r="G997" s="12">
        <v>140900.356726497</v>
      </c>
      <c r="H997" s="13">
        <v>0.99</v>
      </c>
      <c r="I997" s="13">
        <v>0.99</v>
      </c>
      <c r="J997" s="13">
        <v>0.98</v>
      </c>
      <c r="K997" s="13">
        <v>0</v>
      </c>
      <c r="L997" s="13">
        <v>7.0000000000000007E-2</v>
      </c>
      <c r="M997" s="13">
        <v>0.25</v>
      </c>
    </row>
    <row r="998" spans="2:13" x14ac:dyDescent="0.25">
      <c r="B998" s="14" t="s">
        <v>171</v>
      </c>
      <c r="C998" s="14" t="s">
        <v>72</v>
      </c>
      <c r="D998" t="s">
        <v>46</v>
      </c>
      <c r="E998" s="16" t="s">
        <v>133</v>
      </c>
      <c r="F998">
        <v>2026</v>
      </c>
      <c r="G998" s="12">
        <v>140028</v>
      </c>
      <c r="H998" s="13">
        <v>0.99</v>
      </c>
      <c r="I998" s="13">
        <v>0.9859</v>
      </c>
      <c r="J998" s="13">
        <v>0.98</v>
      </c>
      <c r="K998" s="13"/>
      <c r="L998" s="13">
        <v>7.0000000000000007E-2</v>
      </c>
      <c r="M998" s="13">
        <v>0.25</v>
      </c>
    </row>
    <row r="999" spans="2:13" x14ac:dyDescent="0.25">
      <c r="B999" s="14" t="s">
        <v>171</v>
      </c>
      <c r="C999" s="14" t="s">
        <v>72</v>
      </c>
      <c r="D999" t="s">
        <v>46</v>
      </c>
      <c r="E999" s="16" t="s">
        <v>133</v>
      </c>
      <c r="F999">
        <v>2027</v>
      </c>
      <c r="G999" s="12">
        <v>139699.79599711901</v>
      </c>
      <c r="H999" s="13">
        <v>0.99</v>
      </c>
      <c r="I999" s="13">
        <v>0.9859</v>
      </c>
      <c r="J999" s="13">
        <v>0.98</v>
      </c>
      <c r="K999" s="13"/>
      <c r="L999" s="13">
        <v>7.0000000000000007E-2</v>
      </c>
      <c r="M999" s="13">
        <v>0.25</v>
      </c>
    </row>
    <row r="1000" spans="2:13" x14ac:dyDescent="0.25">
      <c r="B1000" s="14" t="s">
        <v>171</v>
      </c>
      <c r="C1000" s="14" t="s">
        <v>72</v>
      </c>
      <c r="D1000" t="s">
        <v>46</v>
      </c>
      <c r="E1000" s="16" t="s">
        <v>133</v>
      </c>
      <c r="F1000">
        <v>2028</v>
      </c>
      <c r="G1000" s="12">
        <v>139690.28283761599</v>
      </c>
      <c r="H1000" s="13">
        <v>0.99</v>
      </c>
      <c r="I1000" s="13">
        <v>0.9859</v>
      </c>
      <c r="J1000" s="13">
        <v>0.98</v>
      </c>
      <c r="K1000" s="13"/>
      <c r="L1000" s="13">
        <v>7.0000000000000007E-2</v>
      </c>
      <c r="M1000" s="13">
        <v>0.25</v>
      </c>
    </row>
    <row r="1001" spans="2:13" x14ac:dyDescent="0.25">
      <c r="B1001" s="14" t="s">
        <v>171</v>
      </c>
      <c r="C1001" s="14" t="s">
        <v>72</v>
      </c>
      <c r="D1001" t="s">
        <v>46</v>
      </c>
      <c r="E1001" s="16" t="s">
        <v>133</v>
      </c>
      <c r="F1001">
        <v>2029</v>
      </c>
      <c r="G1001" s="12">
        <v>140150.719757599</v>
      </c>
      <c r="H1001" s="13">
        <v>0.99</v>
      </c>
      <c r="I1001" s="13">
        <v>0.9859</v>
      </c>
      <c r="J1001" s="13">
        <v>0.98</v>
      </c>
      <c r="K1001" s="13"/>
      <c r="L1001" s="13">
        <v>7.0000000000000007E-2</v>
      </c>
      <c r="M1001" s="13">
        <v>0.25</v>
      </c>
    </row>
    <row r="1002" spans="2:13" x14ac:dyDescent="0.25">
      <c r="B1002" s="14" t="s">
        <v>171</v>
      </c>
      <c r="C1002" s="14" t="s">
        <v>72</v>
      </c>
      <c r="D1002" t="s">
        <v>46</v>
      </c>
      <c r="E1002" s="16" t="s">
        <v>133</v>
      </c>
      <c r="F1002">
        <v>2030</v>
      </c>
      <c r="G1002" s="12">
        <v>140900.356726497</v>
      </c>
      <c r="H1002" s="13">
        <v>0.99</v>
      </c>
      <c r="I1002" s="13">
        <v>0.9859</v>
      </c>
      <c r="J1002" s="13">
        <v>0.98</v>
      </c>
      <c r="K1002" s="13"/>
      <c r="L1002" s="13">
        <v>7.0000000000000007E-2</v>
      </c>
      <c r="M1002" s="13">
        <v>0.25</v>
      </c>
    </row>
    <row r="1003" spans="2:13" x14ac:dyDescent="0.25">
      <c r="B1003" s="14" t="s">
        <v>171</v>
      </c>
      <c r="C1003" s="14" t="s">
        <v>15</v>
      </c>
      <c r="D1003" t="s">
        <v>46</v>
      </c>
      <c r="E1003" s="16" t="s">
        <v>133</v>
      </c>
      <c r="F1003">
        <v>2026</v>
      </c>
      <c r="G1003" s="12">
        <v>70922</v>
      </c>
      <c r="H1003" s="13">
        <v>0.88</v>
      </c>
      <c r="I1003" s="13"/>
      <c r="J1003" s="13"/>
      <c r="K1003" s="13"/>
      <c r="L1003" s="13">
        <v>0.05</v>
      </c>
      <c r="M1003" s="13">
        <v>0.25</v>
      </c>
    </row>
    <row r="1004" spans="2:13" x14ac:dyDescent="0.25">
      <c r="B1004" s="14" t="s">
        <v>171</v>
      </c>
      <c r="C1004" s="14" t="s">
        <v>15</v>
      </c>
      <c r="D1004" t="s">
        <v>46</v>
      </c>
      <c r="E1004" s="16" t="s">
        <v>133</v>
      </c>
      <c r="F1004">
        <v>2027</v>
      </c>
      <c r="G1004" s="12">
        <v>71632</v>
      </c>
      <c r="H1004" s="13">
        <v>0.88</v>
      </c>
      <c r="I1004" s="13"/>
      <c r="J1004" s="13"/>
      <c r="K1004" s="13"/>
      <c r="L1004" s="13">
        <v>0.05</v>
      </c>
      <c r="M1004" s="13">
        <v>0.25</v>
      </c>
    </row>
    <row r="1005" spans="2:13" x14ac:dyDescent="0.25">
      <c r="B1005" s="14" t="s">
        <v>171</v>
      </c>
      <c r="C1005" s="14" t="s">
        <v>15</v>
      </c>
      <c r="D1005" t="s">
        <v>46</v>
      </c>
      <c r="E1005" s="16" t="s">
        <v>133</v>
      </c>
      <c r="F1005">
        <v>2028</v>
      </c>
      <c r="G1005" s="12">
        <v>73304</v>
      </c>
      <c r="H1005" s="13">
        <v>0.88</v>
      </c>
      <c r="I1005" s="13"/>
      <c r="J1005" s="13"/>
      <c r="K1005" s="13"/>
      <c r="L1005" s="13">
        <v>0.05</v>
      </c>
      <c r="M1005" s="13">
        <v>0.25</v>
      </c>
    </row>
    <row r="1006" spans="2:13" x14ac:dyDescent="0.25">
      <c r="B1006" s="14" t="s">
        <v>171</v>
      </c>
      <c r="C1006" s="14" t="s">
        <v>15</v>
      </c>
      <c r="D1006" t="s">
        <v>46</v>
      </c>
      <c r="E1006" s="16" t="s">
        <v>133</v>
      </c>
      <c r="F1006">
        <v>2029</v>
      </c>
      <c r="G1006" s="12">
        <v>71606</v>
      </c>
      <c r="H1006" s="13">
        <v>0.88</v>
      </c>
      <c r="I1006" s="13"/>
      <c r="J1006" s="13"/>
      <c r="K1006" s="13"/>
      <c r="L1006" s="13">
        <v>0.05</v>
      </c>
      <c r="M1006" s="13">
        <v>0.25</v>
      </c>
    </row>
    <row r="1007" spans="2:13" x14ac:dyDescent="0.25">
      <c r="B1007" s="14" t="s">
        <v>171</v>
      </c>
      <c r="C1007" s="14" t="s">
        <v>15</v>
      </c>
      <c r="D1007" t="s">
        <v>46</v>
      </c>
      <c r="E1007" s="16" t="s">
        <v>133</v>
      </c>
      <c r="F1007">
        <v>2030</v>
      </c>
      <c r="G1007" s="12">
        <v>67961</v>
      </c>
      <c r="H1007" s="13">
        <v>0.88</v>
      </c>
      <c r="I1007" s="13"/>
      <c r="J1007" s="13"/>
      <c r="K1007" s="13"/>
      <c r="L1007" s="13">
        <v>0.05</v>
      </c>
      <c r="M1007" s="13">
        <v>0.25</v>
      </c>
    </row>
    <row r="1008" spans="2:13" x14ac:dyDescent="0.25">
      <c r="B1008" s="14" t="s">
        <v>171</v>
      </c>
      <c r="C1008" s="14" t="s">
        <v>52</v>
      </c>
      <c r="D1008" t="s">
        <v>141</v>
      </c>
      <c r="E1008" s="16" t="s">
        <v>133</v>
      </c>
      <c r="F1008">
        <v>2029</v>
      </c>
      <c r="G1008" s="12">
        <v>661678.875</v>
      </c>
      <c r="H1008" s="13">
        <v>1</v>
      </c>
      <c r="I1008" s="13"/>
      <c r="J1008" s="13"/>
      <c r="K1008" s="13"/>
      <c r="L1008" s="13"/>
      <c r="M1008" s="13"/>
    </row>
    <row r="1009" spans="2:13" x14ac:dyDescent="0.25">
      <c r="B1009" s="14" t="s">
        <v>171</v>
      </c>
      <c r="C1009" s="14" t="s">
        <v>139</v>
      </c>
      <c r="D1009" t="s">
        <v>46</v>
      </c>
      <c r="E1009" s="16" t="s">
        <v>133</v>
      </c>
      <c r="F1009">
        <v>2026</v>
      </c>
      <c r="G1009" s="12">
        <v>140028</v>
      </c>
      <c r="H1009" s="13">
        <v>0.99</v>
      </c>
      <c r="I1009" s="13">
        <v>0.9859</v>
      </c>
      <c r="J1009" s="13">
        <v>0.98</v>
      </c>
      <c r="K1009" s="13"/>
      <c r="L1009" s="13">
        <v>0.04</v>
      </c>
      <c r="M1009" s="13">
        <v>0.25</v>
      </c>
    </row>
    <row r="1010" spans="2:13" x14ac:dyDescent="0.25">
      <c r="B1010" s="14" t="s">
        <v>171</v>
      </c>
      <c r="C1010" s="14" t="s">
        <v>139</v>
      </c>
      <c r="D1010" t="s">
        <v>46</v>
      </c>
      <c r="E1010" s="16" t="s">
        <v>133</v>
      </c>
      <c r="F1010">
        <v>2027</v>
      </c>
      <c r="G1010" s="12">
        <v>139699.79599711901</v>
      </c>
      <c r="H1010" s="13">
        <v>0.99</v>
      </c>
      <c r="I1010" s="13">
        <v>0.9859</v>
      </c>
      <c r="J1010" s="13">
        <v>0.98</v>
      </c>
      <c r="K1010" s="13"/>
      <c r="L1010" s="13">
        <v>0.04</v>
      </c>
      <c r="M1010" s="13">
        <v>0.25</v>
      </c>
    </row>
    <row r="1011" spans="2:13" x14ac:dyDescent="0.25">
      <c r="B1011" s="14" t="s">
        <v>171</v>
      </c>
      <c r="C1011" s="14" t="s">
        <v>139</v>
      </c>
      <c r="D1011" t="s">
        <v>46</v>
      </c>
      <c r="E1011" s="16" t="s">
        <v>133</v>
      </c>
      <c r="F1011">
        <v>2028</v>
      </c>
      <c r="G1011" s="12">
        <v>139690.28283761599</v>
      </c>
      <c r="H1011" s="13">
        <v>0.99</v>
      </c>
      <c r="I1011" s="13">
        <v>0.9859</v>
      </c>
      <c r="J1011" s="13">
        <v>0.98</v>
      </c>
      <c r="K1011" s="13"/>
      <c r="L1011" s="13">
        <v>0.04</v>
      </c>
      <c r="M1011" s="13">
        <v>0.25</v>
      </c>
    </row>
    <row r="1012" spans="2:13" x14ac:dyDescent="0.25">
      <c r="B1012" s="14" t="s">
        <v>171</v>
      </c>
      <c r="C1012" s="14" t="s">
        <v>139</v>
      </c>
      <c r="D1012" t="s">
        <v>46</v>
      </c>
      <c r="E1012" s="16" t="s">
        <v>133</v>
      </c>
      <c r="F1012">
        <v>2029</v>
      </c>
      <c r="G1012" s="12">
        <v>140150.719757599</v>
      </c>
      <c r="H1012" s="13">
        <v>0.99</v>
      </c>
      <c r="I1012" s="13">
        <v>0.9859</v>
      </c>
      <c r="J1012" s="13">
        <v>0.98</v>
      </c>
      <c r="K1012" s="13"/>
      <c r="L1012" s="13">
        <v>0.04</v>
      </c>
      <c r="M1012" s="13">
        <v>0.25</v>
      </c>
    </row>
    <row r="1013" spans="2:13" x14ac:dyDescent="0.25">
      <c r="B1013" s="14" t="s">
        <v>171</v>
      </c>
      <c r="C1013" s="14" t="s">
        <v>139</v>
      </c>
      <c r="D1013" t="s">
        <v>46</v>
      </c>
      <c r="E1013" s="16" t="s">
        <v>133</v>
      </c>
      <c r="F1013">
        <v>2030</v>
      </c>
      <c r="G1013" s="12">
        <v>140900.356726497</v>
      </c>
      <c r="H1013" s="13">
        <v>0.99</v>
      </c>
      <c r="I1013" s="13">
        <v>0.9859</v>
      </c>
      <c r="J1013" s="13">
        <v>0.98</v>
      </c>
      <c r="K1013" s="13"/>
      <c r="L1013" s="13">
        <v>0.04</v>
      </c>
      <c r="M1013" s="13">
        <v>0.25</v>
      </c>
    </row>
    <row r="1014" spans="2:13" x14ac:dyDescent="0.25">
      <c r="B1014" s="14" t="s">
        <v>171</v>
      </c>
      <c r="C1014" s="14" t="s">
        <v>108</v>
      </c>
      <c r="D1014" t="s">
        <v>46</v>
      </c>
      <c r="E1014" s="16" t="s">
        <v>133</v>
      </c>
      <c r="F1014">
        <v>2026</v>
      </c>
      <c r="G1014" s="12">
        <v>148799</v>
      </c>
      <c r="H1014" s="13">
        <v>0.816590488</v>
      </c>
      <c r="I1014" s="13"/>
      <c r="J1014" s="13"/>
      <c r="K1014" s="13"/>
      <c r="L1014" s="13"/>
      <c r="M1014" s="13"/>
    </row>
    <row r="1015" spans="2:13" x14ac:dyDescent="0.25">
      <c r="B1015" s="14" t="s">
        <v>171</v>
      </c>
      <c r="C1015" s="14" t="s">
        <v>108</v>
      </c>
      <c r="D1015" t="s">
        <v>46</v>
      </c>
      <c r="E1015" s="16" t="s">
        <v>133</v>
      </c>
      <c r="F1015">
        <v>2027</v>
      </c>
      <c r="G1015" s="12">
        <v>148205</v>
      </c>
      <c r="H1015" s="13">
        <v>0.82659047839999999</v>
      </c>
      <c r="I1015" s="13"/>
      <c r="J1015" s="13"/>
      <c r="K1015" s="13"/>
      <c r="L1015" s="13"/>
      <c r="M1015" s="13"/>
    </row>
    <row r="1016" spans="2:13" x14ac:dyDescent="0.25">
      <c r="B1016" s="14" t="s">
        <v>171</v>
      </c>
      <c r="C1016" s="14" t="s">
        <v>108</v>
      </c>
      <c r="D1016" t="s">
        <v>46</v>
      </c>
      <c r="E1016" s="16" t="s">
        <v>133</v>
      </c>
      <c r="F1016">
        <v>2028</v>
      </c>
      <c r="G1016" s="12">
        <v>147988</v>
      </c>
      <c r="H1016" s="13">
        <v>0.83659046889999999</v>
      </c>
      <c r="I1016" s="13"/>
      <c r="J1016" s="13"/>
      <c r="K1016" s="13"/>
      <c r="L1016" s="13"/>
      <c r="M1016" s="13"/>
    </row>
    <row r="1017" spans="2:13" x14ac:dyDescent="0.25">
      <c r="B1017" s="14" t="s">
        <v>171</v>
      </c>
      <c r="C1017" s="14" t="s">
        <v>108</v>
      </c>
      <c r="D1017" t="s">
        <v>46</v>
      </c>
      <c r="E1017" s="16" t="s">
        <v>133</v>
      </c>
      <c r="F1017">
        <v>2029</v>
      </c>
      <c r="G1017" s="12">
        <v>148184</v>
      </c>
      <c r="H1017" s="13">
        <v>0.84659045929999999</v>
      </c>
      <c r="I1017" s="13"/>
      <c r="J1017" s="13"/>
      <c r="K1017" s="13"/>
      <c r="L1017" s="13"/>
      <c r="M1017" s="13"/>
    </row>
    <row r="1018" spans="2:13" x14ac:dyDescent="0.25">
      <c r="B1018" s="15" t="s">
        <v>171</v>
      </c>
      <c r="C1018" s="14" t="s">
        <v>108</v>
      </c>
      <c r="D1018" t="s">
        <v>46</v>
      </c>
      <c r="E1018" s="16" t="s">
        <v>133</v>
      </c>
      <c r="F1018">
        <v>2030</v>
      </c>
      <c r="G1018" s="12">
        <v>148801</v>
      </c>
      <c r="H1018" s="13">
        <v>0.85659044979999999</v>
      </c>
      <c r="I1018" s="13"/>
      <c r="J1018" s="13"/>
      <c r="K1018" s="13"/>
      <c r="L1018" s="13"/>
      <c r="M1018" s="13">
        <v>0.25</v>
      </c>
    </row>
    <row r="1019" spans="2:13" x14ac:dyDescent="0.25">
      <c r="B1019" s="14" t="s">
        <v>172</v>
      </c>
      <c r="C1019" s="14" t="s">
        <v>105</v>
      </c>
      <c r="D1019" t="s">
        <v>14</v>
      </c>
      <c r="E1019" s="16" t="s">
        <v>133</v>
      </c>
      <c r="F1019">
        <v>2030</v>
      </c>
      <c r="G1019" s="12"/>
      <c r="H1019" s="13"/>
      <c r="I1019" s="13"/>
      <c r="J1019" s="13"/>
      <c r="K1019" s="13"/>
      <c r="L1019" s="13"/>
      <c r="M1019" s="13"/>
    </row>
    <row r="1020" spans="2:13" x14ac:dyDescent="0.25">
      <c r="B1020" s="14" t="s">
        <v>172</v>
      </c>
      <c r="C1020" s="14" t="s">
        <v>105</v>
      </c>
      <c r="D1020" t="s">
        <v>46</v>
      </c>
      <c r="E1020" s="16" t="s">
        <v>133</v>
      </c>
      <c r="F1020">
        <v>2030</v>
      </c>
      <c r="G1020" s="12"/>
      <c r="H1020" s="13"/>
      <c r="I1020" s="13"/>
      <c r="J1020" s="13"/>
      <c r="K1020" s="13"/>
      <c r="L1020" s="13"/>
      <c r="M1020" s="13"/>
    </row>
    <row r="1021" spans="2:13" x14ac:dyDescent="0.25">
      <c r="B1021" s="14" t="s">
        <v>172</v>
      </c>
      <c r="C1021" s="14" t="s">
        <v>132</v>
      </c>
      <c r="D1021" t="s">
        <v>46</v>
      </c>
      <c r="E1021" s="16" t="s">
        <v>133</v>
      </c>
      <c r="F1021">
        <v>2026</v>
      </c>
      <c r="G1021" s="12">
        <v>337145</v>
      </c>
      <c r="H1021" s="13">
        <v>0.97</v>
      </c>
      <c r="I1021" s="13">
        <v>0.96179999999999999</v>
      </c>
      <c r="J1021" s="13">
        <v>0.95</v>
      </c>
      <c r="K1021" s="13">
        <v>0</v>
      </c>
      <c r="L1021" s="13">
        <v>0.04</v>
      </c>
      <c r="M1021" s="13">
        <v>0.25</v>
      </c>
    </row>
    <row r="1022" spans="2:13" x14ac:dyDescent="0.25">
      <c r="B1022" s="14" t="s">
        <v>172</v>
      </c>
      <c r="C1022" s="14" t="s">
        <v>132</v>
      </c>
      <c r="D1022" t="s">
        <v>46</v>
      </c>
      <c r="E1022" s="16" t="s">
        <v>133</v>
      </c>
      <c r="F1022">
        <v>2027</v>
      </c>
      <c r="G1022" s="12">
        <v>335272.73370124598</v>
      </c>
      <c r="H1022" s="13">
        <v>0.97660000000000002</v>
      </c>
      <c r="I1022" s="13">
        <v>0.96840000000000004</v>
      </c>
      <c r="J1022" s="13">
        <v>0.95660000000000001</v>
      </c>
      <c r="K1022" s="13">
        <v>0</v>
      </c>
      <c r="L1022" s="13">
        <v>0.04</v>
      </c>
      <c r="M1022" s="13">
        <v>0.25</v>
      </c>
    </row>
    <row r="1023" spans="2:13" x14ac:dyDescent="0.25">
      <c r="B1023" s="14" t="s">
        <v>172</v>
      </c>
      <c r="C1023" s="14" t="s">
        <v>132</v>
      </c>
      <c r="D1023" t="s">
        <v>46</v>
      </c>
      <c r="E1023" s="16" t="s">
        <v>133</v>
      </c>
      <c r="F1023">
        <v>2028</v>
      </c>
      <c r="G1023" s="12">
        <v>333583.22236831102</v>
      </c>
      <c r="H1023" s="13">
        <v>0.49159999999999998</v>
      </c>
      <c r="I1023" s="13">
        <v>0.48749999999999999</v>
      </c>
      <c r="J1023" s="13">
        <v>0.48159999999999997</v>
      </c>
      <c r="K1023" s="13">
        <v>0</v>
      </c>
      <c r="L1023" s="13">
        <v>0.04</v>
      </c>
      <c r="M1023" s="13">
        <v>0.25</v>
      </c>
    </row>
    <row r="1024" spans="2:13" x14ac:dyDescent="0.25">
      <c r="B1024" s="14" t="s">
        <v>172</v>
      </c>
      <c r="C1024" s="14" t="s">
        <v>132</v>
      </c>
      <c r="D1024" t="s">
        <v>46</v>
      </c>
      <c r="E1024" s="16" t="s">
        <v>133</v>
      </c>
      <c r="F1024">
        <v>2029</v>
      </c>
      <c r="G1024" s="12">
        <v>332101.74062412599</v>
      </c>
      <c r="H1024" s="13">
        <v>0</v>
      </c>
      <c r="I1024" s="13">
        <v>0</v>
      </c>
      <c r="J1024" s="13">
        <v>0</v>
      </c>
      <c r="K1024" s="13">
        <v>0</v>
      </c>
      <c r="L1024" s="13">
        <v>0.04</v>
      </c>
      <c r="M1024" s="13">
        <v>0.25</v>
      </c>
    </row>
    <row r="1025" spans="2:13" x14ac:dyDescent="0.25">
      <c r="B1025" s="14" t="s">
        <v>172</v>
      </c>
      <c r="C1025" s="14" t="s">
        <v>70</v>
      </c>
      <c r="D1025" t="s">
        <v>46</v>
      </c>
      <c r="E1025" s="16" t="s">
        <v>133</v>
      </c>
      <c r="F1025">
        <v>2026</v>
      </c>
      <c r="G1025" s="12">
        <v>337145</v>
      </c>
      <c r="H1025" s="13">
        <v>0.95</v>
      </c>
      <c r="I1025" s="13">
        <v>0</v>
      </c>
      <c r="J1025" s="13">
        <v>0</v>
      </c>
      <c r="K1025" s="13">
        <v>0</v>
      </c>
      <c r="L1025" s="13">
        <v>7.0000000000000007E-2</v>
      </c>
      <c r="M1025" s="13">
        <v>0.25</v>
      </c>
    </row>
    <row r="1026" spans="2:13" x14ac:dyDescent="0.25">
      <c r="B1026" s="14" t="s">
        <v>172</v>
      </c>
      <c r="C1026" s="14" t="s">
        <v>70</v>
      </c>
      <c r="D1026" t="s">
        <v>46</v>
      </c>
      <c r="E1026" s="16" t="s">
        <v>133</v>
      </c>
      <c r="F1026">
        <v>2027</v>
      </c>
      <c r="G1026" s="12">
        <v>335272.73370124598</v>
      </c>
      <c r="H1026" s="13">
        <v>0.95660000000000001</v>
      </c>
      <c r="I1026" s="13">
        <v>6.6E-3</v>
      </c>
      <c r="J1026" s="13">
        <v>6.6E-3</v>
      </c>
      <c r="K1026" s="13">
        <v>0</v>
      </c>
      <c r="L1026" s="13">
        <v>7.0000000000000007E-2</v>
      </c>
      <c r="M1026" s="13">
        <v>0.25</v>
      </c>
    </row>
    <row r="1027" spans="2:13" x14ac:dyDescent="0.25">
      <c r="B1027" s="14" t="s">
        <v>172</v>
      </c>
      <c r="C1027" s="14" t="s">
        <v>70</v>
      </c>
      <c r="D1027" t="s">
        <v>46</v>
      </c>
      <c r="E1027" s="16" t="s">
        <v>133</v>
      </c>
      <c r="F1027">
        <v>2028</v>
      </c>
      <c r="G1027" s="12">
        <v>333583.22236831102</v>
      </c>
      <c r="H1027" s="13">
        <v>0.36120000000000002</v>
      </c>
      <c r="I1027" s="13">
        <v>0.34244999999999998</v>
      </c>
      <c r="J1027" s="13">
        <v>4.9500000000000004E-3</v>
      </c>
      <c r="K1027" s="13">
        <v>0</v>
      </c>
      <c r="L1027" s="13">
        <v>7.0000000000000007E-2</v>
      </c>
      <c r="M1027" s="13">
        <v>0.25</v>
      </c>
    </row>
    <row r="1028" spans="2:13" x14ac:dyDescent="0.25">
      <c r="B1028" s="14" t="s">
        <v>172</v>
      </c>
      <c r="C1028" s="14" t="s">
        <v>70</v>
      </c>
      <c r="D1028" t="s">
        <v>46</v>
      </c>
      <c r="E1028" s="16" t="s">
        <v>133</v>
      </c>
      <c r="F1028">
        <v>2029</v>
      </c>
      <c r="G1028" s="12">
        <v>332101.74062412599</v>
      </c>
      <c r="H1028" s="13">
        <v>0</v>
      </c>
      <c r="I1028" s="13">
        <v>0</v>
      </c>
      <c r="J1028" s="13">
        <v>0</v>
      </c>
      <c r="K1028" s="13">
        <v>0</v>
      </c>
      <c r="L1028" s="13">
        <v>7.0000000000000007E-2</v>
      </c>
      <c r="M1028" s="13">
        <v>0.25</v>
      </c>
    </row>
    <row r="1029" spans="2:13" x14ac:dyDescent="0.25">
      <c r="B1029" s="14" t="s">
        <v>172</v>
      </c>
      <c r="C1029" s="14" t="s">
        <v>134</v>
      </c>
      <c r="D1029" t="s">
        <v>46</v>
      </c>
      <c r="E1029" s="16" t="s">
        <v>133</v>
      </c>
      <c r="F1029">
        <v>2027</v>
      </c>
      <c r="G1029" s="12">
        <v>335272.73370124598</v>
      </c>
      <c r="H1029" s="13">
        <v>0</v>
      </c>
      <c r="I1029" s="13">
        <v>0</v>
      </c>
      <c r="J1029" s="13">
        <v>0</v>
      </c>
      <c r="K1029" s="13">
        <v>0</v>
      </c>
      <c r="L1029" s="13">
        <v>7.0000000000000007E-2</v>
      </c>
      <c r="M1029" s="13">
        <v>0.25</v>
      </c>
    </row>
    <row r="1030" spans="2:13" x14ac:dyDescent="0.25">
      <c r="B1030" s="14" t="s">
        <v>172</v>
      </c>
      <c r="C1030" s="14" t="s">
        <v>134</v>
      </c>
      <c r="D1030" t="s">
        <v>46</v>
      </c>
      <c r="E1030" s="16" t="s">
        <v>133</v>
      </c>
      <c r="F1030">
        <v>2028</v>
      </c>
      <c r="G1030" s="12">
        <v>333583.22236831102</v>
      </c>
      <c r="H1030" s="13">
        <v>0.49159999999999998</v>
      </c>
      <c r="I1030" s="13">
        <v>0.48749999999999999</v>
      </c>
      <c r="J1030" s="13">
        <v>0.48159999999999997</v>
      </c>
      <c r="K1030" s="13">
        <v>0</v>
      </c>
      <c r="L1030" s="13">
        <v>7.0000000000000007E-2</v>
      </c>
      <c r="M1030" s="13">
        <v>0.25</v>
      </c>
    </row>
    <row r="1031" spans="2:13" x14ac:dyDescent="0.25">
      <c r="B1031" s="14" t="s">
        <v>172</v>
      </c>
      <c r="C1031" s="14" t="s">
        <v>134</v>
      </c>
      <c r="D1031" t="s">
        <v>46</v>
      </c>
      <c r="E1031" s="16" t="s">
        <v>133</v>
      </c>
      <c r="F1031">
        <v>2029</v>
      </c>
      <c r="G1031" s="12">
        <v>332101.74062412599</v>
      </c>
      <c r="H1031" s="13">
        <v>0.98980000000000001</v>
      </c>
      <c r="I1031" s="13">
        <v>0.98160000000000003</v>
      </c>
      <c r="J1031" s="13">
        <v>0.9698</v>
      </c>
      <c r="K1031" s="13">
        <v>0</v>
      </c>
      <c r="L1031" s="13">
        <v>7.0000000000000007E-2</v>
      </c>
      <c r="M1031" s="13">
        <v>0.25</v>
      </c>
    </row>
    <row r="1032" spans="2:13" x14ac:dyDescent="0.25">
      <c r="B1032" s="14" t="s">
        <v>172</v>
      </c>
      <c r="C1032" s="14" t="s">
        <v>134</v>
      </c>
      <c r="D1032" t="s">
        <v>46</v>
      </c>
      <c r="E1032" s="16" t="s">
        <v>133</v>
      </c>
      <c r="F1032">
        <v>2030</v>
      </c>
      <c r="G1032" s="12">
        <v>330801.06964399503</v>
      </c>
      <c r="H1032" s="13">
        <v>0.99</v>
      </c>
      <c r="I1032" s="13">
        <v>0.98819999999999997</v>
      </c>
      <c r="J1032" s="13">
        <v>0.97</v>
      </c>
      <c r="K1032" s="13">
        <v>0</v>
      </c>
      <c r="L1032" s="13">
        <v>7.0000000000000007E-2</v>
      </c>
      <c r="M1032" s="13">
        <v>0.25</v>
      </c>
    </row>
    <row r="1033" spans="2:13" x14ac:dyDescent="0.25">
      <c r="B1033" s="14" t="s">
        <v>172</v>
      </c>
      <c r="C1033" s="14" t="s">
        <v>72</v>
      </c>
      <c r="D1033" t="s">
        <v>46</v>
      </c>
      <c r="E1033" s="16" t="s">
        <v>133</v>
      </c>
      <c r="F1033">
        <v>2026</v>
      </c>
      <c r="G1033" s="12">
        <v>337145</v>
      </c>
      <c r="H1033" s="13">
        <v>0.97</v>
      </c>
      <c r="I1033" s="13">
        <v>0.96179999999999999</v>
      </c>
      <c r="J1033" s="13">
        <v>0.95</v>
      </c>
      <c r="K1033" s="13"/>
      <c r="L1033" s="13">
        <v>0.04</v>
      </c>
      <c r="M1033" s="13">
        <v>0.25</v>
      </c>
    </row>
    <row r="1034" spans="2:13" x14ac:dyDescent="0.25">
      <c r="B1034" s="14" t="s">
        <v>172</v>
      </c>
      <c r="C1034" s="14" t="s">
        <v>72</v>
      </c>
      <c r="D1034" t="s">
        <v>46</v>
      </c>
      <c r="E1034" s="16" t="s">
        <v>133</v>
      </c>
      <c r="F1034">
        <v>2027</v>
      </c>
      <c r="G1034" s="12">
        <v>335272.73370124598</v>
      </c>
      <c r="H1034" s="13">
        <v>0.97</v>
      </c>
      <c r="I1034" s="13">
        <v>0.96450599999999997</v>
      </c>
      <c r="J1034" s="13">
        <v>0.95660000000000001</v>
      </c>
      <c r="K1034" s="13"/>
      <c r="L1034" s="13">
        <v>0.04</v>
      </c>
      <c r="M1034" s="13">
        <v>0.25</v>
      </c>
    </row>
    <row r="1035" spans="2:13" x14ac:dyDescent="0.25">
      <c r="B1035" s="14" t="s">
        <v>172</v>
      </c>
      <c r="C1035" s="14" t="s">
        <v>72</v>
      </c>
      <c r="D1035" t="s">
        <v>46</v>
      </c>
      <c r="E1035" s="16" t="s">
        <v>133</v>
      </c>
      <c r="F1035">
        <v>2028</v>
      </c>
      <c r="G1035" s="12">
        <v>333583.22236831102</v>
      </c>
      <c r="H1035" s="13">
        <v>0.97</v>
      </c>
      <c r="I1035" s="13">
        <v>0.96721199999999996</v>
      </c>
      <c r="J1035" s="13">
        <v>0.96319999999999995</v>
      </c>
      <c r="K1035" s="13"/>
      <c r="L1035" s="13">
        <v>0.04</v>
      </c>
      <c r="M1035" s="13">
        <v>0.25</v>
      </c>
    </row>
    <row r="1036" spans="2:13" x14ac:dyDescent="0.25">
      <c r="B1036" s="14" t="s">
        <v>172</v>
      </c>
      <c r="C1036" s="14" t="s">
        <v>72</v>
      </c>
      <c r="D1036" t="s">
        <v>46</v>
      </c>
      <c r="E1036" s="16" t="s">
        <v>133</v>
      </c>
      <c r="F1036">
        <v>2029</v>
      </c>
      <c r="G1036" s="12">
        <v>332101.74062412599</v>
      </c>
      <c r="H1036" s="13">
        <v>0.97</v>
      </c>
      <c r="I1036" s="13">
        <v>0.96991799999999995</v>
      </c>
      <c r="J1036" s="13">
        <v>0.9698</v>
      </c>
      <c r="K1036" s="13"/>
      <c r="L1036" s="13">
        <v>0.04</v>
      </c>
      <c r="M1036" s="13">
        <v>0.25</v>
      </c>
    </row>
    <row r="1037" spans="2:13" x14ac:dyDescent="0.25">
      <c r="B1037" s="14" t="s">
        <v>172</v>
      </c>
      <c r="C1037" s="14" t="s">
        <v>72</v>
      </c>
      <c r="D1037" t="s">
        <v>46</v>
      </c>
      <c r="E1037" s="16" t="s">
        <v>133</v>
      </c>
      <c r="F1037">
        <v>2030</v>
      </c>
      <c r="G1037" s="12">
        <v>330801.06964399503</v>
      </c>
      <c r="H1037" s="13">
        <v>0.97</v>
      </c>
      <c r="I1037" s="13">
        <v>0.97</v>
      </c>
      <c r="J1037" s="13">
        <v>0.97</v>
      </c>
      <c r="K1037" s="13"/>
      <c r="L1037" s="13">
        <v>0.04</v>
      </c>
      <c r="M1037" s="13">
        <v>0.25</v>
      </c>
    </row>
    <row r="1038" spans="2:13" x14ac:dyDescent="0.25">
      <c r="B1038" s="14" t="s">
        <v>172</v>
      </c>
      <c r="C1038" s="14" t="s">
        <v>15</v>
      </c>
      <c r="D1038" t="s">
        <v>136</v>
      </c>
      <c r="E1038" s="16" t="s">
        <v>133</v>
      </c>
      <c r="F1038">
        <v>2026</v>
      </c>
      <c r="G1038" s="12">
        <v>516653</v>
      </c>
      <c r="H1038" s="13">
        <v>0.8</v>
      </c>
      <c r="I1038" s="13"/>
      <c r="J1038" s="13"/>
      <c r="K1038" s="13"/>
      <c r="L1038" s="13">
        <v>0.05</v>
      </c>
      <c r="M1038" s="13">
        <v>0.25</v>
      </c>
    </row>
    <row r="1039" spans="2:13" x14ac:dyDescent="0.25">
      <c r="B1039" s="14" t="s">
        <v>172</v>
      </c>
      <c r="C1039" s="14" t="s">
        <v>15</v>
      </c>
      <c r="D1039" t="s">
        <v>136</v>
      </c>
      <c r="E1039" s="16" t="s">
        <v>133</v>
      </c>
      <c r="F1039">
        <v>2027</v>
      </c>
      <c r="G1039" s="12">
        <v>0</v>
      </c>
      <c r="H1039" s="13">
        <v>0</v>
      </c>
      <c r="I1039" s="13"/>
      <c r="J1039" s="13"/>
      <c r="K1039" s="13"/>
      <c r="L1039" s="13">
        <v>0.05</v>
      </c>
      <c r="M1039" s="13">
        <v>0.25</v>
      </c>
    </row>
    <row r="1040" spans="2:13" x14ac:dyDescent="0.25">
      <c r="B1040" s="14" t="s">
        <v>172</v>
      </c>
      <c r="C1040" s="14" t="s">
        <v>15</v>
      </c>
      <c r="D1040" t="s">
        <v>46</v>
      </c>
      <c r="E1040" s="16" t="s">
        <v>133</v>
      </c>
      <c r="F1040">
        <v>2026</v>
      </c>
      <c r="G1040" s="12">
        <v>186703</v>
      </c>
      <c r="H1040" s="13">
        <v>0.85</v>
      </c>
      <c r="I1040" s="13"/>
      <c r="J1040" s="13"/>
      <c r="K1040" s="13"/>
      <c r="L1040" s="13">
        <v>0.1</v>
      </c>
      <c r="M1040" s="13">
        <v>0.25</v>
      </c>
    </row>
    <row r="1041" spans="2:13" x14ac:dyDescent="0.25">
      <c r="B1041" s="14" t="s">
        <v>172</v>
      </c>
      <c r="C1041" s="14" t="s">
        <v>15</v>
      </c>
      <c r="D1041" t="s">
        <v>46</v>
      </c>
      <c r="E1041" s="16" t="s">
        <v>133</v>
      </c>
      <c r="F1041">
        <v>2027</v>
      </c>
      <c r="G1041" s="12">
        <v>191370</v>
      </c>
      <c r="H1041" s="13">
        <v>0.85</v>
      </c>
      <c r="I1041" s="13"/>
      <c r="J1041" s="13"/>
      <c r="K1041" s="13"/>
      <c r="L1041" s="13">
        <v>0.1</v>
      </c>
      <c r="M1041" s="13">
        <v>0.25</v>
      </c>
    </row>
    <row r="1042" spans="2:13" x14ac:dyDescent="0.25">
      <c r="B1042" s="14" t="s">
        <v>172</v>
      </c>
      <c r="C1042" s="14" t="s">
        <v>15</v>
      </c>
      <c r="D1042" t="s">
        <v>46</v>
      </c>
      <c r="E1042" s="16" t="s">
        <v>133</v>
      </c>
      <c r="F1042">
        <v>2028</v>
      </c>
      <c r="G1042" s="12">
        <v>193238</v>
      </c>
      <c r="H1042" s="13">
        <v>0.85</v>
      </c>
      <c r="I1042" s="13"/>
      <c r="J1042" s="13"/>
      <c r="K1042" s="13"/>
      <c r="L1042" s="13">
        <v>0.1</v>
      </c>
      <c r="M1042" s="13">
        <v>0.25</v>
      </c>
    </row>
    <row r="1043" spans="2:13" x14ac:dyDescent="0.25">
      <c r="B1043" s="14" t="s">
        <v>172</v>
      </c>
      <c r="C1043" s="14" t="s">
        <v>15</v>
      </c>
      <c r="D1043" t="s">
        <v>46</v>
      </c>
      <c r="E1043" s="16" t="s">
        <v>133</v>
      </c>
      <c r="F1043">
        <v>2029</v>
      </c>
      <c r="G1043" s="12">
        <v>193213</v>
      </c>
      <c r="H1043" s="13">
        <v>0.85</v>
      </c>
      <c r="I1043" s="13"/>
      <c r="J1043" s="13"/>
      <c r="K1043" s="13"/>
      <c r="L1043" s="13">
        <v>0.1</v>
      </c>
      <c r="M1043" s="13">
        <v>0.25</v>
      </c>
    </row>
    <row r="1044" spans="2:13" x14ac:dyDescent="0.25">
      <c r="B1044" s="14" t="s">
        <v>172</v>
      </c>
      <c r="C1044" s="14" t="s">
        <v>15</v>
      </c>
      <c r="D1044" t="s">
        <v>46</v>
      </c>
      <c r="E1044" s="16" t="s">
        <v>133</v>
      </c>
      <c r="F1044">
        <v>2030</v>
      </c>
      <c r="G1044" s="12">
        <v>191591</v>
      </c>
      <c r="H1044" s="13">
        <v>0.85</v>
      </c>
      <c r="I1044" s="13"/>
      <c r="J1044" s="13"/>
      <c r="K1044" s="13"/>
      <c r="L1044" s="13">
        <v>0.1</v>
      </c>
      <c r="M1044" s="13">
        <v>0.25</v>
      </c>
    </row>
    <row r="1045" spans="2:13" x14ac:dyDescent="0.25">
      <c r="B1045" s="14" t="s">
        <v>172</v>
      </c>
      <c r="C1045" s="14" t="s">
        <v>52</v>
      </c>
      <c r="D1045" t="s">
        <v>141</v>
      </c>
      <c r="E1045" s="16" t="s">
        <v>133</v>
      </c>
      <c r="F1045">
        <v>2028</v>
      </c>
      <c r="G1045" s="12">
        <v>1563606.5625</v>
      </c>
      <c r="H1045" s="13">
        <v>1</v>
      </c>
      <c r="I1045" s="13"/>
      <c r="J1045" s="13"/>
      <c r="K1045" s="13"/>
      <c r="L1045" s="13"/>
      <c r="M1045" s="13"/>
    </row>
    <row r="1046" spans="2:13" x14ac:dyDescent="0.25">
      <c r="B1046" s="14" t="s">
        <v>172</v>
      </c>
      <c r="C1046" s="14" t="s">
        <v>146</v>
      </c>
      <c r="D1046" t="s">
        <v>46</v>
      </c>
      <c r="E1046" s="16" t="s">
        <v>133</v>
      </c>
      <c r="F1046">
        <v>2028</v>
      </c>
      <c r="G1046" s="12">
        <v>173115</v>
      </c>
      <c r="H1046" s="13"/>
      <c r="I1046" s="13"/>
      <c r="J1046" s="13"/>
      <c r="K1046" s="13"/>
      <c r="L1046" s="13"/>
      <c r="M1046" s="13">
        <v>0.25</v>
      </c>
    </row>
    <row r="1047" spans="2:13" x14ac:dyDescent="0.25">
      <c r="B1047" s="14" t="s">
        <v>172</v>
      </c>
      <c r="C1047" s="14" t="s">
        <v>146</v>
      </c>
      <c r="D1047" t="s">
        <v>46</v>
      </c>
      <c r="E1047" s="16" t="s">
        <v>133</v>
      </c>
      <c r="F1047">
        <v>2029</v>
      </c>
      <c r="G1047" s="12">
        <v>172346</v>
      </c>
      <c r="H1047" s="13"/>
      <c r="I1047" s="13"/>
      <c r="J1047" s="13"/>
      <c r="K1047" s="13"/>
      <c r="L1047" s="13"/>
      <c r="M1047" s="13">
        <v>0.25</v>
      </c>
    </row>
    <row r="1048" spans="2:13" x14ac:dyDescent="0.25">
      <c r="B1048" s="14" t="s">
        <v>172</v>
      </c>
      <c r="C1048" s="14" t="s">
        <v>146</v>
      </c>
      <c r="D1048" t="s">
        <v>46</v>
      </c>
      <c r="E1048" s="16" t="s">
        <v>133</v>
      </c>
      <c r="F1048">
        <v>2030</v>
      </c>
      <c r="G1048" s="12">
        <v>171671</v>
      </c>
      <c r="H1048" s="13"/>
      <c r="I1048" s="13"/>
      <c r="J1048" s="13"/>
      <c r="K1048" s="13"/>
      <c r="L1048" s="13"/>
      <c r="M1048" s="13">
        <v>0.25</v>
      </c>
    </row>
    <row r="1049" spans="2:13" x14ac:dyDescent="0.25">
      <c r="B1049" s="14" t="s">
        <v>172</v>
      </c>
      <c r="C1049" s="14" t="s">
        <v>139</v>
      </c>
      <c r="D1049" t="s">
        <v>46</v>
      </c>
      <c r="E1049" s="16" t="s">
        <v>133</v>
      </c>
      <c r="F1049">
        <v>2026</v>
      </c>
      <c r="G1049" s="12">
        <v>356829</v>
      </c>
      <c r="H1049" s="13">
        <v>1</v>
      </c>
      <c r="I1049" s="13">
        <v>0.95</v>
      </c>
      <c r="J1049" s="13">
        <v>0</v>
      </c>
      <c r="K1049" s="13"/>
      <c r="L1049" s="13">
        <v>0.04</v>
      </c>
      <c r="M1049" s="13">
        <v>0.25</v>
      </c>
    </row>
    <row r="1050" spans="2:13" x14ac:dyDescent="0.25">
      <c r="B1050" s="14" t="s">
        <v>172</v>
      </c>
      <c r="C1050" s="14" t="s">
        <v>139</v>
      </c>
      <c r="D1050" t="s">
        <v>46</v>
      </c>
      <c r="E1050" s="16" t="s">
        <v>133</v>
      </c>
      <c r="F1050">
        <v>2027</v>
      </c>
      <c r="G1050" s="12">
        <v>354847.42260416801</v>
      </c>
      <c r="H1050" s="13">
        <v>1</v>
      </c>
      <c r="I1050" s="13">
        <v>0.95660000000000001</v>
      </c>
      <c r="J1050" s="13">
        <v>0</v>
      </c>
      <c r="K1050" s="13"/>
      <c r="L1050" s="13">
        <v>0.04</v>
      </c>
      <c r="M1050" s="13">
        <v>0.25</v>
      </c>
    </row>
    <row r="1051" spans="2:13" x14ac:dyDescent="0.25">
      <c r="B1051" s="14" t="s">
        <v>172</v>
      </c>
      <c r="C1051" s="14" t="s">
        <v>139</v>
      </c>
      <c r="D1051" t="s">
        <v>46</v>
      </c>
      <c r="E1051" s="16" t="s">
        <v>133</v>
      </c>
      <c r="F1051">
        <v>2028</v>
      </c>
      <c r="G1051" s="12">
        <v>353059.27020855102</v>
      </c>
      <c r="H1051" s="13">
        <v>1</v>
      </c>
      <c r="I1051" s="13">
        <v>0.96319999999999995</v>
      </c>
      <c r="J1051" s="13">
        <v>0</v>
      </c>
      <c r="K1051" s="13"/>
      <c r="L1051" s="13">
        <v>0.04</v>
      </c>
      <c r="M1051" s="13">
        <v>0.25</v>
      </c>
    </row>
    <row r="1052" spans="2:13" x14ac:dyDescent="0.25">
      <c r="B1052" s="14" t="s">
        <v>172</v>
      </c>
      <c r="C1052" s="14" t="s">
        <v>139</v>
      </c>
      <c r="D1052" t="s">
        <v>46</v>
      </c>
      <c r="E1052" s="16" t="s">
        <v>133</v>
      </c>
      <c r="F1052">
        <v>2029</v>
      </c>
      <c r="G1052" s="12">
        <v>351491.29307913902</v>
      </c>
      <c r="H1052" s="13">
        <v>1</v>
      </c>
      <c r="I1052" s="13">
        <v>0.9698</v>
      </c>
      <c r="J1052" s="13">
        <v>0</v>
      </c>
      <c r="K1052" s="13"/>
      <c r="L1052" s="13">
        <v>0.04</v>
      </c>
      <c r="M1052" s="13">
        <v>0.25</v>
      </c>
    </row>
    <row r="1053" spans="2:13" x14ac:dyDescent="0.25">
      <c r="B1053" s="14" t="s">
        <v>172</v>
      </c>
      <c r="C1053" s="14" t="s">
        <v>139</v>
      </c>
      <c r="D1053" t="s">
        <v>46</v>
      </c>
      <c r="E1053" s="16" t="s">
        <v>133</v>
      </c>
      <c r="F1053">
        <v>2030</v>
      </c>
      <c r="G1053" s="12">
        <v>350114.683237174</v>
      </c>
      <c r="H1053" s="13">
        <v>1</v>
      </c>
      <c r="I1053" s="13">
        <v>0.97</v>
      </c>
      <c r="J1053" s="13">
        <v>0</v>
      </c>
      <c r="K1053" s="13"/>
      <c r="L1053" s="13">
        <v>0.04</v>
      </c>
      <c r="M1053" s="13">
        <v>0.25</v>
      </c>
    </row>
    <row r="1054" spans="2:13" x14ac:dyDescent="0.25">
      <c r="B1054" s="14" t="s">
        <v>172</v>
      </c>
      <c r="C1054" s="14" t="s">
        <v>101</v>
      </c>
      <c r="D1054" t="s">
        <v>46</v>
      </c>
      <c r="E1054" s="16" t="s">
        <v>133</v>
      </c>
      <c r="F1054">
        <v>2028</v>
      </c>
      <c r="G1054" s="12">
        <v>345058.50714738498</v>
      </c>
      <c r="H1054" s="13">
        <v>0.40160000000000001</v>
      </c>
      <c r="I1054" s="13"/>
      <c r="J1054" s="13"/>
      <c r="K1054" s="13"/>
      <c r="L1054" s="13">
        <v>0.1</v>
      </c>
      <c r="M1054" s="13">
        <v>0.25</v>
      </c>
    </row>
    <row r="1055" spans="2:13" x14ac:dyDescent="0.25">
      <c r="B1055" s="14" t="s">
        <v>172</v>
      </c>
      <c r="C1055" s="14" t="s">
        <v>101</v>
      </c>
      <c r="D1055" t="s">
        <v>46</v>
      </c>
      <c r="E1055" s="16" t="s">
        <v>133</v>
      </c>
      <c r="F1055">
        <v>2029</v>
      </c>
      <c r="G1055" s="12">
        <v>344180.62234397797</v>
      </c>
      <c r="H1055" s="13">
        <v>0.80979999999999996</v>
      </c>
      <c r="I1055" s="13"/>
      <c r="J1055" s="13"/>
      <c r="K1055" s="13"/>
      <c r="L1055" s="13">
        <v>0.1</v>
      </c>
      <c r="M1055" s="13">
        <v>0.25</v>
      </c>
    </row>
    <row r="1056" spans="2:13" x14ac:dyDescent="0.25">
      <c r="B1056" s="15" t="s">
        <v>172</v>
      </c>
      <c r="C1056" s="14" t="s">
        <v>101</v>
      </c>
      <c r="D1056" t="s">
        <v>46</v>
      </c>
      <c r="E1056" s="16" t="s">
        <v>133</v>
      </c>
      <c r="F1056">
        <v>2030</v>
      </c>
      <c r="G1056" s="12">
        <v>343304.97102188598</v>
      </c>
      <c r="H1056" s="13">
        <v>0.81640000000000001</v>
      </c>
      <c r="I1056" s="13"/>
      <c r="J1056" s="13"/>
      <c r="K1056" s="13"/>
      <c r="L1056" s="13">
        <v>0.1</v>
      </c>
      <c r="M1056" s="13">
        <v>0.25</v>
      </c>
    </row>
    <row r="1057" spans="2:13" x14ac:dyDescent="0.25">
      <c r="B1057" s="14" t="s">
        <v>173</v>
      </c>
      <c r="C1057" s="14" t="s">
        <v>70</v>
      </c>
      <c r="D1057" t="s">
        <v>46</v>
      </c>
      <c r="E1057" s="16" t="s">
        <v>133</v>
      </c>
      <c r="F1057">
        <v>2026</v>
      </c>
      <c r="G1057" s="12">
        <v>3253</v>
      </c>
      <c r="H1057" s="13">
        <v>0.71250000000000002</v>
      </c>
      <c r="I1057" s="13">
        <v>0.71250000000000002</v>
      </c>
      <c r="J1057" s="13">
        <v>0</v>
      </c>
      <c r="K1057" s="13">
        <v>0</v>
      </c>
      <c r="L1057" s="13">
        <v>0.05</v>
      </c>
      <c r="M1057" s="13">
        <v>0.25</v>
      </c>
    </row>
    <row r="1058" spans="2:13" x14ac:dyDescent="0.25">
      <c r="B1058" s="14" t="s">
        <v>173</v>
      </c>
      <c r="C1058" s="14" t="s">
        <v>70</v>
      </c>
      <c r="D1058" t="s">
        <v>46</v>
      </c>
      <c r="E1058" s="16" t="s">
        <v>133</v>
      </c>
      <c r="F1058">
        <v>2027</v>
      </c>
      <c r="G1058" s="12">
        <v>3249</v>
      </c>
      <c r="H1058" s="13">
        <v>0</v>
      </c>
      <c r="I1058" s="13">
        <v>0</v>
      </c>
      <c r="J1058" s="13">
        <v>0</v>
      </c>
      <c r="K1058" s="13">
        <v>0</v>
      </c>
      <c r="L1058" s="13">
        <v>0.04</v>
      </c>
      <c r="M1058" s="13">
        <v>0.25</v>
      </c>
    </row>
    <row r="1059" spans="2:13" x14ac:dyDescent="0.25">
      <c r="B1059" s="14" t="s">
        <v>173</v>
      </c>
      <c r="C1059" s="14" t="s">
        <v>134</v>
      </c>
      <c r="D1059" t="s">
        <v>46</v>
      </c>
      <c r="E1059" s="16" t="s">
        <v>133</v>
      </c>
      <c r="F1059">
        <v>2026</v>
      </c>
      <c r="G1059" s="12">
        <v>3253</v>
      </c>
      <c r="H1059" s="13">
        <v>0.2475</v>
      </c>
      <c r="I1059" s="13">
        <v>0.24010155</v>
      </c>
      <c r="J1059" s="13">
        <v>0.22945499999999999</v>
      </c>
      <c r="K1059" s="13">
        <v>0</v>
      </c>
      <c r="L1059" s="13">
        <v>0.05</v>
      </c>
      <c r="M1059" s="13">
        <v>0.25</v>
      </c>
    </row>
    <row r="1060" spans="2:13" x14ac:dyDescent="0.25">
      <c r="B1060" s="14" t="s">
        <v>173</v>
      </c>
      <c r="C1060" s="14" t="s">
        <v>134</v>
      </c>
      <c r="D1060" t="s">
        <v>46</v>
      </c>
      <c r="E1060" s="16" t="s">
        <v>133</v>
      </c>
      <c r="F1060">
        <v>2027</v>
      </c>
      <c r="G1060" s="12">
        <v>3249</v>
      </c>
      <c r="H1060" s="13">
        <v>0.99</v>
      </c>
      <c r="I1060" s="13">
        <v>0.96700620000000004</v>
      </c>
      <c r="J1060" s="13">
        <v>0.92442000000000002</v>
      </c>
      <c r="K1060" s="13">
        <v>0</v>
      </c>
      <c r="L1060" s="13">
        <v>7.0000000000000007E-2</v>
      </c>
      <c r="M1060" s="13">
        <v>0.25</v>
      </c>
    </row>
    <row r="1061" spans="2:13" x14ac:dyDescent="0.25">
      <c r="B1061" s="14" t="s">
        <v>173</v>
      </c>
      <c r="C1061" s="14" t="s">
        <v>134</v>
      </c>
      <c r="D1061" t="s">
        <v>46</v>
      </c>
      <c r="E1061" s="16" t="s">
        <v>133</v>
      </c>
      <c r="F1061">
        <v>2028</v>
      </c>
      <c r="G1061" s="12">
        <v>3250</v>
      </c>
      <c r="H1061" s="13">
        <v>0.99</v>
      </c>
      <c r="I1061" s="13">
        <v>0.97360619999999998</v>
      </c>
      <c r="J1061" s="13">
        <v>0.93101999999999996</v>
      </c>
      <c r="K1061" s="13">
        <v>0</v>
      </c>
      <c r="L1061" s="13">
        <v>7.0000000000000007E-2</v>
      </c>
      <c r="M1061" s="13">
        <v>0.25</v>
      </c>
    </row>
    <row r="1062" spans="2:13" x14ac:dyDescent="0.25">
      <c r="B1062" s="14" t="s">
        <v>173</v>
      </c>
      <c r="C1062" s="14" t="s">
        <v>134</v>
      </c>
      <c r="D1062" t="s">
        <v>46</v>
      </c>
      <c r="E1062" s="16" t="s">
        <v>133</v>
      </c>
      <c r="F1062">
        <v>2029</v>
      </c>
      <c r="G1062" s="12">
        <v>3257</v>
      </c>
      <c r="H1062" s="13">
        <v>0.99</v>
      </c>
      <c r="I1062" s="13">
        <v>0.98020620000000003</v>
      </c>
      <c r="J1062" s="13">
        <v>0.93762000000000001</v>
      </c>
      <c r="K1062" s="13">
        <v>0</v>
      </c>
      <c r="L1062" s="13">
        <v>7.0000000000000007E-2</v>
      </c>
      <c r="M1062" s="13">
        <v>0.25</v>
      </c>
    </row>
    <row r="1063" spans="2:13" x14ac:dyDescent="0.25">
      <c r="B1063" s="15" t="s">
        <v>173</v>
      </c>
      <c r="C1063" s="14" t="s">
        <v>134</v>
      </c>
      <c r="D1063" t="s">
        <v>46</v>
      </c>
      <c r="E1063" s="16" t="s">
        <v>133</v>
      </c>
      <c r="F1063">
        <v>2030</v>
      </c>
      <c r="G1063" s="12">
        <v>3267</v>
      </c>
      <c r="H1063" s="13">
        <v>0.99</v>
      </c>
      <c r="I1063" s="13">
        <v>0.98680619999999997</v>
      </c>
      <c r="J1063" s="13">
        <v>0.94421999999999995</v>
      </c>
      <c r="K1063" s="13">
        <v>0</v>
      </c>
      <c r="L1063" s="13">
        <v>7.0000000000000007E-2</v>
      </c>
      <c r="M1063" s="13">
        <v>0.25</v>
      </c>
    </row>
    <row r="1064" spans="2:13" x14ac:dyDescent="0.25">
      <c r="B1064" s="14" t="s">
        <v>174</v>
      </c>
      <c r="C1064" s="14" t="s">
        <v>132</v>
      </c>
      <c r="D1064" t="s">
        <v>46</v>
      </c>
      <c r="E1064" s="16" t="s">
        <v>133</v>
      </c>
      <c r="F1064">
        <v>2026</v>
      </c>
      <c r="G1064" s="12">
        <v>156171</v>
      </c>
      <c r="H1064" s="13">
        <v>0.83</v>
      </c>
      <c r="I1064" s="13">
        <v>0.81</v>
      </c>
      <c r="J1064" s="13">
        <v>0.77</v>
      </c>
      <c r="K1064" s="13">
        <v>0</v>
      </c>
      <c r="L1064" s="13">
        <v>0.04</v>
      </c>
      <c r="M1064" s="13">
        <v>0.25</v>
      </c>
    </row>
    <row r="1065" spans="2:13" x14ac:dyDescent="0.25">
      <c r="B1065" s="14" t="s">
        <v>174</v>
      </c>
      <c r="C1065" s="14" t="s">
        <v>132</v>
      </c>
      <c r="D1065" t="s">
        <v>46</v>
      </c>
      <c r="E1065" s="16" t="s">
        <v>133</v>
      </c>
      <c r="F1065">
        <v>2027</v>
      </c>
      <c r="G1065" s="12">
        <v>155003</v>
      </c>
      <c r="H1065" s="13">
        <v>0.84</v>
      </c>
      <c r="I1065" s="13">
        <v>0.82</v>
      </c>
      <c r="J1065" s="13">
        <v>0.78</v>
      </c>
      <c r="K1065" s="13">
        <v>0</v>
      </c>
      <c r="L1065" s="13">
        <v>0.04</v>
      </c>
      <c r="M1065" s="13">
        <v>0.25</v>
      </c>
    </row>
    <row r="1066" spans="2:13" x14ac:dyDescent="0.25">
      <c r="B1066" s="14" t="s">
        <v>174</v>
      </c>
      <c r="C1066" s="14" t="s">
        <v>132</v>
      </c>
      <c r="D1066" t="s">
        <v>46</v>
      </c>
      <c r="E1066" s="16" t="s">
        <v>133</v>
      </c>
      <c r="F1066">
        <v>2028</v>
      </c>
      <c r="G1066" s="12">
        <v>153939</v>
      </c>
      <c r="H1066" s="13">
        <v>0.42499999999999999</v>
      </c>
      <c r="I1066" s="13">
        <v>0.41499999999999998</v>
      </c>
      <c r="J1066" s="13">
        <v>0.39500000000000002</v>
      </c>
      <c r="K1066" s="13">
        <v>0</v>
      </c>
      <c r="L1066" s="13">
        <v>0.04</v>
      </c>
      <c r="M1066" s="13">
        <v>0.25</v>
      </c>
    </row>
    <row r="1067" spans="2:13" x14ac:dyDescent="0.25">
      <c r="B1067" s="14" t="s">
        <v>174</v>
      </c>
      <c r="C1067" s="14" t="s">
        <v>132</v>
      </c>
      <c r="D1067" t="s">
        <v>46</v>
      </c>
      <c r="E1067" s="16" t="s">
        <v>133</v>
      </c>
      <c r="F1067">
        <v>2029</v>
      </c>
      <c r="G1067" s="12">
        <v>138779.94882532599</v>
      </c>
      <c r="H1067" s="13">
        <v>0</v>
      </c>
      <c r="I1067" s="13">
        <v>0</v>
      </c>
      <c r="J1067" s="13">
        <v>0</v>
      </c>
      <c r="K1067" s="13">
        <v>0</v>
      </c>
      <c r="L1067" s="13">
        <v>0.04</v>
      </c>
      <c r="M1067" s="13">
        <v>0.25</v>
      </c>
    </row>
    <row r="1068" spans="2:13" x14ac:dyDescent="0.25">
      <c r="B1068" s="14" t="s">
        <v>174</v>
      </c>
      <c r="C1068" s="14" t="s">
        <v>70</v>
      </c>
      <c r="D1068" t="s">
        <v>46</v>
      </c>
      <c r="E1068" s="16" t="s">
        <v>133</v>
      </c>
      <c r="F1068">
        <v>2026</v>
      </c>
      <c r="G1068" s="12">
        <v>156171</v>
      </c>
      <c r="H1068" s="13">
        <v>0.93700000000000006</v>
      </c>
      <c r="I1068" s="13">
        <v>0.82</v>
      </c>
      <c r="J1068" s="13">
        <v>0</v>
      </c>
      <c r="K1068" s="13">
        <v>0</v>
      </c>
      <c r="L1068" s="13">
        <v>0.1</v>
      </c>
      <c r="M1068" s="13">
        <v>0.25</v>
      </c>
    </row>
    <row r="1069" spans="2:13" x14ac:dyDescent="0.25">
      <c r="B1069" s="14" t="s">
        <v>174</v>
      </c>
      <c r="C1069" s="14" t="s">
        <v>70</v>
      </c>
      <c r="D1069" t="s">
        <v>46</v>
      </c>
      <c r="E1069" s="16" t="s">
        <v>133</v>
      </c>
      <c r="F1069">
        <v>2027</v>
      </c>
      <c r="G1069" s="12">
        <v>155003</v>
      </c>
      <c r="H1069" s="13">
        <v>0.93700000000000006</v>
      </c>
      <c r="I1069" s="13">
        <v>0.82</v>
      </c>
      <c r="J1069" s="13">
        <v>0</v>
      </c>
      <c r="K1069" s="13">
        <v>0</v>
      </c>
      <c r="L1069" s="13">
        <v>0.1</v>
      </c>
      <c r="M1069" s="13">
        <v>0.25</v>
      </c>
    </row>
    <row r="1070" spans="2:13" x14ac:dyDescent="0.25">
      <c r="B1070" s="14" t="s">
        <v>174</v>
      </c>
      <c r="C1070" s="14" t="s">
        <v>70</v>
      </c>
      <c r="D1070" t="s">
        <v>46</v>
      </c>
      <c r="E1070" s="16" t="s">
        <v>133</v>
      </c>
      <c r="F1070">
        <v>2028</v>
      </c>
      <c r="G1070" s="12">
        <v>153939</v>
      </c>
      <c r="H1070" s="13">
        <v>0.46850000000000003</v>
      </c>
      <c r="I1070" s="13">
        <v>0.41</v>
      </c>
      <c r="J1070" s="13">
        <v>0</v>
      </c>
      <c r="K1070" s="13">
        <v>0</v>
      </c>
      <c r="L1070" s="13">
        <v>0.1</v>
      </c>
      <c r="M1070" s="13">
        <v>0.25</v>
      </c>
    </row>
    <row r="1071" spans="2:13" x14ac:dyDescent="0.25">
      <c r="B1071" s="14" t="s">
        <v>174</v>
      </c>
      <c r="C1071" s="14" t="s">
        <v>70</v>
      </c>
      <c r="D1071" t="s">
        <v>46</v>
      </c>
      <c r="E1071" s="16" t="s">
        <v>133</v>
      </c>
      <c r="F1071">
        <v>2029</v>
      </c>
      <c r="G1071" s="12">
        <v>138779.94882532599</v>
      </c>
      <c r="H1071" s="13">
        <v>0</v>
      </c>
      <c r="I1071" s="13">
        <v>0</v>
      </c>
      <c r="J1071" s="13">
        <v>0</v>
      </c>
      <c r="K1071" s="13">
        <v>0</v>
      </c>
      <c r="L1071" s="13">
        <v>0.1</v>
      </c>
      <c r="M1071" s="13">
        <v>0.25</v>
      </c>
    </row>
    <row r="1072" spans="2:13" x14ac:dyDescent="0.25">
      <c r="B1072" s="14" t="s">
        <v>174</v>
      </c>
      <c r="C1072" s="14" t="s">
        <v>134</v>
      </c>
      <c r="D1072" t="s">
        <v>46</v>
      </c>
      <c r="E1072" s="16" t="s">
        <v>133</v>
      </c>
      <c r="F1072">
        <v>2027</v>
      </c>
      <c r="G1072" s="12">
        <v>140814.91203872699</v>
      </c>
      <c r="H1072" s="13">
        <v>0</v>
      </c>
      <c r="I1072" s="13">
        <v>0</v>
      </c>
      <c r="J1072" s="13">
        <v>0</v>
      </c>
      <c r="K1072" s="13">
        <v>0</v>
      </c>
      <c r="L1072" s="13">
        <v>7.0000000000000007E-2</v>
      </c>
      <c r="M1072" s="13">
        <v>0.25</v>
      </c>
    </row>
    <row r="1073" spans="2:13" x14ac:dyDescent="0.25">
      <c r="B1073" s="14" t="s">
        <v>174</v>
      </c>
      <c r="C1073" s="14" t="s">
        <v>134</v>
      </c>
      <c r="D1073" t="s">
        <v>46</v>
      </c>
      <c r="E1073" s="16" t="s">
        <v>133</v>
      </c>
      <c r="F1073">
        <v>2028</v>
      </c>
      <c r="G1073" s="12">
        <v>153939</v>
      </c>
      <c r="H1073" s="13">
        <v>0.42159999999999997</v>
      </c>
      <c r="I1073" s="13">
        <v>0.4093</v>
      </c>
      <c r="J1073" s="13">
        <v>0.3916</v>
      </c>
      <c r="K1073" s="13">
        <v>0</v>
      </c>
      <c r="L1073" s="13">
        <v>7.0000000000000007E-2</v>
      </c>
      <c r="M1073" s="13">
        <v>0.25</v>
      </c>
    </row>
    <row r="1074" spans="2:13" x14ac:dyDescent="0.25">
      <c r="B1074" s="14" t="s">
        <v>174</v>
      </c>
      <c r="C1074" s="14" t="s">
        <v>134</v>
      </c>
      <c r="D1074" t="s">
        <v>46</v>
      </c>
      <c r="E1074" s="16" t="s">
        <v>133</v>
      </c>
      <c r="F1074">
        <v>2029</v>
      </c>
      <c r="G1074" s="12">
        <v>138779.94882532599</v>
      </c>
      <c r="H1074" s="13">
        <v>0.91979999999999995</v>
      </c>
      <c r="I1074" s="13">
        <v>0.8911</v>
      </c>
      <c r="J1074" s="13">
        <v>0.8498</v>
      </c>
      <c r="K1074" s="13">
        <v>0</v>
      </c>
      <c r="L1074" s="13">
        <v>7.0000000000000007E-2</v>
      </c>
      <c r="M1074" s="13">
        <v>0.25</v>
      </c>
    </row>
    <row r="1075" spans="2:13" x14ac:dyDescent="0.25">
      <c r="B1075" s="14" t="s">
        <v>174</v>
      </c>
      <c r="C1075" s="14" t="s">
        <v>134</v>
      </c>
      <c r="D1075" t="s">
        <v>46</v>
      </c>
      <c r="E1075" s="16" t="s">
        <v>133</v>
      </c>
      <c r="F1075">
        <v>2030</v>
      </c>
      <c r="G1075" s="12">
        <v>137819.70055900299</v>
      </c>
      <c r="H1075" s="13">
        <v>0.9264</v>
      </c>
      <c r="I1075" s="13">
        <v>0.89770000000000005</v>
      </c>
      <c r="J1075" s="13">
        <v>0.85640000000000005</v>
      </c>
      <c r="K1075" s="13">
        <v>0</v>
      </c>
      <c r="L1075" s="13">
        <v>7.0000000000000007E-2</v>
      </c>
      <c r="M1075" s="13">
        <v>0.25</v>
      </c>
    </row>
    <row r="1076" spans="2:13" x14ac:dyDescent="0.25">
      <c r="B1076" s="14" t="s">
        <v>174</v>
      </c>
      <c r="C1076" s="14" t="s">
        <v>72</v>
      </c>
      <c r="D1076" t="s">
        <v>46</v>
      </c>
      <c r="E1076" s="16" t="s">
        <v>133</v>
      </c>
      <c r="F1076">
        <v>2026</v>
      </c>
      <c r="G1076" s="12">
        <v>141876</v>
      </c>
      <c r="H1076" s="13">
        <v>0.9</v>
      </c>
      <c r="I1076" s="13">
        <v>0.875</v>
      </c>
      <c r="J1076" s="13">
        <v>0.84</v>
      </c>
      <c r="K1076" s="13"/>
      <c r="L1076" s="13">
        <v>7.0000000000000007E-2</v>
      </c>
      <c r="M1076" s="13">
        <v>0.25</v>
      </c>
    </row>
    <row r="1077" spans="2:13" x14ac:dyDescent="0.25">
      <c r="B1077" s="14" t="s">
        <v>174</v>
      </c>
      <c r="C1077" s="14" t="s">
        <v>72</v>
      </c>
      <c r="D1077" t="s">
        <v>46</v>
      </c>
      <c r="E1077" s="16" t="s">
        <v>133</v>
      </c>
      <c r="F1077">
        <v>2027</v>
      </c>
      <c r="G1077" s="12">
        <v>139853</v>
      </c>
      <c r="H1077" s="13">
        <v>0.91</v>
      </c>
      <c r="I1077" s="13">
        <v>0.88500000000000001</v>
      </c>
      <c r="J1077" s="13">
        <v>0.85</v>
      </c>
      <c r="K1077" s="13"/>
      <c r="L1077" s="13">
        <v>7.0000000000000007E-2</v>
      </c>
      <c r="M1077" s="13">
        <v>0.25</v>
      </c>
    </row>
    <row r="1078" spans="2:13" x14ac:dyDescent="0.25">
      <c r="B1078" s="14" t="s">
        <v>174</v>
      </c>
      <c r="C1078" s="14" t="s">
        <v>72</v>
      </c>
      <c r="D1078" t="s">
        <v>46</v>
      </c>
      <c r="E1078" s="16" t="s">
        <v>133</v>
      </c>
      <c r="F1078">
        <v>2028</v>
      </c>
      <c r="G1078" s="12">
        <v>138893</v>
      </c>
      <c r="H1078" s="13">
        <v>0.91</v>
      </c>
      <c r="I1078" s="13">
        <v>0.88500000000000001</v>
      </c>
      <c r="J1078" s="13">
        <v>0.85</v>
      </c>
      <c r="K1078" s="13"/>
      <c r="L1078" s="13">
        <v>7.0000000000000007E-2</v>
      </c>
      <c r="M1078" s="13">
        <v>0.25</v>
      </c>
    </row>
    <row r="1079" spans="2:13" x14ac:dyDescent="0.25">
      <c r="B1079" s="14" t="s">
        <v>174</v>
      </c>
      <c r="C1079" s="14" t="s">
        <v>72</v>
      </c>
      <c r="D1079" t="s">
        <v>46</v>
      </c>
      <c r="E1079" s="16" t="s">
        <v>133</v>
      </c>
      <c r="F1079">
        <v>2029</v>
      </c>
      <c r="G1079" s="12">
        <v>138779.94882532599</v>
      </c>
      <c r="H1079" s="13">
        <v>0.91979999999999995</v>
      </c>
      <c r="I1079" s="13">
        <v>0.8952</v>
      </c>
      <c r="J1079" s="13">
        <v>0.85980000000000001</v>
      </c>
      <c r="K1079" s="13"/>
      <c r="L1079" s="13">
        <v>7.0000000000000007E-2</v>
      </c>
      <c r="M1079" s="13">
        <v>0.25</v>
      </c>
    </row>
    <row r="1080" spans="2:13" x14ac:dyDescent="0.25">
      <c r="B1080" s="14" t="s">
        <v>174</v>
      </c>
      <c r="C1080" s="14" t="s">
        <v>72</v>
      </c>
      <c r="D1080" t="s">
        <v>46</v>
      </c>
      <c r="E1080" s="16" t="s">
        <v>133</v>
      </c>
      <c r="F1080">
        <v>2030</v>
      </c>
      <c r="G1080" s="12">
        <v>137819.70055900299</v>
      </c>
      <c r="H1080" s="13">
        <v>0.9264</v>
      </c>
      <c r="I1080" s="13">
        <v>0.90180000000000005</v>
      </c>
      <c r="J1080" s="13">
        <v>0.86639999999999995</v>
      </c>
      <c r="K1080" s="13"/>
      <c r="L1080" s="13">
        <v>7.0000000000000007E-2</v>
      </c>
      <c r="M1080" s="13">
        <v>0.25</v>
      </c>
    </row>
    <row r="1081" spans="2:13" x14ac:dyDescent="0.25">
      <c r="B1081" s="14" t="s">
        <v>174</v>
      </c>
      <c r="C1081" s="14" t="s">
        <v>15</v>
      </c>
      <c r="D1081" t="s">
        <v>46</v>
      </c>
      <c r="E1081" s="16" t="s">
        <v>133</v>
      </c>
      <c r="F1081">
        <v>2026</v>
      </c>
      <c r="G1081" s="12">
        <v>78208</v>
      </c>
      <c r="H1081" s="13">
        <v>0.97</v>
      </c>
      <c r="I1081" s="13"/>
      <c r="J1081" s="13"/>
      <c r="K1081" s="13"/>
      <c r="L1081" s="13">
        <v>0.05</v>
      </c>
      <c r="M1081" s="13">
        <v>0.25</v>
      </c>
    </row>
    <row r="1082" spans="2:13" x14ac:dyDescent="0.25">
      <c r="B1082" s="14" t="s">
        <v>174</v>
      </c>
      <c r="C1082" s="14" t="s">
        <v>15</v>
      </c>
      <c r="D1082" t="s">
        <v>46</v>
      </c>
      <c r="E1082" s="16" t="s">
        <v>133</v>
      </c>
      <c r="F1082">
        <v>2027</v>
      </c>
      <c r="G1082" s="12">
        <v>78189</v>
      </c>
      <c r="H1082" s="13">
        <v>0.98</v>
      </c>
      <c r="I1082" s="13"/>
      <c r="J1082" s="13"/>
      <c r="K1082" s="13"/>
      <c r="L1082" s="13">
        <v>0.05</v>
      </c>
      <c r="M1082" s="13">
        <v>0.25</v>
      </c>
    </row>
    <row r="1083" spans="2:13" x14ac:dyDescent="0.25">
      <c r="B1083" s="14" t="s">
        <v>174</v>
      </c>
      <c r="C1083" s="14" t="s">
        <v>15</v>
      </c>
      <c r="D1083" t="s">
        <v>46</v>
      </c>
      <c r="E1083" s="16" t="s">
        <v>133</v>
      </c>
      <c r="F1083">
        <v>2028</v>
      </c>
      <c r="G1083" s="12">
        <v>77918</v>
      </c>
      <c r="H1083" s="13">
        <v>0.99</v>
      </c>
      <c r="I1083" s="13"/>
      <c r="J1083" s="13"/>
      <c r="K1083" s="13"/>
      <c r="L1083" s="13">
        <v>0.05</v>
      </c>
      <c r="M1083" s="13">
        <v>0.25</v>
      </c>
    </row>
    <row r="1084" spans="2:13" x14ac:dyDescent="0.25">
      <c r="B1084" s="14" t="s">
        <v>174</v>
      </c>
      <c r="C1084" s="14" t="s">
        <v>15</v>
      </c>
      <c r="D1084" t="s">
        <v>46</v>
      </c>
      <c r="E1084" s="16" t="s">
        <v>133</v>
      </c>
      <c r="F1084">
        <v>2029</v>
      </c>
      <c r="G1084" s="12">
        <v>76731</v>
      </c>
      <c r="H1084" s="13">
        <v>0.95</v>
      </c>
      <c r="I1084" s="13"/>
      <c r="J1084" s="13"/>
      <c r="K1084" s="13"/>
      <c r="L1084" s="13">
        <v>0.05</v>
      </c>
      <c r="M1084" s="13">
        <v>0.25</v>
      </c>
    </row>
    <row r="1085" spans="2:13" x14ac:dyDescent="0.25">
      <c r="B1085" s="14" t="s">
        <v>174</v>
      </c>
      <c r="C1085" s="14" t="s">
        <v>15</v>
      </c>
      <c r="D1085" t="s">
        <v>46</v>
      </c>
      <c r="E1085" s="16" t="s">
        <v>133</v>
      </c>
      <c r="F1085">
        <v>2030</v>
      </c>
      <c r="G1085" s="12">
        <v>76221</v>
      </c>
      <c r="H1085" s="13">
        <v>0.95</v>
      </c>
      <c r="I1085" s="13"/>
      <c r="J1085" s="13"/>
      <c r="K1085" s="13"/>
      <c r="L1085" s="13">
        <v>0.05</v>
      </c>
      <c r="M1085" s="13">
        <v>0.25</v>
      </c>
    </row>
    <row r="1086" spans="2:13" x14ac:dyDescent="0.25">
      <c r="B1086" s="14" t="s">
        <v>174</v>
      </c>
      <c r="C1086" s="14" t="s">
        <v>52</v>
      </c>
      <c r="D1086" t="s">
        <v>141</v>
      </c>
      <c r="E1086" s="16" t="s">
        <v>133</v>
      </c>
      <c r="F1086">
        <v>2027</v>
      </c>
      <c r="G1086" s="12">
        <v>654685.125</v>
      </c>
      <c r="H1086" s="13">
        <v>0.85</v>
      </c>
      <c r="I1086" s="13"/>
      <c r="J1086" s="13"/>
      <c r="K1086" s="13"/>
      <c r="L1086" s="13"/>
      <c r="M1086" s="13"/>
    </row>
    <row r="1087" spans="2:13" x14ac:dyDescent="0.25">
      <c r="B1087" s="14" t="s">
        <v>174</v>
      </c>
      <c r="C1087" s="14" t="s">
        <v>52</v>
      </c>
      <c r="D1087" t="s">
        <v>141</v>
      </c>
      <c r="E1087" s="16" t="s">
        <v>133</v>
      </c>
      <c r="F1087">
        <v>2030</v>
      </c>
      <c r="G1087" s="12">
        <v>689321.8125</v>
      </c>
      <c r="H1087" s="13">
        <v>0.85</v>
      </c>
      <c r="I1087" s="13"/>
      <c r="J1087" s="13"/>
      <c r="K1087" s="13"/>
      <c r="L1087" s="13"/>
      <c r="M1087" s="13"/>
    </row>
    <row r="1088" spans="2:13" x14ac:dyDescent="0.25">
      <c r="B1088" s="14" t="s">
        <v>174</v>
      </c>
      <c r="C1088" s="14" t="s">
        <v>52</v>
      </c>
      <c r="D1088" t="s">
        <v>138</v>
      </c>
      <c r="E1088" s="16" t="s">
        <v>133</v>
      </c>
      <c r="F1088">
        <v>2026</v>
      </c>
      <c r="G1088" s="12">
        <v>156171</v>
      </c>
      <c r="H1088" s="13">
        <v>0.73</v>
      </c>
      <c r="I1088" s="13">
        <v>0.72</v>
      </c>
      <c r="J1088" s="13"/>
      <c r="K1088" s="13"/>
      <c r="L1088" s="13"/>
      <c r="M1088" s="13"/>
    </row>
    <row r="1089" spans="2:13" x14ac:dyDescent="0.25">
      <c r="B1089" s="14" t="s">
        <v>174</v>
      </c>
      <c r="C1089" s="14" t="s">
        <v>52</v>
      </c>
      <c r="D1089" t="s">
        <v>138</v>
      </c>
      <c r="E1089" s="16" t="s">
        <v>133</v>
      </c>
      <c r="F1089">
        <v>2027</v>
      </c>
      <c r="G1089" s="12">
        <v>155003</v>
      </c>
      <c r="H1089" s="13">
        <v>0.74</v>
      </c>
      <c r="I1089" s="13">
        <v>0.73</v>
      </c>
      <c r="J1089" s="13"/>
      <c r="K1089" s="13"/>
      <c r="L1089" s="13"/>
      <c r="M1089" s="13"/>
    </row>
    <row r="1090" spans="2:13" x14ac:dyDescent="0.25">
      <c r="B1090" s="14" t="s">
        <v>174</v>
      </c>
      <c r="C1090" s="14" t="s">
        <v>52</v>
      </c>
      <c r="D1090" t="s">
        <v>138</v>
      </c>
      <c r="E1090" s="16" t="s">
        <v>133</v>
      </c>
      <c r="F1090">
        <v>2028</v>
      </c>
      <c r="G1090" s="12">
        <v>153939</v>
      </c>
      <c r="H1090" s="13">
        <v>0.75</v>
      </c>
      <c r="I1090" s="13">
        <v>0.74</v>
      </c>
      <c r="J1090" s="13"/>
      <c r="K1090" s="13"/>
      <c r="L1090" s="13"/>
      <c r="M1090" s="13"/>
    </row>
    <row r="1091" spans="2:13" x14ac:dyDescent="0.25">
      <c r="B1091" s="14" t="s">
        <v>174</v>
      </c>
      <c r="C1091" s="14" t="s">
        <v>52</v>
      </c>
      <c r="D1091" t="s">
        <v>138</v>
      </c>
      <c r="E1091" s="16" t="s">
        <v>133</v>
      </c>
      <c r="F1091">
        <v>2029</v>
      </c>
      <c r="G1091" s="12">
        <v>137832</v>
      </c>
      <c r="H1091" s="13">
        <v>0.87</v>
      </c>
      <c r="I1091" s="13">
        <v>0.71725499999999998</v>
      </c>
      <c r="J1091" s="13"/>
      <c r="K1091" s="13"/>
      <c r="L1091" s="13"/>
      <c r="M1091" s="13"/>
    </row>
    <row r="1092" spans="2:13" x14ac:dyDescent="0.25">
      <c r="B1092" s="15" t="s">
        <v>174</v>
      </c>
      <c r="C1092" s="14" t="s">
        <v>52</v>
      </c>
      <c r="D1092" t="s">
        <v>138</v>
      </c>
      <c r="E1092" s="16" t="s">
        <v>133</v>
      </c>
      <c r="F1092">
        <v>2030</v>
      </c>
      <c r="G1092" s="12">
        <v>136878</v>
      </c>
      <c r="H1092" s="13">
        <v>0.87</v>
      </c>
      <c r="I1092" s="13">
        <v>0.72408600000000001</v>
      </c>
      <c r="J1092" s="13"/>
      <c r="K1092" s="13"/>
      <c r="L1092" s="13"/>
      <c r="M1092" s="13"/>
    </row>
    <row r="1093" spans="2:13" x14ac:dyDescent="0.25">
      <c r="B1093" s="14" t="s">
        <v>175</v>
      </c>
      <c r="C1093" s="14" t="s">
        <v>132</v>
      </c>
      <c r="D1093" t="s">
        <v>46</v>
      </c>
      <c r="E1093" s="16" t="s">
        <v>133</v>
      </c>
      <c r="F1093">
        <v>2026</v>
      </c>
      <c r="G1093" s="12">
        <v>167584</v>
      </c>
      <c r="H1093" s="13">
        <v>0.93</v>
      </c>
      <c r="I1093" s="13">
        <v>0.8972</v>
      </c>
      <c r="J1093" s="13">
        <v>0.85</v>
      </c>
      <c r="K1093" s="13">
        <v>0</v>
      </c>
      <c r="L1093" s="13">
        <v>7.0000000000000007E-2</v>
      </c>
      <c r="M1093" s="13">
        <v>0.25</v>
      </c>
    </row>
    <row r="1094" spans="2:13" x14ac:dyDescent="0.25">
      <c r="B1094" s="14" t="s">
        <v>175</v>
      </c>
      <c r="C1094" s="14" t="s">
        <v>132</v>
      </c>
      <c r="D1094" t="s">
        <v>46</v>
      </c>
      <c r="E1094" s="16" t="s">
        <v>133</v>
      </c>
      <c r="F1094">
        <v>2027</v>
      </c>
      <c r="G1094" s="12">
        <v>169506</v>
      </c>
      <c r="H1094" s="13">
        <v>0.62</v>
      </c>
      <c r="I1094" s="13">
        <v>0.59813333329999996</v>
      </c>
      <c r="J1094" s="13">
        <v>0.57106666669999995</v>
      </c>
      <c r="K1094" s="13">
        <v>0</v>
      </c>
      <c r="L1094" s="13">
        <v>7.0000000000000007E-2</v>
      </c>
      <c r="M1094" s="13">
        <v>0.25</v>
      </c>
    </row>
    <row r="1095" spans="2:13" x14ac:dyDescent="0.25">
      <c r="B1095" s="14" t="s">
        <v>175</v>
      </c>
      <c r="C1095" s="14" t="s">
        <v>132</v>
      </c>
      <c r="D1095" t="s">
        <v>46</v>
      </c>
      <c r="E1095" s="16" t="s">
        <v>133</v>
      </c>
      <c r="F1095">
        <v>2028</v>
      </c>
      <c r="G1095" s="12">
        <v>174350.836690853</v>
      </c>
      <c r="H1095" s="13">
        <v>0</v>
      </c>
      <c r="I1095" s="13">
        <v>0</v>
      </c>
      <c r="J1095" s="13">
        <v>0</v>
      </c>
      <c r="K1095" s="13">
        <v>0</v>
      </c>
      <c r="L1095" s="13">
        <v>7.0000000000000007E-2</v>
      </c>
      <c r="M1095" s="13">
        <v>0.25</v>
      </c>
    </row>
    <row r="1096" spans="2:13" x14ac:dyDescent="0.25">
      <c r="B1096" s="14" t="s">
        <v>175</v>
      </c>
      <c r="C1096" s="14" t="s">
        <v>70</v>
      </c>
      <c r="D1096" t="s">
        <v>46</v>
      </c>
      <c r="E1096" s="16" t="s">
        <v>133</v>
      </c>
      <c r="F1096">
        <v>2026</v>
      </c>
      <c r="G1096" s="12">
        <v>167584</v>
      </c>
      <c r="H1096" s="13">
        <v>0.85</v>
      </c>
      <c r="I1096" s="13">
        <v>0</v>
      </c>
      <c r="J1096" s="13">
        <v>0</v>
      </c>
      <c r="K1096" s="13">
        <v>0</v>
      </c>
      <c r="L1096" s="13">
        <v>7.0000000000000007E-2</v>
      </c>
      <c r="M1096" s="13">
        <v>0.25</v>
      </c>
    </row>
    <row r="1097" spans="2:13" x14ac:dyDescent="0.25">
      <c r="B1097" s="14" t="s">
        <v>175</v>
      </c>
      <c r="C1097" s="14" t="s">
        <v>70</v>
      </c>
      <c r="D1097" t="s">
        <v>46</v>
      </c>
      <c r="E1097" s="16" t="s">
        <v>133</v>
      </c>
      <c r="F1097">
        <v>2027</v>
      </c>
      <c r="G1097" s="12">
        <v>169506</v>
      </c>
      <c r="H1097" s="13">
        <v>0.57106666669999995</v>
      </c>
      <c r="I1097" s="13">
        <v>4.4000000000000003E-3</v>
      </c>
      <c r="J1097" s="13">
        <v>4.4000000000000003E-3</v>
      </c>
      <c r="K1097" s="13">
        <v>0</v>
      </c>
      <c r="L1097" s="13">
        <v>7.0000000000000007E-2</v>
      </c>
      <c r="M1097" s="13">
        <v>0.25</v>
      </c>
    </row>
    <row r="1098" spans="2:13" x14ac:dyDescent="0.25">
      <c r="B1098" s="14" t="s">
        <v>175</v>
      </c>
      <c r="C1098" s="14" t="s">
        <v>70</v>
      </c>
      <c r="D1098" t="s">
        <v>46</v>
      </c>
      <c r="E1098" s="16" t="s">
        <v>133</v>
      </c>
      <c r="F1098">
        <v>2028</v>
      </c>
      <c r="G1098" s="12">
        <v>174350.836690853</v>
      </c>
      <c r="H1098" s="13">
        <v>0</v>
      </c>
      <c r="I1098" s="13">
        <v>0</v>
      </c>
      <c r="J1098" s="13">
        <v>0</v>
      </c>
      <c r="K1098" s="13">
        <v>0</v>
      </c>
      <c r="L1098" s="13">
        <v>7.0000000000000007E-2</v>
      </c>
      <c r="M1098" s="13">
        <v>0.25</v>
      </c>
    </row>
    <row r="1099" spans="2:13" x14ac:dyDescent="0.25">
      <c r="B1099" s="14" t="s">
        <v>175</v>
      </c>
      <c r="C1099" s="14" t="s">
        <v>134</v>
      </c>
      <c r="D1099" t="s">
        <v>46</v>
      </c>
      <c r="E1099" s="16" t="s">
        <v>133</v>
      </c>
      <c r="F1099">
        <v>2026</v>
      </c>
      <c r="G1099" s="12">
        <v>170332</v>
      </c>
      <c r="H1099" s="13">
        <v>0</v>
      </c>
      <c r="I1099" s="13">
        <v>0</v>
      </c>
      <c r="J1099" s="13">
        <v>0</v>
      </c>
      <c r="K1099" s="13">
        <v>0</v>
      </c>
      <c r="L1099" s="13">
        <v>7.0000000000000007E-2</v>
      </c>
      <c r="M1099" s="13">
        <v>0.25</v>
      </c>
    </row>
    <row r="1100" spans="2:13" x14ac:dyDescent="0.25">
      <c r="B1100" s="14" t="s">
        <v>175</v>
      </c>
      <c r="C1100" s="14" t="s">
        <v>134</v>
      </c>
      <c r="D1100" t="s">
        <v>46</v>
      </c>
      <c r="E1100" s="16" t="s">
        <v>133</v>
      </c>
      <c r="F1100">
        <v>2027</v>
      </c>
      <c r="G1100" s="12">
        <v>169506</v>
      </c>
      <c r="H1100" s="13">
        <v>0.31333333330000002</v>
      </c>
      <c r="I1100" s="13">
        <v>0.3024</v>
      </c>
      <c r="J1100" s="13">
        <v>0.28666666670000002</v>
      </c>
      <c r="K1100" s="13">
        <v>0</v>
      </c>
      <c r="L1100" s="13">
        <v>7.0000000000000007E-2</v>
      </c>
      <c r="M1100" s="13">
        <v>0.25</v>
      </c>
    </row>
    <row r="1101" spans="2:13" x14ac:dyDescent="0.25">
      <c r="B1101" s="14" t="s">
        <v>175</v>
      </c>
      <c r="C1101" s="14" t="s">
        <v>134</v>
      </c>
      <c r="D1101" t="s">
        <v>46</v>
      </c>
      <c r="E1101" s="16" t="s">
        <v>133</v>
      </c>
      <c r="F1101">
        <v>2028</v>
      </c>
      <c r="G1101" s="12">
        <v>171538</v>
      </c>
      <c r="H1101" s="13">
        <v>0.95</v>
      </c>
      <c r="I1101" s="13">
        <v>0.91720000000000002</v>
      </c>
      <c r="J1101" s="13">
        <v>0.87</v>
      </c>
      <c r="K1101" s="13">
        <v>0</v>
      </c>
      <c r="L1101" s="13">
        <v>7.0000000000000007E-2</v>
      </c>
      <c r="M1101" s="13">
        <v>0.25</v>
      </c>
    </row>
    <row r="1102" spans="2:13" x14ac:dyDescent="0.25">
      <c r="B1102" s="14" t="s">
        <v>175</v>
      </c>
      <c r="C1102" s="14" t="s">
        <v>134</v>
      </c>
      <c r="D1102" t="s">
        <v>46</v>
      </c>
      <c r="E1102" s="16" t="s">
        <v>133</v>
      </c>
      <c r="F1102">
        <v>2029</v>
      </c>
      <c r="G1102" s="12">
        <v>176059.401303227</v>
      </c>
      <c r="H1102" s="13">
        <v>0.70363532289999997</v>
      </c>
      <c r="I1102" s="13">
        <v>0.64582656360000001</v>
      </c>
      <c r="J1102" s="13">
        <v>0.56263834909999999</v>
      </c>
      <c r="K1102" s="13">
        <v>0</v>
      </c>
      <c r="L1102" s="13">
        <v>7.0000000000000007E-2</v>
      </c>
      <c r="M1102" s="13">
        <v>0.25</v>
      </c>
    </row>
    <row r="1103" spans="2:13" x14ac:dyDescent="0.25">
      <c r="B1103" s="14" t="s">
        <v>175</v>
      </c>
      <c r="C1103" s="14" t="s">
        <v>134</v>
      </c>
      <c r="D1103" t="s">
        <v>46</v>
      </c>
      <c r="E1103" s="16" t="s">
        <v>133</v>
      </c>
      <c r="F1103">
        <v>2030</v>
      </c>
      <c r="G1103" s="12">
        <v>176585.89533607001</v>
      </c>
      <c r="H1103" s="13">
        <v>0.71023532290000002</v>
      </c>
      <c r="I1103" s="13">
        <v>0.65242656359999995</v>
      </c>
      <c r="J1103" s="13">
        <v>0.56923834910000004</v>
      </c>
      <c r="K1103" s="13">
        <v>0</v>
      </c>
      <c r="L1103" s="13">
        <v>7.0000000000000007E-2</v>
      </c>
      <c r="M1103" s="13">
        <v>0.25</v>
      </c>
    </row>
    <row r="1104" spans="2:13" x14ac:dyDescent="0.25">
      <c r="B1104" s="14" t="s">
        <v>175</v>
      </c>
      <c r="C1104" s="14" t="s">
        <v>72</v>
      </c>
      <c r="D1104" t="s">
        <v>46</v>
      </c>
      <c r="E1104" s="16" t="s">
        <v>133</v>
      </c>
      <c r="F1104">
        <v>2026</v>
      </c>
      <c r="G1104" s="12">
        <v>167584</v>
      </c>
      <c r="H1104" s="13">
        <v>0.93</v>
      </c>
      <c r="I1104" s="13">
        <v>0.88490000000000002</v>
      </c>
      <c r="J1104" s="13">
        <v>0.82</v>
      </c>
      <c r="K1104" s="13"/>
      <c r="L1104" s="13">
        <v>7.0000000000000007E-2</v>
      </c>
      <c r="M1104" s="13">
        <v>0.25</v>
      </c>
    </row>
    <row r="1105" spans="2:13" x14ac:dyDescent="0.25">
      <c r="B1105" s="14" t="s">
        <v>175</v>
      </c>
      <c r="C1105" s="14" t="s">
        <v>72</v>
      </c>
      <c r="D1105" t="s">
        <v>46</v>
      </c>
      <c r="E1105" s="16" t="s">
        <v>133</v>
      </c>
      <c r="F1105">
        <v>2027</v>
      </c>
      <c r="G1105" s="12">
        <v>169506</v>
      </c>
      <c r="H1105" s="13">
        <v>0.94</v>
      </c>
      <c r="I1105" s="13">
        <v>0.89490000000000003</v>
      </c>
      <c r="J1105" s="13">
        <v>0.83</v>
      </c>
      <c r="K1105" s="13"/>
      <c r="L1105" s="13">
        <v>7.0000000000000007E-2</v>
      </c>
      <c r="M1105" s="13">
        <v>0.25</v>
      </c>
    </row>
    <row r="1106" spans="2:13" x14ac:dyDescent="0.25">
      <c r="B1106" s="14" t="s">
        <v>175</v>
      </c>
      <c r="C1106" s="14" t="s">
        <v>72</v>
      </c>
      <c r="D1106" t="s">
        <v>46</v>
      </c>
      <c r="E1106" s="16" t="s">
        <v>133</v>
      </c>
      <c r="F1106">
        <v>2028</v>
      </c>
      <c r="G1106" s="12">
        <v>171538</v>
      </c>
      <c r="H1106" s="13">
        <v>0.95</v>
      </c>
      <c r="I1106" s="13">
        <v>0.90490000000000004</v>
      </c>
      <c r="J1106" s="13">
        <v>0.84</v>
      </c>
      <c r="K1106" s="13"/>
      <c r="L1106" s="13">
        <v>7.0000000000000007E-2</v>
      </c>
      <c r="M1106" s="13">
        <v>0.25</v>
      </c>
    </row>
    <row r="1107" spans="2:13" x14ac:dyDescent="0.25">
      <c r="B1107" s="14" t="s">
        <v>175</v>
      </c>
      <c r="C1107" s="14" t="s">
        <v>72</v>
      </c>
      <c r="D1107" t="s">
        <v>46</v>
      </c>
      <c r="E1107" s="16" t="s">
        <v>133</v>
      </c>
      <c r="F1107">
        <v>2029</v>
      </c>
      <c r="G1107" s="12">
        <v>176059.401303227</v>
      </c>
      <c r="H1107" s="13">
        <v>0.75219120230000003</v>
      </c>
      <c r="I1107" s="13">
        <v>0.69027771920000003</v>
      </c>
      <c r="J1107" s="13">
        <v>0.60118270699999998</v>
      </c>
      <c r="K1107" s="13"/>
      <c r="L1107" s="13">
        <v>0.08</v>
      </c>
      <c r="M1107" s="13">
        <v>0.25</v>
      </c>
    </row>
    <row r="1108" spans="2:13" x14ac:dyDescent="0.25">
      <c r="B1108" s="14" t="s">
        <v>175</v>
      </c>
      <c r="C1108" s="14" t="s">
        <v>72</v>
      </c>
      <c r="D1108" t="s">
        <v>46</v>
      </c>
      <c r="E1108" s="16" t="s">
        <v>133</v>
      </c>
      <c r="F1108">
        <v>2030</v>
      </c>
      <c r="G1108" s="12">
        <v>176585.89533607001</v>
      </c>
      <c r="H1108" s="13">
        <v>0.75879120229999997</v>
      </c>
      <c r="I1108" s="13">
        <v>0.69687771919999997</v>
      </c>
      <c r="J1108" s="13">
        <v>0.60778270700000003</v>
      </c>
      <c r="K1108" s="13"/>
      <c r="L1108" s="13">
        <v>0.08</v>
      </c>
      <c r="M1108" s="13">
        <v>0.25</v>
      </c>
    </row>
    <row r="1109" spans="2:13" x14ac:dyDescent="0.25">
      <c r="B1109" s="14" t="s">
        <v>175</v>
      </c>
      <c r="C1109" s="14" t="s">
        <v>102</v>
      </c>
      <c r="D1109" t="s">
        <v>46</v>
      </c>
      <c r="E1109" s="16" t="s">
        <v>133</v>
      </c>
      <c r="F1109">
        <v>2026</v>
      </c>
      <c r="G1109" s="12">
        <v>257514</v>
      </c>
      <c r="H1109" s="13">
        <v>0.47821666670000001</v>
      </c>
      <c r="I1109" s="13"/>
      <c r="J1109" s="13"/>
      <c r="K1109" s="13"/>
      <c r="L1109" s="13">
        <v>7.0000000000000007E-2</v>
      </c>
      <c r="M1109" s="13">
        <v>0.25</v>
      </c>
    </row>
    <row r="1110" spans="2:13" x14ac:dyDescent="0.25">
      <c r="B1110" s="14" t="s">
        <v>175</v>
      </c>
      <c r="C1110" s="14" t="s">
        <v>102</v>
      </c>
      <c r="D1110" t="s">
        <v>46</v>
      </c>
      <c r="E1110" s="16" t="s">
        <v>133</v>
      </c>
      <c r="F1110">
        <v>2027</v>
      </c>
      <c r="G1110" s="12">
        <v>260467.395956655</v>
      </c>
      <c r="H1110" s="13">
        <v>0.82640000000000002</v>
      </c>
      <c r="I1110" s="13"/>
      <c r="J1110" s="13"/>
      <c r="K1110" s="13"/>
      <c r="L1110" s="13">
        <v>7.0000000000000007E-2</v>
      </c>
      <c r="M1110" s="13">
        <v>0.25</v>
      </c>
    </row>
    <row r="1111" spans="2:13" x14ac:dyDescent="0.25">
      <c r="B1111" s="14" t="s">
        <v>175</v>
      </c>
      <c r="C1111" s="14" t="s">
        <v>102</v>
      </c>
      <c r="D1111" t="s">
        <v>46</v>
      </c>
      <c r="E1111" s="16" t="s">
        <v>133</v>
      </c>
      <c r="F1111">
        <v>2028</v>
      </c>
      <c r="G1111" s="12">
        <v>263589.82081821602</v>
      </c>
      <c r="H1111" s="13">
        <v>0.83299999999999996</v>
      </c>
      <c r="I1111" s="13"/>
      <c r="J1111" s="13"/>
      <c r="K1111" s="13"/>
      <c r="L1111" s="13">
        <v>7.0000000000000007E-2</v>
      </c>
      <c r="M1111" s="13">
        <v>0.25</v>
      </c>
    </row>
    <row r="1112" spans="2:13" x14ac:dyDescent="0.25">
      <c r="B1112" s="14" t="s">
        <v>175</v>
      </c>
      <c r="C1112" s="14" t="s">
        <v>102</v>
      </c>
      <c r="D1112" t="s">
        <v>46</v>
      </c>
      <c r="E1112" s="16" t="s">
        <v>133</v>
      </c>
      <c r="F1112">
        <v>2029</v>
      </c>
      <c r="G1112" s="12">
        <v>266172.88981048297</v>
      </c>
      <c r="H1112" s="13">
        <v>0.83960000000000001</v>
      </c>
      <c r="I1112" s="13"/>
      <c r="J1112" s="13"/>
      <c r="K1112" s="13"/>
      <c r="L1112" s="13">
        <v>7.0000000000000007E-2</v>
      </c>
      <c r="M1112" s="13">
        <v>0.25</v>
      </c>
    </row>
    <row r="1113" spans="2:13" x14ac:dyDescent="0.25">
      <c r="B1113" s="14" t="s">
        <v>175</v>
      </c>
      <c r="C1113" s="14" t="s">
        <v>102</v>
      </c>
      <c r="D1113" t="s">
        <v>46</v>
      </c>
      <c r="E1113" s="16" t="s">
        <v>133</v>
      </c>
      <c r="F1113">
        <v>2030</v>
      </c>
      <c r="G1113" s="12">
        <v>266968.86228995601</v>
      </c>
      <c r="H1113" s="13">
        <v>0.84619999999999995</v>
      </c>
      <c r="I1113" s="13"/>
      <c r="J1113" s="13"/>
      <c r="K1113" s="13"/>
      <c r="L1113" s="13">
        <v>7.0000000000000007E-2</v>
      </c>
      <c r="M1113" s="13">
        <v>0.25</v>
      </c>
    </row>
    <row r="1114" spans="2:13" x14ac:dyDescent="0.25">
      <c r="B1114" s="14" t="s">
        <v>175</v>
      </c>
      <c r="C1114" s="14" t="s">
        <v>15</v>
      </c>
      <c r="D1114" t="s">
        <v>136</v>
      </c>
      <c r="E1114" s="16" t="s">
        <v>133</v>
      </c>
      <c r="F1114">
        <v>2026</v>
      </c>
      <c r="G1114" s="12">
        <v>0</v>
      </c>
      <c r="H1114" s="13">
        <v>0</v>
      </c>
      <c r="I1114" s="13"/>
      <c r="J1114" s="13"/>
      <c r="K1114" s="13"/>
      <c r="L1114" s="13">
        <v>0.05</v>
      </c>
      <c r="M1114" s="13">
        <v>0.25</v>
      </c>
    </row>
    <row r="1115" spans="2:13" x14ac:dyDescent="0.25">
      <c r="B1115" s="14" t="s">
        <v>175</v>
      </c>
      <c r="C1115" s="14" t="s">
        <v>15</v>
      </c>
      <c r="D1115" t="s">
        <v>46</v>
      </c>
      <c r="E1115" s="16" t="s">
        <v>133</v>
      </c>
      <c r="F1115">
        <v>2026</v>
      </c>
      <c r="G1115" s="12">
        <v>69808</v>
      </c>
      <c r="H1115" s="13">
        <v>0.71</v>
      </c>
      <c r="I1115" s="13"/>
      <c r="J1115" s="13"/>
      <c r="K1115" s="13"/>
      <c r="L1115" s="13">
        <v>0.04</v>
      </c>
      <c r="M1115" s="13">
        <v>0.25</v>
      </c>
    </row>
    <row r="1116" spans="2:13" x14ac:dyDescent="0.25">
      <c r="B1116" s="14" t="s">
        <v>175</v>
      </c>
      <c r="C1116" s="14" t="s">
        <v>15</v>
      </c>
      <c r="D1116" t="s">
        <v>46</v>
      </c>
      <c r="E1116" s="16" t="s">
        <v>133</v>
      </c>
      <c r="F1116">
        <v>2027</v>
      </c>
      <c r="G1116" s="12">
        <v>70829</v>
      </c>
      <c r="H1116" s="13">
        <v>0.71</v>
      </c>
      <c r="I1116" s="13"/>
      <c r="J1116" s="13"/>
      <c r="K1116" s="13"/>
      <c r="L1116" s="13">
        <v>0.04</v>
      </c>
      <c r="M1116" s="13">
        <v>0.25</v>
      </c>
    </row>
    <row r="1117" spans="2:13" x14ac:dyDescent="0.25">
      <c r="B1117" s="14" t="s">
        <v>175</v>
      </c>
      <c r="C1117" s="14" t="s">
        <v>15</v>
      </c>
      <c r="D1117" t="s">
        <v>46</v>
      </c>
      <c r="E1117" s="16" t="s">
        <v>133</v>
      </c>
      <c r="F1117">
        <v>2028</v>
      </c>
      <c r="G1117" s="12">
        <v>71493</v>
      </c>
      <c r="H1117" s="13">
        <v>0.71</v>
      </c>
      <c r="I1117" s="13"/>
      <c r="J1117" s="13"/>
      <c r="K1117" s="13"/>
      <c r="L1117" s="13">
        <v>0.04</v>
      </c>
      <c r="M1117" s="13">
        <v>0.25</v>
      </c>
    </row>
    <row r="1118" spans="2:13" x14ac:dyDescent="0.25">
      <c r="B1118" s="14" t="s">
        <v>175</v>
      </c>
      <c r="C1118" s="14" t="s">
        <v>15</v>
      </c>
      <c r="D1118" t="s">
        <v>46</v>
      </c>
      <c r="E1118" s="16" t="s">
        <v>133</v>
      </c>
      <c r="F1118">
        <v>2029</v>
      </c>
      <c r="G1118" s="12">
        <v>72054</v>
      </c>
      <c r="H1118" s="13">
        <v>0.71</v>
      </c>
      <c r="I1118" s="13"/>
      <c r="J1118" s="13"/>
      <c r="K1118" s="13"/>
      <c r="L1118" s="13">
        <v>0.04</v>
      </c>
      <c r="M1118" s="13">
        <v>0.25</v>
      </c>
    </row>
    <row r="1119" spans="2:13" x14ac:dyDescent="0.25">
      <c r="B1119" s="14" t="s">
        <v>175</v>
      </c>
      <c r="C1119" s="14" t="s">
        <v>15</v>
      </c>
      <c r="D1119" t="s">
        <v>46</v>
      </c>
      <c r="E1119" s="16" t="s">
        <v>133</v>
      </c>
      <c r="F1119">
        <v>2030</v>
      </c>
      <c r="G1119" s="12">
        <v>72705</v>
      </c>
      <c r="H1119" s="13">
        <v>0.71</v>
      </c>
      <c r="I1119" s="13"/>
      <c r="J1119" s="13"/>
      <c r="K1119" s="13"/>
      <c r="L1119" s="13">
        <v>0.04</v>
      </c>
      <c r="M1119" s="13">
        <v>0.25</v>
      </c>
    </row>
    <row r="1120" spans="2:13" x14ac:dyDescent="0.25">
      <c r="B1120" s="14" t="s">
        <v>175</v>
      </c>
      <c r="C1120" s="14" t="s">
        <v>145</v>
      </c>
      <c r="D1120" t="s">
        <v>46</v>
      </c>
      <c r="E1120" s="16" t="s">
        <v>133</v>
      </c>
      <c r="F1120">
        <v>2026</v>
      </c>
      <c r="G1120" s="12">
        <v>118122.202428263</v>
      </c>
      <c r="H1120" s="13">
        <v>0.77070084689999996</v>
      </c>
      <c r="I1120" s="13">
        <v>0.61212925910000004</v>
      </c>
      <c r="J1120" s="13">
        <v>0.62163416149999995</v>
      </c>
      <c r="K1120" s="13">
        <v>0.27483860059999998</v>
      </c>
      <c r="L1120" s="13"/>
      <c r="M1120" s="13">
        <v>0.25</v>
      </c>
    </row>
    <row r="1121" spans="2:13" x14ac:dyDescent="0.25">
      <c r="B1121" s="14" t="s">
        <v>175</v>
      </c>
      <c r="C1121" s="14" t="s">
        <v>145</v>
      </c>
      <c r="D1121" t="s">
        <v>46</v>
      </c>
      <c r="E1121" s="16" t="s">
        <v>133</v>
      </c>
      <c r="F1121">
        <v>2027</v>
      </c>
      <c r="G1121" s="12">
        <v>113025.292998613</v>
      </c>
      <c r="H1121" s="13">
        <v>0.77570084689999996</v>
      </c>
      <c r="I1121" s="13">
        <v>0.61712925910000005</v>
      </c>
      <c r="J1121" s="13">
        <v>0.62663416149999995</v>
      </c>
      <c r="K1121" s="13">
        <v>0.27983860059999999</v>
      </c>
      <c r="L1121" s="13"/>
      <c r="M1121" s="13">
        <v>0.25</v>
      </c>
    </row>
    <row r="1122" spans="2:13" x14ac:dyDescent="0.25">
      <c r="B1122" s="14" t="s">
        <v>175</v>
      </c>
      <c r="C1122" s="14" t="s">
        <v>145</v>
      </c>
      <c r="D1122" t="s">
        <v>46</v>
      </c>
      <c r="E1122" s="16" t="s">
        <v>133</v>
      </c>
      <c r="F1122">
        <v>2028</v>
      </c>
      <c r="G1122" s="12">
        <v>106962.483565606</v>
      </c>
      <c r="H1122" s="13">
        <v>0.78070084689999997</v>
      </c>
      <c r="I1122" s="13">
        <v>0.62212925910000005</v>
      </c>
      <c r="J1122" s="13">
        <v>0.63163416149999996</v>
      </c>
      <c r="K1122" s="13">
        <v>0.28483860059999999</v>
      </c>
      <c r="L1122" s="13"/>
      <c r="M1122" s="13">
        <v>0.25</v>
      </c>
    </row>
    <row r="1123" spans="2:13" x14ac:dyDescent="0.25">
      <c r="B1123" s="14" t="s">
        <v>175</v>
      </c>
      <c r="C1123" s="14" t="s">
        <v>145</v>
      </c>
      <c r="D1123" t="s">
        <v>46</v>
      </c>
      <c r="E1123" s="16" t="s">
        <v>133</v>
      </c>
      <c r="F1123">
        <v>2029</v>
      </c>
      <c r="G1123" s="12">
        <v>100468.38866060499</v>
      </c>
      <c r="H1123" s="13">
        <v>0.78570084689999997</v>
      </c>
      <c r="I1123" s="13">
        <v>0.62712925909999995</v>
      </c>
      <c r="J1123" s="13">
        <v>0.63663416149999996</v>
      </c>
      <c r="K1123" s="13">
        <v>0.2898386006</v>
      </c>
      <c r="L1123" s="13"/>
      <c r="M1123" s="13">
        <v>0.25</v>
      </c>
    </row>
    <row r="1124" spans="2:13" x14ac:dyDescent="0.25">
      <c r="B1124" s="14" t="s">
        <v>175</v>
      </c>
      <c r="C1124" s="14" t="s">
        <v>145</v>
      </c>
      <c r="D1124" t="s">
        <v>46</v>
      </c>
      <c r="E1124" s="16" t="s">
        <v>133</v>
      </c>
      <c r="F1124">
        <v>2030</v>
      </c>
      <c r="G1124" s="12">
        <v>101808.457872739</v>
      </c>
      <c r="H1124" s="13">
        <v>0.79070084689999998</v>
      </c>
      <c r="I1124" s="13">
        <v>0.63212925909999995</v>
      </c>
      <c r="J1124" s="13">
        <v>0.64163416149999997</v>
      </c>
      <c r="K1124" s="13">
        <v>0.2948386006</v>
      </c>
      <c r="L1124" s="13"/>
      <c r="M1124" s="13">
        <v>0.25</v>
      </c>
    </row>
    <row r="1125" spans="2:13" x14ac:dyDescent="0.25">
      <c r="B1125" s="14" t="s">
        <v>175</v>
      </c>
      <c r="C1125" s="14" t="s">
        <v>121</v>
      </c>
      <c r="D1125" t="s">
        <v>138</v>
      </c>
      <c r="E1125" s="16" t="s">
        <v>133</v>
      </c>
      <c r="F1125">
        <v>2026</v>
      </c>
      <c r="G1125" s="12">
        <v>170332</v>
      </c>
      <c r="H1125" s="13">
        <v>0.71</v>
      </c>
      <c r="I1125" s="13">
        <v>0.33</v>
      </c>
      <c r="J1125" s="13"/>
      <c r="K1125" s="13"/>
      <c r="L1125" s="13"/>
      <c r="M1125" s="13"/>
    </row>
    <row r="1126" spans="2:13" x14ac:dyDescent="0.25">
      <c r="B1126" s="14" t="s">
        <v>175</v>
      </c>
      <c r="C1126" s="14" t="s">
        <v>121</v>
      </c>
      <c r="D1126" t="s">
        <v>138</v>
      </c>
      <c r="E1126" s="16" t="s">
        <v>133</v>
      </c>
      <c r="F1126">
        <v>2027</v>
      </c>
      <c r="G1126" s="12">
        <v>172632</v>
      </c>
      <c r="H1126" s="13">
        <v>0.72</v>
      </c>
      <c r="I1126" s="13">
        <v>0.34</v>
      </c>
      <c r="J1126" s="13"/>
      <c r="K1126" s="13"/>
      <c r="L1126" s="13"/>
      <c r="M1126" s="13"/>
    </row>
    <row r="1127" spans="2:13" x14ac:dyDescent="0.25">
      <c r="B1127" s="14" t="s">
        <v>175</v>
      </c>
      <c r="C1127" s="14" t="s">
        <v>52</v>
      </c>
      <c r="D1127" t="s">
        <v>137</v>
      </c>
      <c r="E1127" s="16" t="s">
        <v>133</v>
      </c>
      <c r="F1127">
        <v>2027</v>
      </c>
      <c r="G1127" s="12">
        <v>1630576.0227272699</v>
      </c>
      <c r="H1127" s="13">
        <v>0.85</v>
      </c>
      <c r="I1127" s="13"/>
      <c r="J1127" s="13"/>
      <c r="K1127" s="13"/>
      <c r="L1127" s="13"/>
      <c r="M1127" s="13"/>
    </row>
    <row r="1128" spans="2:13" x14ac:dyDescent="0.25">
      <c r="B1128" s="14" t="s">
        <v>175</v>
      </c>
      <c r="C1128" s="14" t="s">
        <v>52</v>
      </c>
      <c r="D1128" t="s">
        <v>141</v>
      </c>
      <c r="E1128" s="16" t="s">
        <v>133</v>
      </c>
      <c r="F1128">
        <v>2030</v>
      </c>
      <c r="G1128" s="12">
        <v>746212.5</v>
      </c>
      <c r="H1128" s="13">
        <v>0.85</v>
      </c>
      <c r="I1128" s="13"/>
      <c r="J1128" s="13"/>
      <c r="K1128" s="13"/>
      <c r="L1128" s="13"/>
      <c r="M1128" s="13"/>
    </row>
    <row r="1129" spans="2:13" x14ac:dyDescent="0.25">
      <c r="B1129" s="14" t="s">
        <v>175</v>
      </c>
      <c r="C1129" s="14" t="s">
        <v>52</v>
      </c>
      <c r="D1129" t="s">
        <v>138</v>
      </c>
      <c r="E1129" s="16" t="s">
        <v>133</v>
      </c>
      <c r="F1129">
        <v>2028</v>
      </c>
      <c r="G1129" s="12">
        <v>171538</v>
      </c>
      <c r="H1129" s="13">
        <v>0.86</v>
      </c>
      <c r="I1129" s="13">
        <v>0.64</v>
      </c>
      <c r="J1129" s="13"/>
      <c r="K1129" s="13"/>
      <c r="L1129" s="13"/>
      <c r="M1129" s="13"/>
    </row>
    <row r="1130" spans="2:13" x14ac:dyDescent="0.25">
      <c r="B1130" s="14" t="s">
        <v>175</v>
      </c>
      <c r="C1130" s="14" t="s">
        <v>52</v>
      </c>
      <c r="D1130" t="s">
        <v>138</v>
      </c>
      <c r="E1130" s="16" t="s">
        <v>133</v>
      </c>
      <c r="F1130">
        <v>2029</v>
      </c>
      <c r="G1130" s="12">
        <v>176413</v>
      </c>
      <c r="H1130" s="13">
        <v>0.72</v>
      </c>
      <c r="I1130" s="13">
        <v>0.35189999999999999</v>
      </c>
      <c r="J1130" s="13"/>
      <c r="K1130" s="13"/>
      <c r="L1130" s="13"/>
      <c r="M1130" s="13"/>
    </row>
    <row r="1131" spans="2:13" x14ac:dyDescent="0.25">
      <c r="B1131" s="14" t="s">
        <v>175</v>
      </c>
      <c r="C1131" s="14" t="s">
        <v>52</v>
      </c>
      <c r="D1131" t="s">
        <v>138</v>
      </c>
      <c r="E1131" s="16" t="s">
        <v>133</v>
      </c>
      <c r="F1131">
        <v>2030</v>
      </c>
      <c r="G1131" s="12">
        <v>176941</v>
      </c>
      <c r="H1131" s="13">
        <v>0.72</v>
      </c>
      <c r="I1131" s="13">
        <v>0.35189999999999999</v>
      </c>
      <c r="J1131" s="13"/>
      <c r="K1131" s="13"/>
      <c r="L1131" s="13"/>
      <c r="M1131" s="13"/>
    </row>
    <row r="1132" spans="2:13" x14ac:dyDescent="0.25">
      <c r="B1132" s="14" t="s">
        <v>175</v>
      </c>
      <c r="C1132" s="14" t="s">
        <v>139</v>
      </c>
      <c r="D1132" t="s">
        <v>46</v>
      </c>
      <c r="E1132" s="16" t="s">
        <v>133</v>
      </c>
      <c r="F1132">
        <v>2026</v>
      </c>
      <c r="G1132" s="12">
        <v>170332</v>
      </c>
      <c r="H1132" s="13">
        <v>0.97</v>
      </c>
      <c r="I1132" s="13">
        <v>0.87</v>
      </c>
      <c r="J1132" s="13">
        <v>0</v>
      </c>
      <c r="K1132" s="13"/>
      <c r="L1132" s="13">
        <v>0.04</v>
      </c>
      <c r="M1132" s="13">
        <v>0.25</v>
      </c>
    </row>
    <row r="1133" spans="2:13" x14ac:dyDescent="0.25">
      <c r="B1133" s="14" t="s">
        <v>175</v>
      </c>
      <c r="C1133" s="14" t="s">
        <v>139</v>
      </c>
      <c r="D1133" t="s">
        <v>46</v>
      </c>
      <c r="E1133" s="16" t="s">
        <v>133</v>
      </c>
      <c r="F1133">
        <v>2027</v>
      </c>
      <c r="G1133" s="12">
        <v>172632</v>
      </c>
      <c r="H1133" s="13">
        <v>0.98</v>
      </c>
      <c r="I1133" s="13">
        <v>0.88</v>
      </c>
      <c r="J1133" s="13">
        <v>0</v>
      </c>
      <c r="K1133" s="13"/>
      <c r="L1133" s="13">
        <v>0.04</v>
      </c>
      <c r="M1133" s="13">
        <v>0.25</v>
      </c>
    </row>
    <row r="1134" spans="2:13" x14ac:dyDescent="0.25">
      <c r="B1134" s="14" t="s">
        <v>175</v>
      </c>
      <c r="C1134" s="14" t="s">
        <v>139</v>
      </c>
      <c r="D1134" t="s">
        <v>46</v>
      </c>
      <c r="E1134" s="16" t="s">
        <v>133</v>
      </c>
      <c r="F1134">
        <v>2028</v>
      </c>
      <c r="G1134" s="12">
        <v>174701</v>
      </c>
      <c r="H1134" s="13">
        <v>0.98</v>
      </c>
      <c r="I1134" s="13">
        <v>0.88</v>
      </c>
      <c r="J1134" s="13">
        <v>0</v>
      </c>
      <c r="K1134" s="13"/>
      <c r="L1134" s="13">
        <v>0.04</v>
      </c>
      <c r="M1134" s="13">
        <v>0.25</v>
      </c>
    </row>
    <row r="1135" spans="2:13" x14ac:dyDescent="0.25">
      <c r="B1135" s="14" t="s">
        <v>175</v>
      </c>
      <c r="C1135" s="14" t="s">
        <v>139</v>
      </c>
      <c r="D1135" t="s">
        <v>46</v>
      </c>
      <c r="E1135" s="16" t="s">
        <v>133</v>
      </c>
      <c r="F1135">
        <v>2029</v>
      </c>
      <c r="G1135" s="12">
        <v>176059.401303227</v>
      </c>
      <c r="H1135" s="13">
        <v>0.97</v>
      </c>
      <c r="I1135" s="13">
        <v>0.88980000000000004</v>
      </c>
      <c r="J1135" s="13">
        <v>0</v>
      </c>
      <c r="K1135" s="13"/>
      <c r="L1135" s="13">
        <v>0.04</v>
      </c>
      <c r="M1135" s="13">
        <v>0.25</v>
      </c>
    </row>
    <row r="1136" spans="2:13" x14ac:dyDescent="0.25">
      <c r="B1136" s="14" t="s">
        <v>175</v>
      </c>
      <c r="C1136" s="14" t="s">
        <v>139</v>
      </c>
      <c r="D1136" t="s">
        <v>46</v>
      </c>
      <c r="E1136" s="16" t="s">
        <v>133</v>
      </c>
      <c r="F1136">
        <v>2030</v>
      </c>
      <c r="G1136" s="12">
        <v>176585.89533607001</v>
      </c>
      <c r="H1136" s="13">
        <v>0.97</v>
      </c>
      <c r="I1136" s="13">
        <v>0.89639999999999997</v>
      </c>
      <c r="J1136" s="13">
        <v>0</v>
      </c>
      <c r="K1136" s="13"/>
      <c r="L1136" s="13">
        <v>0.04</v>
      </c>
      <c r="M1136" s="13">
        <v>0.25</v>
      </c>
    </row>
    <row r="1137" spans="2:13" x14ac:dyDescent="0.25">
      <c r="B1137" s="14" t="s">
        <v>175</v>
      </c>
      <c r="C1137" s="14" t="s">
        <v>101</v>
      </c>
      <c r="D1137" t="s">
        <v>46</v>
      </c>
      <c r="E1137" s="16" t="s">
        <v>133</v>
      </c>
      <c r="F1137">
        <v>2026</v>
      </c>
      <c r="G1137" s="12">
        <v>170332</v>
      </c>
      <c r="H1137" s="13">
        <v>0.88</v>
      </c>
      <c r="I1137" s="13"/>
      <c r="J1137" s="13"/>
      <c r="K1137" s="13"/>
      <c r="L1137" s="13">
        <v>0.1</v>
      </c>
      <c r="M1137" s="13">
        <v>0.25</v>
      </c>
    </row>
    <row r="1138" spans="2:13" x14ac:dyDescent="0.25">
      <c r="B1138" s="14" t="s">
        <v>175</v>
      </c>
      <c r="C1138" s="14" t="s">
        <v>101</v>
      </c>
      <c r="D1138" t="s">
        <v>46</v>
      </c>
      <c r="E1138" s="16" t="s">
        <v>133</v>
      </c>
      <c r="F1138">
        <v>2027</v>
      </c>
      <c r="G1138" s="12">
        <v>172632</v>
      </c>
      <c r="H1138" s="13">
        <v>0.89</v>
      </c>
      <c r="I1138" s="13"/>
      <c r="J1138" s="13"/>
      <c r="K1138" s="13"/>
      <c r="L1138" s="13">
        <v>0.1</v>
      </c>
      <c r="M1138" s="13">
        <v>0.25</v>
      </c>
    </row>
    <row r="1139" spans="2:13" x14ac:dyDescent="0.25">
      <c r="B1139" s="14" t="s">
        <v>175</v>
      </c>
      <c r="C1139" s="14" t="s">
        <v>101</v>
      </c>
      <c r="D1139" t="s">
        <v>46</v>
      </c>
      <c r="E1139" s="16" t="s">
        <v>133</v>
      </c>
      <c r="F1139">
        <v>2028</v>
      </c>
      <c r="G1139" s="12">
        <v>174701</v>
      </c>
      <c r="H1139" s="13">
        <v>0.89</v>
      </c>
      <c r="I1139" s="13"/>
      <c r="J1139" s="13"/>
      <c r="K1139" s="13"/>
      <c r="L1139" s="13">
        <v>0.1</v>
      </c>
      <c r="M1139" s="13">
        <v>0.25</v>
      </c>
    </row>
    <row r="1140" spans="2:13" x14ac:dyDescent="0.25">
      <c r="B1140" s="14" t="s">
        <v>175</v>
      </c>
      <c r="C1140" s="14" t="s">
        <v>101</v>
      </c>
      <c r="D1140" t="s">
        <v>46</v>
      </c>
      <c r="E1140" s="16" t="s">
        <v>133</v>
      </c>
      <c r="F1140">
        <v>2029</v>
      </c>
      <c r="G1140" s="12">
        <v>174110.89316359101</v>
      </c>
      <c r="H1140" s="13">
        <v>0.89980000000000004</v>
      </c>
      <c r="I1140" s="13"/>
      <c r="J1140" s="13"/>
      <c r="K1140" s="13"/>
      <c r="L1140" s="13">
        <v>0.1</v>
      </c>
      <c r="M1140" s="13">
        <v>0.25</v>
      </c>
    </row>
    <row r="1141" spans="2:13" x14ac:dyDescent="0.25">
      <c r="B1141" s="14" t="s">
        <v>175</v>
      </c>
      <c r="C1141" s="14" t="s">
        <v>101</v>
      </c>
      <c r="D1141" t="s">
        <v>46</v>
      </c>
      <c r="E1141" s="16" t="s">
        <v>133</v>
      </c>
      <c r="F1141">
        <v>2030</v>
      </c>
      <c r="G1141" s="12">
        <v>175389.06353444001</v>
      </c>
      <c r="H1141" s="13">
        <v>0.90639999999999998</v>
      </c>
      <c r="I1141" s="13"/>
      <c r="J1141" s="13"/>
      <c r="K1141" s="13"/>
      <c r="L1141" s="13">
        <v>0.1</v>
      </c>
      <c r="M1141" s="13">
        <v>0.25</v>
      </c>
    </row>
    <row r="1142" spans="2:13" x14ac:dyDescent="0.25">
      <c r="B1142" s="14" t="s">
        <v>175</v>
      </c>
      <c r="C1142" s="14" t="s">
        <v>74</v>
      </c>
      <c r="D1142" t="s">
        <v>46</v>
      </c>
      <c r="E1142" s="16" t="s">
        <v>133</v>
      </c>
      <c r="F1142">
        <v>2026</v>
      </c>
      <c r="G1142" s="12">
        <v>170332</v>
      </c>
      <c r="H1142" s="13">
        <v>0.88</v>
      </c>
      <c r="I1142" s="13"/>
      <c r="J1142" s="13"/>
      <c r="K1142" s="13"/>
      <c r="L1142" s="13">
        <v>0.2</v>
      </c>
      <c r="M1142" s="13">
        <v>0.25</v>
      </c>
    </row>
    <row r="1143" spans="2:13" x14ac:dyDescent="0.25">
      <c r="B1143" s="14" t="s">
        <v>175</v>
      </c>
      <c r="C1143" s="14" t="s">
        <v>74</v>
      </c>
      <c r="D1143" t="s">
        <v>46</v>
      </c>
      <c r="E1143" s="16" t="s">
        <v>133</v>
      </c>
      <c r="F1143">
        <v>2027</v>
      </c>
      <c r="G1143" s="12">
        <v>172632</v>
      </c>
      <c r="H1143" s="13">
        <v>0.89</v>
      </c>
      <c r="I1143" s="13"/>
      <c r="J1143" s="13"/>
      <c r="K1143" s="13"/>
      <c r="L1143" s="13">
        <v>0.2</v>
      </c>
      <c r="M1143" s="13">
        <v>0.25</v>
      </c>
    </row>
    <row r="1144" spans="2:13" x14ac:dyDescent="0.25">
      <c r="B1144" s="14" t="s">
        <v>175</v>
      </c>
      <c r="C1144" s="14" t="s">
        <v>74</v>
      </c>
      <c r="D1144" t="s">
        <v>46</v>
      </c>
      <c r="E1144" s="16" t="s">
        <v>133</v>
      </c>
      <c r="F1144">
        <v>2028</v>
      </c>
      <c r="G1144" s="12">
        <v>174701</v>
      </c>
      <c r="H1144" s="13">
        <v>0.89</v>
      </c>
      <c r="I1144" s="13"/>
      <c r="J1144" s="13"/>
      <c r="K1144" s="13"/>
      <c r="L1144" s="13">
        <v>0.2</v>
      </c>
      <c r="M1144" s="13">
        <v>0.25</v>
      </c>
    </row>
    <row r="1145" spans="2:13" x14ac:dyDescent="0.25">
      <c r="B1145" s="14" t="s">
        <v>175</v>
      </c>
      <c r="C1145" s="14" t="s">
        <v>74</v>
      </c>
      <c r="D1145" t="s">
        <v>46</v>
      </c>
      <c r="E1145" s="16" t="s">
        <v>133</v>
      </c>
      <c r="F1145">
        <v>2029</v>
      </c>
      <c r="G1145" s="12">
        <v>176413</v>
      </c>
      <c r="H1145" s="13">
        <v>0.89</v>
      </c>
      <c r="I1145" s="13"/>
      <c r="J1145" s="13"/>
      <c r="K1145" s="13"/>
      <c r="L1145" s="13">
        <v>0.2</v>
      </c>
      <c r="M1145" s="13">
        <v>0.25</v>
      </c>
    </row>
    <row r="1146" spans="2:13" x14ac:dyDescent="0.25">
      <c r="B1146" s="15" t="s">
        <v>175</v>
      </c>
      <c r="C1146" s="14" t="s">
        <v>74</v>
      </c>
      <c r="D1146" t="s">
        <v>46</v>
      </c>
      <c r="E1146" s="16" t="s">
        <v>133</v>
      </c>
      <c r="F1146">
        <v>2030</v>
      </c>
      <c r="G1146" s="12">
        <v>176941</v>
      </c>
      <c r="H1146" s="13">
        <v>0.89</v>
      </c>
      <c r="I1146" s="13"/>
      <c r="J1146" s="13"/>
      <c r="K1146" s="13"/>
      <c r="L1146" s="13">
        <v>0.2</v>
      </c>
      <c r="M1146" s="13">
        <v>0.25</v>
      </c>
    </row>
    <row r="1147" spans="2:13" x14ac:dyDescent="0.25">
      <c r="B1147" s="14" t="s">
        <v>176</v>
      </c>
      <c r="C1147" s="14" t="s">
        <v>70</v>
      </c>
      <c r="D1147" t="s">
        <v>46</v>
      </c>
      <c r="E1147" s="16" t="s">
        <v>133</v>
      </c>
      <c r="F1147">
        <v>2026</v>
      </c>
      <c r="G1147" s="12">
        <v>315183</v>
      </c>
      <c r="H1147" s="13">
        <v>0.99</v>
      </c>
      <c r="I1147" s="13">
        <v>0.99</v>
      </c>
      <c r="J1147" s="13">
        <v>0</v>
      </c>
      <c r="K1147" s="13">
        <v>0</v>
      </c>
      <c r="L1147" s="13">
        <v>0.15</v>
      </c>
      <c r="M1147" s="13">
        <v>0.25</v>
      </c>
    </row>
    <row r="1148" spans="2:13" x14ac:dyDescent="0.25">
      <c r="B1148" s="14" t="s">
        <v>176</v>
      </c>
      <c r="C1148" s="14" t="s">
        <v>70</v>
      </c>
      <c r="D1148" t="s">
        <v>46</v>
      </c>
      <c r="E1148" s="16" t="s">
        <v>133</v>
      </c>
      <c r="F1148">
        <v>2027</v>
      </c>
      <c r="G1148" s="12">
        <v>313625</v>
      </c>
      <c r="H1148" s="13">
        <v>0.99</v>
      </c>
      <c r="I1148" s="13">
        <v>0.99</v>
      </c>
      <c r="J1148" s="13">
        <v>6.6E-3</v>
      </c>
      <c r="K1148" s="13">
        <v>0</v>
      </c>
      <c r="L1148" s="13">
        <v>0.15</v>
      </c>
      <c r="M1148" s="13">
        <v>0.25</v>
      </c>
    </row>
    <row r="1149" spans="2:13" x14ac:dyDescent="0.25">
      <c r="B1149" s="14" t="s">
        <v>176</v>
      </c>
      <c r="C1149" s="14" t="s">
        <v>70</v>
      </c>
      <c r="D1149" t="s">
        <v>46</v>
      </c>
      <c r="E1149" s="16" t="s">
        <v>133</v>
      </c>
      <c r="F1149">
        <v>2028</v>
      </c>
      <c r="G1149" s="12">
        <v>312078</v>
      </c>
      <c r="H1149" s="13">
        <v>0.99</v>
      </c>
      <c r="I1149" s="13">
        <v>0.99</v>
      </c>
      <c r="J1149" s="13">
        <v>1.32E-2</v>
      </c>
      <c r="K1149" s="13">
        <v>0</v>
      </c>
      <c r="L1149" s="13">
        <v>0.15</v>
      </c>
      <c r="M1149" s="13">
        <v>0.25</v>
      </c>
    </row>
    <row r="1150" spans="2:13" x14ac:dyDescent="0.25">
      <c r="B1150" s="14" t="s">
        <v>176</v>
      </c>
      <c r="C1150" s="14" t="s">
        <v>70</v>
      </c>
      <c r="D1150" t="s">
        <v>46</v>
      </c>
      <c r="E1150" s="16" t="s">
        <v>133</v>
      </c>
      <c r="F1150">
        <v>2029</v>
      </c>
      <c r="G1150" s="12">
        <v>310859</v>
      </c>
      <c r="H1150" s="13">
        <v>0.99</v>
      </c>
      <c r="I1150" s="13">
        <v>0.99</v>
      </c>
      <c r="J1150" s="13">
        <v>1.9800000000000002E-2</v>
      </c>
      <c r="K1150" s="13">
        <v>0</v>
      </c>
      <c r="L1150" s="13">
        <v>0.15</v>
      </c>
      <c r="M1150" s="13">
        <v>0.25</v>
      </c>
    </row>
    <row r="1151" spans="2:13" x14ac:dyDescent="0.25">
      <c r="B1151" s="15" t="s">
        <v>176</v>
      </c>
      <c r="C1151" s="14" t="s">
        <v>70</v>
      </c>
      <c r="D1151" t="s">
        <v>46</v>
      </c>
      <c r="E1151" s="16" t="s">
        <v>133</v>
      </c>
      <c r="F1151">
        <v>2030</v>
      </c>
      <c r="G1151" s="12">
        <v>310004</v>
      </c>
      <c r="H1151" s="13">
        <v>0.99</v>
      </c>
      <c r="I1151" s="13">
        <v>0.99</v>
      </c>
      <c r="J1151" s="13">
        <v>2.64E-2</v>
      </c>
      <c r="K1151" s="13">
        <v>0</v>
      </c>
      <c r="L1151" s="13">
        <v>0.15</v>
      </c>
      <c r="M1151" s="13">
        <v>0.25</v>
      </c>
    </row>
    <row r="1152" spans="2:13" x14ac:dyDescent="0.25">
      <c r="B1152" s="14" t="s">
        <v>177</v>
      </c>
      <c r="C1152" s="14" t="s">
        <v>132</v>
      </c>
      <c r="D1152" t="s">
        <v>46</v>
      </c>
      <c r="E1152" s="16" t="s">
        <v>133</v>
      </c>
      <c r="F1152">
        <v>2026</v>
      </c>
      <c r="G1152" s="12">
        <v>28761</v>
      </c>
      <c r="H1152" s="13">
        <v>0.95</v>
      </c>
      <c r="I1152" s="13">
        <v>0.92949999999999999</v>
      </c>
      <c r="J1152" s="13">
        <v>0.9</v>
      </c>
      <c r="K1152" s="13">
        <v>0</v>
      </c>
      <c r="L1152" s="13">
        <v>7.0000000000000007E-2</v>
      </c>
      <c r="M1152" s="13">
        <v>0.25</v>
      </c>
    </row>
    <row r="1153" spans="2:13" x14ac:dyDescent="0.25">
      <c r="B1153" s="14" t="s">
        <v>177</v>
      </c>
      <c r="C1153" s="14" t="s">
        <v>132</v>
      </c>
      <c r="D1153" t="s">
        <v>46</v>
      </c>
      <c r="E1153" s="16" t="s">
        <v>133</v>
      </c>
      <c r="F1153">
        <v>2027</v>
      </c>
      <c r="G1153" s="12">
        <v>28720.338831291199</v>
      </c>
      <c r="H1153" s="13">
        <v>0.95660000000000001</v>
      </c>
      <c r="I1153" s="13">
        <v>0.93610000000000004</v>
      </c>
      <c r="J1153" s="13">
        <v>0.90659999999999996</v>
      </c>
      <c r="K1153" s="13">
        <v>0</v>
      </c>
      <c r="L1153" s="13">
        <v>7.0000000000000007E-2</v>
      </c>
      <c r="M1153" s="13">
        <v>0.25</v>
      </c>
    </row>
    <row r="1154" spans="2:13" x14ac:dyDescent="0.25">
      <c r="B1154" s="14" t="s">
        <v>177</v>
      </c>
      <c r="C1154" s="14" t="s">
        <v>132</v>
      </c>
      <c r="D1154" t="s">
        <v>46</v>
      </c>
      <c r="E1154" s="16" t="s">
        <v>133</v>
      </c>
      <c r="F1154">
        <v>2028</v>
      </c>
      <c r="G1154" s="12">
        <v>28704.0743638077</v>
      </c>
      <c r="H1154" s="13">
        <v>0.96319999999999995</v>
      </c>
      <c r="I1154" s="13">
        <v>0.94269999999999998</v>
      </c>
      <c r="J1154" s="13">
        <v>0.91320000000000001</v>
      </c>
      <c r="K1154" s="13">
        <v>0</v>
      </c>
      <c r="L1154" s="13">
        <v>7.0000000000000007E-2</v>
      </c>
      <c r="M1154" s="13">
        <v>0.25</v>
      </c>
    </row>
    <row r="1155" spans="2:13" x14ac:dyDescent="0.25">
      <c r="B1155" s="14" t="s">
        <v>177</v>
      </c>
      <c r="C1155" s="14" t="s">
        <v>132</v>
      </c>
      <c r="D1155" t="s">
        <v>46</v>
      </c>
      <c r="E1155" s="16" t="s">
        <v>133</v>
      </c>
      <c r="F1155">
        <v>2029</v>
      </c>
      <c r="G1155" s="12">
        <v>28728.471065033002</v>
      </c>
      <c r="H1155" s="13">
        <v>0.9698</v>
      </c>
      <c r="I1155" s="13">
        <v>0.94930000000000003</v>
      </c>
      <c r="J1155" s="13">
        <v>0.91979999999999995</v>
      </c>
      <c r="K1155" s="13">
        <v>0</v>
      </c>
      <c r="L1155" s="13">
        <v>7.0000000000000007E-2</v>
      </c>
      <c r="M1155" s="13">
        <v>0.25</v>
      </c>
    </row>
    <row r="1156" spans="2:13" x14ac:dyDescent="0.25">
      <c r="B1156" s="14" t="s">
        <v>177</v>
      </c>
      <c r="C1156" s="14" t="s">
        <v>132</v>
      </c>
      <c r="D1156" t="s">
        <v>46</v>
      </c>
      <c r="E1156" s="16" t="s">
        <v>133</v>
      </c>
      <c r="F1156">
        <v>2030</v>
      </c>
      <c r="G1156" s="12">
        <v>28759.3735532516</v>
      </c>
      <c r="H1156" s="13">
        <v>0.97640000000000005</v>
      </c>
      <c r="I1156" s="13">
        <v>0.95589999999999997</v>
      </c>
      <c r="J1156" s="13">
        <v>0.9264</v>
      </c>
      <c r="K1156" s="13">
        <v>0</v>
      </c>
      <c r="L1156" s="13">
        <v>7.0000000000000007E-2</v>
      </c>
      <c r="M1156" s="13">
        <v>0.25</v>
      </c>
    </row>
    <row r="1157" spans="2:13" x14ac:dyDescent="0.25">
      <c r="B1157" s="14" t="s">
        <v>177</v>
      </c>
      <c r="C1157" s="14" t="s">
        <v>70</v>
      </c>
      <c r="D1157" t="s">
        <v>46</v>
      </c>
      <c r="E1157" s="16" t="s">
        <v>133</v>
      </c>
      <c r="F1157">
        <v>2026</v>
      </c>
      <c r="G1157" s="12">
        <v>28761</v>
      </c>
      <c r="H1157" s="13">
        <v>0.9</v>
      </c>
      <c r="I1157" s="13">
        <v>0.9</v>
      </c>
      <c r="J1157" s="13">
        <v>0</v>
      </c>
      <c r="K1157" s="13">
        <v>0</v>
      </c>
      <c r="L1157" s="13">
        <v>0.05</v>
      </c>
      <c r="M1157" s="13">
        <v>0.25</v>
      </c>
    </row>
    <row r="1158" spans="2:13" x14ac:dyDescent="0.25">
      <c r="B1158" s="14" t="s">
        <v>177</v>
      </c>
      <c r="C1158" s="14" t="s">
        <v>70</v>
      </c>
      <c r="D1158" t="s">
        <v>46</v>
      </c>
      <c r="E1158" s="16" t="s">
        <v>133</v>
      </c>
      <c r="F1158">
        <v>2027</v>
      </c>
      <c r="G1158" s="12">
        <v>28720.338831291199</v>
      </c>
      <c r="H1158" s="13">
        <v>0.90659999999999996</v>
      </c>
      <c r="I1158" s="13">
        <v>0.90659999999999996</v>
      </c>
      <c r="J1158" s="13">
        <v>6.6E-3</v>
      </c>
      <c r="K1158" s="13">
        <v>0</v>
      </c>
      <c r="L1158" s="13">
        <v>7.0000000000000007E-2</v>
      </c>
      <c r="M1158" s="13">
        <v>0.25</v>
      </c>
    </row>
    <row r="1159" spans="2:13" x14ac:dyDescent="0.25">
      <c r="B1159" s="14" t="s">
        <v>177</v>
      </c>
      <c r="C1159" s="14" t="s">
        <v>70</v>
      </c>
      <c r="D1159" t="s">
        <v>46</v>
      </c>
      <c r="E1159" s="16" t="s">
        <v>133</v>
      </c>
      <c r="F1159">
        <v>2028</v>
      </c>
      <c r="G1159" s="12">
        <v>28704.0743638077</v>
      </c>
      <c r="H1159" s="13">
        <v>0.91320000000000001</v>
      </c>
      <c r="I1159" s="13">
        <v>0.91320000000000001</v>
      </c>
      <c r="J1159" s="13">
        <v>1.32E-2</v>
      </c>
      <c r="K1159" s="13">
        <v>0</v>
      </c>
      <c r="L1159" s="13">
        <v>7.0000000000000007E-2</v>
      </c>
      <c r="M1159" s="13">
        <v>0.25</v>
      </c>
    </row>
    <row r="1160" spans="2:13" x14ac:dyDescent="0.25">
      <c r="B1160" s="14" t="s">
        <v>177</v>
      </c>
      <c r="C1160" s="14" t="s">
        <v>70</v>
      </c>
      <c r="D1160" t="s">
        <v>46</v>
      </c>
      <c r="E1160" s="16" t="s">
        <v>133</v>
      </c>
      <c r="F1160">
        <v>2029</v>
      </c>
      <c r="G1160" s="12">
        <v>28728.471065033002</v>
      </c>
      <c r="H1160" s="13">
        <v>0.91979999999999995</v>
      </c>
      <c r="I1160" s="13">
        <v>0.91979999999999995</v>
      </c>
      <c r="J1160" s="13">
        <v>1.9800000000000002E-2</v>
      </c>
      <c r="K1160" s="13">
        <v>0</v>
      </c>
      <c r="L1160" s="13">
        <v>7.0000000000000007E-2</v>
      </c>
      <c r="M1160" s="13">
        <v>0.25</v>
      </c>
    </row>
    <row r="1161" spans="2:13" x14ac:dyDescent="0.25">
      <c r="B1161" s="14" t="s">
        <v>177</v>
      </c>
      <c r="C1161" s="14" t="s">
        <v>70</v>
      </c>
      <c r="D1161" t="s">
        <v>46</v>
      </c>
      <c r="E1161" s="16" t="s">
        <v>133</v>
      </c>
      <c r="F1161">
        <v>2030</v>
      </c>
      <c r="G1161" s="12">
        <v>28759.3735532516</v>
      </c>
      <c r="H1161" s="13">
        <v>0.9264</v>
      </c>
      <c r="I1161" s="13">
        <v>0.9264</v>
      </c>
      <c r="J1161" s="13">
        <v>2.64E-2</v>
      </c>
      <c r="K1161" s="13">
        <v>0</v>
      </c>
      <c r="L1161" s="13">
        <v>7.0000000000000007E-2</v>
      </c>
      <c r="M1161" s="13">
        <v>0.25</v>
      </c>
    </row>
    <row r="1162" spans="2:13" x14ac:dyDescent="0.25">
      <c r="B1162" s="14" t="s">
        <v>177</v>
      </c>
      <c r="C1162" s="14" t="s">
        <v>72</v>
      </c>
      <c r="D1162" t="s">
        <v>46</v>
      </c>
      <c r="E1162" s="16" t="s">
        <v>133</v>
      </c>
      <c r="F1162">
        <v>2026</v>
      </c>
      <c r="G1162" s="12">
        <v>28761</v>
      </c>
      <c r="H1162" s="13">
        <v>0.95</v>
      </c>
      <c r="I1162" s="13">
        <v>0.92949999999999999</v>
      </c>
      <c r="J1162" s="13">
        <v>0.9</v>
      </c>
      <c r="K1162" s="13"/>
      <c r="L1162" s="13">
        <v>7.0000000000000007E-2</v>
      </c>
      <c r="M1162" s="13">
        <v>0.25</v>
      </c>
    </row>
    <row r="1163" spans="2:13" x14ac:dyDescent="0.25">
      <c r="B1163" s="14" t="s">
        <v>177</v>
      </c>
      <c r="C1163" s="14" t="s">
        <v>72</v>
      </c>
      <c r="D1163" t="s">
        <v>46</v>
      </c>
      <c r="E1163" s="16" t="s">
        <v>133</v>
      </c>
      <c r="F1163">
        <v>2027</v>
      </c>
      <c r="G1163" s="12">
        <v>28720.338831291199</v>
      </c>
      <c r="H1163" s="13">
        <v>0.95660000000000001</v>
      </c>
      <c r="I1163" s="13">
        <v>0.93610000000000004</v>
      </c>
      <c r="J1163" s="13">
        <v>0.90659999999999996</v>
      </c>
      <c r="K1163" s="13"/>
      <c r="L1163" s="13">
        <v>7.0000000000000007E-2</v>
      </c>
      <c r="M1163" s="13">
        <v>0.25</v>
      </c>
    </row>
    <row r="1164" spans="2:13" x14ac:dyDescent="0.25">
      <c r="B1164" s="14" t="s">
        <v>177</v>
      </c>
      <c r="C1164" s="14" t="s">
        <v>72</v>
      </c>
      <c r="D1164" t="s">
        <v>46</v>
      </c>
      <c r="E1164" s="16" t="s">
        <v>133</v>
      </c>
      <c r="F1164">
        <v>2028</v>
      </c>
      <c r="G1164" s="12">
        <v>28704.0743638077</v>
      </c>
      <c r="H1164" s="13">
        <v>0.96319999999999995</v>
      </c>
      <c r="I1164" s="13">
        <v>0.94269999999999998</v>
      </c>
      <c r="J1164" s="13">
        <v>0.91320000000000001</v>
      </c>
      <c r="K1164" s="13"/>
      <c r="L1164" s="13">
        <v>7.0000000000000007E-2</v>
      </c>
      <c r="M1164" s="13">
        <v>0.25</v>
      </c>
    </row>
    <row r="1165" spans="2:13" x14ac:dyDescent="0.25">
      <c r="B1165" s="14" t="s">
        <v>177</v>
      </c>
      <c r="C1165" s="14" t="s">
        <v>72</v>
      </c>
      <c r="D1165" t="s">
        <v>46</v>
      </c>
      <c r="E1165" s="16" t="s">
        <v>133</v>
      </c>
      <c r="F1165">
        <v>2029</v>
      </c>
      <c r="G1165" s="12">
        <v>28728.471065033002</v>
      </c>
      <c r="H1165" s="13">
        <v>0.9698</v>
      </c>
      <c r="I1165" s="13">
        <v>0.94930000000000003</v>
      </c>
      <c r="J1165" s="13">
        <v>0.91979999999999995</v>
      </c>
      <c r="K1165" s="13"/>
      <c r="L1165" s="13">
        <v>7.0000000000000007E-2</v>
      </c>
      <c r="M1165" s="13">
        <v>0.25</v>
      </c>
    </row>
    <row r="1166" spans="2:13" x14ac:dyDescent="0.25">
      <c r="B1166" s="14" t="s">
        <v>177</v>
      </c>
      <c r="C1166" s="14" t="s">
        <v>72</v>
      </c>
      <c r="D1166" t="s">
        <v>46</v>
      </c>
      <c r="E1166" s="16" t="s">
        <v>133</v>
      </c>
      <c r="F1166">
        <v>2030</v>
      </c>
      <c r="G1166" s="12">
        <v>28759.3735532516</v>
      </c>
      <c r="H1166" s="13">
        <v>0.97</v>
      </c>
      <c r="I1166" s="13">
        <v>0.95212399999999997</v>
      </c>
      <c r="J1166" s="13">
        <v>0.9264</v>
      </c>
      <c r="K1166" s="13"/>
      <c r="L1166" s="13">
        <v>7.0000000000000007E-2</v>
      </c>
      <c r="M1166" s="13">
        <v>0.25</v>
      </c>
    </row>
    <row r="1167" spans="2:13" x14ac:dyDescent="0.25">
      <c r="B1167" s="14" t="s">
        <v>177</v>
      </c>
      <c r="C1167" s="14" t="s">
        <v>102</v>
      </c>
      <c r="D1167" t="s">
        <v>46</v>
      </c>
      <c r="E1167" s="16" t="s">
        <v>133</v>
      </c>
      <c r="F1167">
        <v>2026</v>
      </c>
      <c r="G1167" s="12">
        <v>30380</v>
      </c>
      <c r="H1167" s="13">
        <v>0.80816666670000004</v>
      </c>
      <c r="I1167" s="13"/>
      <c r="J1167" s="13"/>
      <c r="K1167" s="13"/>
      <c r="L1167" s="13">
        <v>7.0000000000000007E-2</v>
      </c>
      <c r="M1167" s="13">
        <v>0.25</v>
      </c>
    </row>
    <row r="1168" spans="2:13" x14ac:dyDescent="0.25">
      <c r="B1168" s="14" t="s">
        <v>177</v>
      </c>
      <c r="C1168" s="14" t="s">
        <v>102</v>
      </c>
      <c r="D1168" t="s">
        <v>46</v>
      </c>
      <c r="E1168" s="16" t="s">
        <v>133</v>
      </c>
      <c r="F1168">
        <v>2027</v>
      </c>
      <c r="G1168" s="12">
        <v>30337.0499528746</v>
      </c>
      <c r="H1168" s="13">
        <v>0.97640000000000005</v>
      </c>
      <c r="I1168" s="13"/>
      <c r="J1168" s="13"/>
      <c r="K1168" s="13"/>
      <c r="L1168" s="13">
        <v>7.0000000000000007E-2</v>
      </c>
      <c r="M1168" s="13">
        <v>0.25</v>
      </c>
    </row>
    <row r="1169" spans="2:13" x14ac:dyDescent="0.25">
      <c r="B1169" s="14" t="s">
        <v>177</v>
      </c>
      <c r="C1169" s="14" t="s">
        <v>102</v>
      </c>
      <c r="D1169" t="s">
        <v>46</v>
      </c>
      <c r="E1169" s="16" t="s">
        <v>133</v>
      </c>
      <c r="F1169">
        <v>2028</v>
      </c>
      <c r="G1169" s="12">
        <v>30319.8699340245</v>
      </c>
      <c r="H1169" s="13">
        <v>0.98299999999999998</v>
      </c>
      <c r="I1169" s="13"/>
      <c r="J1169" s="13"/>
      <c r="K1169" s="13"/>
      <c r="L1169" s="13">
        <v>7.0000000000000007E-2</v>
      </c>
      <c r="M1169" s="13">
        <v>0.25</v>
      </c>
    </row>
    <row r="1170" spans="2:13" x14ac:dyDescent="0.25">
      <c r="B1170" s="14" t="s">
        <v>177</v>
      </c>
      <c r="C1170" s="14" t="s">
        <v>102</v>
      </c>
      <c r="D1170" t="s">
        <v>46</v>
      </c>
      <c r="E1170" s="16" t="s">
        <v>133</v>
      </c>
      <c r="F1170">
        <v>2029</v>
      </c>
      <c r="G1170" s="12">
        <v>30345.639962299701</v>
      </c>
      <c r="H1170" s="13">
        <v>0.98960000000000004</v>
      </c>
      <c r="I1170" s="13"/>
      <c r="J1170" s="13"/>
      <c r="K1170" s="13"/>
      <c r="L1170" s="13">
        <v>7.0000000000000007E-2</v>
      </c>
      <c r="M1170" s="13">
        <v>0.25</v>
      </c>
    </row>
    <row r="1171" spans="2:13" x14ac:dyDescent="0.25">
      <c r="B1171" s="14" t="s">
        <v>177</v>
      </c>
      <c r="C1171" s="14" t="s">
        <v>102</v>
      </c>
      <c r="D1171" t="s">
        <v>46</v>
      </c>
      <c r="E1171" s="16" t="s">
        <v>133</v>
      </c>
      <c r="F1171">
        <v>2030</v>
      </c>
      <c r="G1171" s="12">
        <v>30378.281998114999</v>
      </c>
      <c r="H1171" s="13">
        <v>0.99</v>
      </c>
      <c r="I1171" s="13"/>
      <c r="J1171" s="13"/>
      <c r="K1171" s="13"/>
      <c r="L1171" s="13">
        <v>7.0000000000000007E-2</v>
      </c>
      <c r="M1171" s="13">
        <v>0.25</v>
      </c>
    </row>
    <row r="1172" spans="2:13" x14ac:dyDescent="0.25">
      <c r="B1172" s="14" t="s">
        <v>177</v>
      </c>
      <c r="C1172" s="14" t="s">
        <v>15</v>
      </c>
      <c r="D1172" t="s">
        <v>46</v>
      </c>
      <c r="E1172" s="16" t="s">
        <v>133</v>
      </c>
      <c r="F1172">
        <v>2026</v>
      </c>
      <c r="G1172" s="12">
        <v>26900</v>
      </c>
      <c r="H1172" s="13">
        <v>0.7</v>
      </c>
      <c r="I1172" s="13"/>
      <c r="J1172" s="13"/>
      <c r="K1172" s="13"/>
      <c r="L1172" s="13">
        <v>0.05</v>
      </c>
      <c r="M1172" s="13">
        <v>0.25</v>
      </c>
    </row>
    <row r="1173" spans="2:13" x14ac:dyDescent="0.25">
      <c r="B1173" s="14" t="s">
        <v>177</v>
      </c>
      <c r="C1173" s="14" t="s">
        <v>15</v>
      </c>
      <c r="D1173" t="s">
        <v>46</v>
      </c>
      <c r="E1173" s="16" t="s">
        <v>133</v>
      </c>
      <c r="F1173">
        <v>2027</v>
      </c>
      <c r="G1173" s="12">
        <v>27169</v>
      </c>
      <c r="H1173" s="13">
        <v>0.7</v>
      </c>
      <c r="I1173" s="13"/>
      <c r="J1173" s="13"/>
      <c r="K1173" s="13"/>
      <c r="L1173" s="13">
        <v>0.05</v>
      </c>
      <c r="M1173" s="13">
        <v>0.25</v>
      </c>
    </row>
    <row r="1174" spans="2:13" x14ac:dyDescent="0.25">
      <c r="B1174" s="14" t="s">
        <v>177</v>
      </c>
      <c r="C1174" s="14" t="s">
        <v>15</v>
      </c>
      <c r="D1174" t="s">
        <v>46</v>
      </c>
      <c r="E1174" s="16" t="s">
        <v>133</v>
      </c>
      <c r="F1174">
        <v>2028</v>
      </c>
      <c r="G1174" s="12">
        <v>26621</v>
      </c>
      <c r="H1174" s="13">
        <v>0.7</v>
      </c>
      <c r="I1174" s="13"/>
      <c r="J1174" s="13"/>
      <c r="K1174" s="13"/>
      <c r="L1174" s="13">
        <v>0.05</v>
      </c>
      <c r="M1174" s="13">
        <v>0.25</v>
      </c>
    </row>
    <row r="1175" spans="2:13" x14ac:dyDescent="0.25">
      <c r="B1175" s="14" t="s">
        <v>177</v>
      </c>
      <c r="C1175" s="14" t="s">
        <v>15</v>
      </c>
      <c r="D1175" t="s">
        <v>46</v>
      </c>
      <c r="E1175" s="16" t="s">
        <v>133</v>
      </c>
      <c r="F1175">
        <v>2029</v>
      </c>
      <c r="G1175" s="12">
        <v>26084</v>
      </c>
      <c r="H1175" s="13">
        <v>0.7</v>
      </c>
      <c r="I1175" s="13"/>
      <c r="J1175" s="13"/>
      <c r="K1175" s="13"/>
      <c r="L1175" s="13">
        <v>0.05</v>
      </c>
      <c r="M1175" s="13">
        <v>0.25</v>
      </c>
    </row>
    <row r="1176" spans="2:13" x14ac:dyDescent="0.25">
      <c r="B1176" s="14" t="s">
        <v>177</v>
      </c>
      <c r="C1176" s="14" t="s">
        <v>15</v>
      </c>
      <c r="D1176" t="s">
        <v>46</v>
      </c>
      <c r="E1176" s="16" t="s">
        <v>133</v>
      </c>
      <c r="F1176">
        <v>2030</v>
      </c>
      <c r="G1176" s="12">
        <v>25619</v>
      </c>
      <c r="H1176" s="13">
        <v>0.7</v>
      </c>
      <c r="I1176" s="13"/>
      <c r="J1176" s="13"/>
      <c r="K1176" s="13"/>
      <c r="L1176" s="13">
        <v>0.05</v>
      </c>
      <c r="M1176" s="13">
        <v>0.25</v>
      </c>
    </row>
    <row r="1177" spans="2:13" x14ac:dyDescent="0.25">
      <c r="B1177" s="14" t="s">
        <v>177</v>
      </c>
      <c r="C1177" s="14" t="s">
        <v>52</v>
      </c>
      <c r="D1177" t="s">
        <v>141</v>
      </c>
      <c r="E1177" s="16" t="s">
        <v>133</v>
      </c>
      <c r="F1177">
        <v>2028</v>
      </c>
      <c r="G1177" s="12">
        <v>232614.5625</v>
      </c>
      <c r="H1177" s="13">
        <v>1</v>
      </c>
      <c r="I1177" s="13"/>
      <c r="J1177" s="13"/>
      <c r="K1177" s="13"/>
      <c r="L1177" s="13"/>
      <c r="M1177" s="13"/>
    </row>
    <row r="1178" spans="2:13" x14ac:dyDescent="0.25">
      <c r="B1178" s="14" t="s">
        <v>177</v>
      </c>
      <c r="C1178" s="14" t="s">
        <v>139</v>
      </c>
      <c r="D1178" t="s">
        <v>46</v>
      </c>
      <c r="E1178" s="16" t="s">
        <v>133</v>
      </c>
      <c r="F1178">
        <v>2026</v>
      </c>
      <c r="G1178" s="12">
        <v>28761</v>
      </c>
      <c r="H1178" s="13">
        <v>0.95</v>
      </c>
      <c r="I1178" s="13">
        <v>0.92500000000000004</v>
      </c>
      <c r="J1178" s="13">
        <v>0</v>
      </c>
      <c r="K1178" s="13"/>
      <c r="L1178" s="13">
        <v>0.04</v>
      </c>
      <c r="M1178" s="13">
        <v>0.25</v>
      </c>
    </row>
    <row r="1179" spans="2:13" x14ac:dyDescent="0.25">
      <c r="B1179" s="14" t="s">
        <v>177</v>
      </c>
      <c r="C1179" s="14" t="s">
        <v>139</v>
      </c>
      <c r="D1179" t="s">
        <v>46</v>
      </c>
      <c r="E1179" s="16" t="s">
        <v>133</v>
      </c>
      <c r="F1179">
        <v>2027</v>
      </c>
      <c r="G1179" s="12">
        <v>28720.338831291199</v>
      </c>
      <c r="H1179" s="13">
        <v>0.95660000000000001</v>
      </c>
      <c r="I1179" s="13">
        <v>0.93159999999999998</v>
      </c>
      <c r="J1179" s="13">
        <v>0</v>
      </c>
      <c r="K1179" s="13"/>
      <c r="L1179" s="13">
        <v>0.04</v>
      </c>
      <c r="M1179" s="13">
        <v>0.25</v>
      </c>
    </row>
    <row r="1180" spans="2:13" x14ac:dyDescent="0.25">
      <c r="B1180" s="14" t="s">
        <v>177</v>
      </c>
      <c r="C1180" s="14" t="s">
        <v>139</v>
      </c>
      <c r="D1180" t="s">
        <v>46</v>
      </c>
      <c r="E1180" s="16" t="s">
        <v>133</v>
      </c>
      <c r="F1180">
        <v>2028</v>
      </c>
      <c r="G1180" s="12">
        <v>28704.0743638077</v>
      </c>
      <c r="H1180" s="13">
        <v>0.96319999999999995</v>
      </c>
      <c r="I1180" s="13">
        <v>0.93820000000000003</v>
      </c>
      <c r="J1180" s="13">
        <v>0</v>
      </c>
      <c r="K1180" s="13"/>
      <c r="L1180" s="13">
        <v>0.04</v>
      </c>
      <c r="M1180" s="13">
        <v>0.25</v>
      </c>
    </row>
    <row r="1181" spans="2:13" x14ac:dyDescent="0.25">
      <c r="B1181" s="14" t="s">
        <v>177</v>
      </c>
      <c r="C1181" s="14" t="s">
        <v>139</v>
      </c>
      <c r="D1181" t="s">
        <v>46</v>
      </c>
      <c r="E1181" s="16" t="s">
        <v>133</v>
      </c>
      <c r="F1181">
        <v>2029</v>
      </c>
      <c r="G1181" s="12">
        <v>28728.471065033002</v>
      </c>
      <c r="H1181" s="13">
        <v>0.9698</v>
      </c>
      <c r="I1181" s="13">
        <v>0.94479999999999997</v>
      </c>
      <c r="J1181" s="13">
        <v>0</v>
      </c>
      <c r="K1181" s="13"/>
      <c r="L1181" s="13">
        <v>0.04</v>
      </c>
      <c r="M1181" s="13">
        <v>0.25</v>
      </c>
    </row>
    <row r="1182" spans="2:13" x14ac:dyDescent="0.25">
      <c r="B1182" s="15" t="s">
        <v>177</v>
      </c>
      <c r="C1182" s="14" t="s">
        <v>139</v>
      </c>
      <c r="D1182" t="s">
        <v>46</v>
      </c>
      <c r="E1182" s="16" t="s">
        <v>133</v>
      </c>
      <c r="F1182">
        <v>2030</v>
      </c>
      <c r="G1182" s="12">
        <v>28759.3735532516</v>
      </c>
      <c r="H1182" s="13">
        <v>0.97</v>
      </c>
      <c r="I1182" s="13">
        <v>0.95140000000000002</v>
      </c>
      <c r="J1182" s="13">
        <v>0</v>
      </c>
      <c r="K1182" s="13"/>
      <c r="L1182" s="13">
        <v>0.04</v>
      </c>
      <c r="M1182" s="13">
        <v>0.25</v>
      </c>
    </row>
    <row r="1183" spans="2:13" x14ac:dyDescent="0.25">
      <c r="B1183" s="14" t="s">
        <v>178</v>
      </c>
      <c r="C1183" s="14" t="s">
        <v>70</v>
      </c>
      <c r="D1183" t="s">
        <v>46</v>
      </c>
      <c r="E1183" s="16" t="s">
        <v>133</v>
      </c>
      <c r="F1183">
        <v>2026</v>
      </c>
      <c r="G1183" s="12">
        <v>29719</v>
      </c>
      <c r="H1183" s="13">
        <v>0.95</v>
      </c>
      <c r="I1183" s="13">
        <v>0</v>
      </c>
      <c r="J1183" s="13">
        <v>0</v>
      </c>
      <c r="K1183" s="13">
        <v>0</v>
      </c>
      <c r="L1183" s="13">
        <v>0.04</v>
      </c>
      <c r="M1183" s="13">
        <v>0.25</v>
      </c>
    </row>
    <row r="1184" spans="2:13" x14ac:dyDescent="0.25">
      <c r="B1184" s="14" t="s">
        <v>178</v>
      </c>
      <c r="C1184" s="14" t="s">
        <v>70</v>
      </c>
      <c r="D1184" t="s">
        <v>46</v>
      </c>
      <c r="E1184" s="16" t="s">
        <v>133</v>
      </c>
      <c r="F1184">
        <v>2027</v>
      </c>
      <c r="G1184" s="12">
        <v>29060</v>
      </c>
      <c r="H1184" s="13">
        <v>0</v>
      </c>
      <c r="I1184" s="13">
        <v>0</v>
      </c>
      <c r="J1184" s="13">
        <v>0</v>
      </c>
      <c r="K1184" s="13">
        <v>0</v>
      </c>
      <c r="L1184" s="13">
        <v>0.04</v>
      </c>
      <c r="M1184" s="13">
        <v>0.25</v>
      </c>
    </row>
    <row r="1185" spans="2:13" x14ac:dyDescent="0.25">
      <c r="B1185" s="15" t="s">
        <v>178</v>
      </c>
      <c r="C1185" s="14" t="s">
        <v>70</v>
      </c>
      <c r="D1185" t="s">
        <v>46</v>
      </c>
      <c r="E1185" s="16" t="s">
        <v>133</v>
      </c>
      <c r="F1185">
        <v>2028</v>
      </c>
      <c r="G1185" s="12">
        <v>28524</v>
      </c>
      <c r="H1185" s="13">
        <v>0</v>
      </c>
      <c r="I1185" s="13">
        <v>0</v>
      </c>
      <c r="J1185" s="13">
        <v>0</v>
      </c>
      <c r="K1185" s="13">
        <v>0</v>
      </c>
      <c r="L1185" s="13">
        <v>0.04</v>
      </c>
      <c r="M1185" s="13">
        <v>0.25</v>
      </c>
    </row>
    <row r="1186" spans="2:13" x14ac:dyDescent="0.25">
      <c r="B1186" s="14" t="s">
        <v>179</v>
      </c>
      <c r="C1186" s="14" t="s">
        <v>132</v>
      </c>
      <c r="D1186" t="s">
        <v>46</v>
      </c>
      <c r="E1186" s="16" t="s">
        <v>133</v>
      </c>
      <c r="F1186">
        <v>2026</v>
      </c>
      <c r="G1186" s="12">
        <v>960053</v>
      </c>
      <c r="H1186" s="13">
        <v>0.77</v>
      </c>
      <c r="I1186" s="13">
        <v>0.754</v>
      </c>
      <c r="J1186" s="13">
        <v>0.73</v>
      </c>
      <c r="K1186" s="13">
        <v>0</v>
      </c>
      <c r="L1186" s="13">
        <v>7.0000000000000007E-2</v>
      </c>
      <c r="M1186" s="13">
        <v>0.25</v>
      </c>
    </row>
    <row r="1187" spans="2:13" x14ac:dyDescent="0.25">
      <c r="B1187" s="14" t="s">
        <v>179</v>
      </c>
      <c r="C1187" s="14" t="s">
        <v>132</v>
      </c>
      <c r="D1187" t="s">
        <v>46</v>
      </c>
      <c r="E1187" s="16" t="s">
        <v>133</v>
      </c>
      <c r="F1187">
        <v>2027</v>
      </c>
      <c r="G1187" s="12">
        <v>969120.43311209395</v>
      </c>
      <c r="H1187" s="13">
        <v>0</v>
      </c>
      <c r="I1187" s="13">
        <v>0</v>
      </c>
      <c r="J1187" s="13">
        <v>0</v>
      </c>
      <c r="K1187" s="13">
        <v>0</v>
      </c>
      <c r="L1187" s="13">
        <v>7.0000000000000007E-2</v>
      </c>
      <c r="M1187" s="13">
        <v>0.25</v>
      </c>
    </row>
    <row r="1188" spans="2:13" x14ac:dyDescent="0.25">
      <c r="B1188" s="14" t="s">
        <v>179</v>
      </c>
      <c r="C1188" s="14" t="s">
        <v>132</v>
      </c>
      <c r="D1188" t="s">
        <v>46</v>
      </c>
      <c r="E1188" s="16" t="s">
        <v>133</v>
      </c>
      <c r="F1188">
        <v>2028</v>
      </c>
      <c r="G1188" s="12">
        <v>977395.33251016401</v>
      </c>
      <c r="H1188" s="13">
        <v>0</v>
      </c>
      <c r="I1188" s="13">
        <v>0</v>
      </c>
      <c r="J1188" s="13">
        <v>0</v>
      </c>
      <c r="K1188" s="13">
        <v>0</v>
      </c>
      <c r="L1188" s="13">
        <v>7.0000000000000007E-2</v>
      </c>
      <c r="M1188" s="13">
        <v>0.25</v>
      </c>
    </row>
    <row r="1189" spans="2:13" x14ac:dyDescent="0.25">
      <c r="B1189" s="14" t="s">
        <v>179</v>
      </c>
      <c r="C1189" s="14" t="s">
        <v>70</v>
      </c>
      <c r="D1189" t="s">
        <v>46</v>
      </c>
      <c r="E1189" s="16" t="s">
        <v>133</v>
      </c>
      <c r="F1189">
        <v>2026</v>
      </c>
      <c r="G1189" s="12">
        <v>960053</v>
      </c>
      <c r="H1189" s="13">
        <v>0.71</v>
      </c>
      <c r="I1189" s="13">
        <v>0.67</v>
      </c>
      <c r="J1189" s="13">
        <v>0</v>
      </c>
      <c r="K1189" s="13">
        <v>0</v>
      </c>
      <c r="L1189" s="13">
        <v>7.0000000000000007E-2</v>
      </c>
      <c r="M1189" s="13">
        <v>0.25</v>
      </c>
    </row>
    <row r="1190" spans="2:13" x14ac:dyDescent="0.25">
      <c r="B1190" s="14" t="s">
        <v>179</v>
      </c>
      <c r="C1190" s="14" t="s">
        <v>70</v>
      </c>
      <c r="D1190" t="s">
        <v>46</v>
      </c>
      <c r="E1190" s="16" t="s">
        <v>133</v>
      </c>
      <c r="F1190">
        <v>2027</v>
      </c>
      <c r="G1190" s="12">
        <v>969120.43311209395</v>
      </c>
      <c r="H1190" s="13">
        <v>0</v>
      </c>
      <c r="I1190" s="13">
        <v>0</v>
      </c>
      <c r="J1190" s="13">
        <v>0</v>
      </c>
      <c r="K1190" s="13">
        <v>0</v>
      </c>
      <c r="L1190" s="13">
        <v>7.0000000000000007E-2</v>
      </c>
      <c r="M1190" s="13">
        <v>0.25</v>
      </c>
    </row>
    <row r="1191" spans="2:13" x14ac:dyDescent="0.25">
      <c r="B1191" s="14" t="s">
        <v>179</v>
      </c>
      <c r="C1191" s="14" t="s">
        <v>70</v>
      </c>
      <c r="D1191" t="s">
        <v>46</v>
      </c>
      <c r="E1191" s="16" t="s">
        <v>133</v>
      </c>
      <c r="F1191">
        <v>2028</v>
      </c>
      <c r="G1191" s="12">
        <v>977395.33251016401</v>
      </c>
      <c r="H1191" s="13">
        <v>0</v>
      </c>
      <c r="I1191" s="13">
        <v>0</v>
      </c>
      <c r="J1191" s="13">
        <v>0</v>
      </c>
      <c r="K1191" s="13">
        <v>0</v>
      </c>
      <c r="L1191" s="13">
        <v>7.0000000000000007E-2</v>
      </c>
      <c r="M1191" s="13">
        <v>0.25</v>
      </c>
    </row>
    <row r="1192" spans="2:13" x14ac:dyDescent="0.25">
      <c r="B1192" s="14" t="s">
        <v>179</v>
      </c>
      <c r="C1192" s="14" t="s">
        <v>134</v>
      </c>
      <c r="D1192" t="s">
        <v>46</v>
      </c>
      <c r="E1192" s="16" t="s">
        <v>133</v>
      </c>
      <c r="F1192">
        <v>2026</v>
      </c>
      <c r="G1192" s="12">
        <v>960053</v>
      </c>
      <c r="H1192" s="13">
        <v>0</v>
      </c>
      <c r="I1192" s="13">
        <v>0</v>
      </c>
      <c r="J1192" s="13">
        <v>0</v>
      </c>
      <c r="K1192" s="13">
        <v>0</v>
      </c>
      <c r="L1192" s="13">
        <v>7.0000000000000007E-2</v>
      </c>
      <c r="M1192" s="13">
        <v>0.25</v>
      </c>
    </row>
    <row r="1193" spans="2:13" x14ac:dyDescent="0.25">
      <c r="B1193" s="14" t="s">
        <v>179</v>
      </c>
      <c r="C1193" s="14" t="s">
        <v>134</v>
      </c>
      <c r="D1193" t="s">
        <v>46</v>
      </c>
      <c r="E1193" s="16" t="s">
        <v>133</v>
      </c>
      <c r="F1193">
        <v>2027</v>
      </c>
      <c r="G1193" s="12">
        <v>1170933</v>
      </c>
      <c r="H1193" s="13">
        <v>0.77</v>
      </c>
      <c r="I1193" s="13">
        <v>0.754</v>
      </c>
      <c r="J1193" s="13">
        <v>0.73</v>
      </c>
      <c r="K1193" s="13">
        <v>0</v>
      </c>
      <c r="L1193" s="13">
        <v>7.0000000000000007E-2</v>
      </c>
      <c r="M1193" s="13">
        <v>0.25</v>
      </c>
    </row>
    <row r="1194" spans="2:13" x14ac:dyDescent="0.25">
      <c r="B1194" s="14" t="s">
        <v>179</v>
      </c>
      <c r="C1194" s="14" t="s">
        <v>134</v>
      </c>
      <c r="D1194" t="s">
        <v>46</v>
      </c>
      <c r="E1194" s="16" t="s">
        <v>133</v>
      </c>
      <c r="F1194">
        <v>2028</v>
      </c>
      <c r="G1194" s="12">
        <v>1180931</v>
      </c>
      <c r="H1194" s="13">
        <v>0.77</v>
      </c>
      <c r="I1194" s="13">
        <v>0.754</v>
      </c>
      <c r="J1194" s="13">
        <v>0.73</v>
      </c>
      <c r="K1194" s="13">
        <v>0</v>
      </c>
      <c r="L1194" s="13">
        <v>7.0000000000000007E-2</v>
      </c>
      <c r="M1194" s="13">
        <v>0.25</v>
      </c>
    </row>
    <row r="1195" spans="2:13" x14ac:dyDescent="0.25">
      <c r="B1195" s="14" t="s">
        <v>179</v>
      </c>
      <c r="C1195" s="14" t="s">
        <v>134</v>
      </c>
      <c r="D1195" t="s">
        <v>46</v>
      </c>
      <c r="E1195" s="16" t="s">
        <v>133</v>
      </c>
      <c r="F1195">
        <v>2029</v>
      </c>
      <c r="G1195" s="12">
        <v>985666.379982527</v>
      </c>
      <c r="H1195" s="13">
        <v>0.78979999999999995</v>
      </c>
      <c r="I1195" s="13">
        <v>0.77339999999999998</v>
      </c>
      <c r="J1195" s="13">
        <v>0.74980000000000002</v>
      </c>
      <c r="K1195" s="13">
        <v>0</v>
      </c>
      <c r="L1195" s="13">
        <v>7.0000000000000007E-2</v>
      </c>
      <c r="M1195" s="13">
        <v>0.25</v>
      </c>
    </row>
    <row r="1196" spans="2:13" x14ac:dyDescent="0.25">
      <c r="B1196" s="14" t="s">
        <v>179</v>
      </c>
      <c r="C1196" s="14" t="s">
        <v>134</v>
      </c>
      <c r="D1196" t="s">
        <v>46</v>
      </c>
      <c r="E1196" s="16" t="s">
        <v>133</v>
      </c>
      <c r="F1196">
        <v>2030</v>
      </c>
      <c r="G1196" s="12">
        <v>994137.72759160597</v>
      </c>
      <c r="H1196" s="13">
        <v>0.7964</v>
      </c>
      <c r="I1196" s="13">
        <v>0.78</v>
      </c>
      <c r="J1196" s="13">
        <v>0.75639999999999996</v>
      </c>
      <c r="K1196" s="13">
        <v>0</v>
      </c>
      <c r="L1196" s="13">
        <v>7.0000000000000007E-2</v>
      </c>
      <c r="M1196" s="13">
        <v>0.25</v>
      </c>
    </row>
    <row r="1197" spans="2:13" x14ac:dyDescent="0.25">
      <c r="B1197" s="14" t="s">
        <v>179</v>
      </c>
      <c r="C1197" s="14" t="s">
        <v>72</v>
      </c>
      <c r="D1197" t="s">
        <v>46</v>
      </c>
      <c r="E1197" s="16" t="s">
        <v>133</v>
      </c>
      <c r="F1197">
        <v>2026</v>
      </c>
      <c r="G1197" s="12">
        <v>960053</v>
      </c>
      <c r="H1197" s="13">
        <v>0.77</v>
      </c>
      <c r="I1197" s="13">
        <v>0.754</v>
      </c>
      <c r="J1197" s="13">
        <v>0.73</v>
      </c>
      <c r="K1197" s="13"/>
      <c r="L1197" s="13">
        <v>7.0000000000000007E-2</v>
      </c>
      <c r="M1197" s="13">
        <v>0.25</v>
      </c>
    </row>
    <row r="1198" spans="2:13" x14ac:dyDescent="0.25">
      <c r="B1198" s="14" t="s">
        <v>179</v>
      </c>
      <c r="C1198" s="14" t="s">
        <v>72</v>
      </c>
      <c r="D1198" t="s">
        <v>46</v>
      </c>
      <c r="E1198" s="16" t="s">
        <v>133</v>
      </c>
      <c r="F1198">
        <v>2027</v>
      </c>
      <c r="G1198" s="12">
        <v>973391</v>
      </c>
      <c r="H1198" s="13">
        <v>0.78</v>
      </c>
      <c r="I1198" s="13">
        <v>0.76400000000000001</v>
      </c>
      <c r="J1198" s="13">
        <v>0.74</v>
      </c>
      <c r="K1198" s="13"/>
      <c r="L1198" s="13">
        <v>7.0000000000000007E-2</v>
      </c>
      <c r="M1198" s="13">
        <v>0.25</v>
      </c>
    </row>
    <row r="1199" spans="2:13" x14ac:dyDescent="0.25">
      <c r="B1199" s="14" t="s">
        <v>179</v>
      </c>
      <c r="C1199" s="14" t="s">
        <v>72</v>
      </c>
      <c r="D1199" t="s">
        <v>46</v>
      </c>
      <c r="E1199" s="16" t="s">
        <v>133</v>
      </c>
      <c r="F1199">
        <v>2028</v>
      </c>
      <c r="G1199" s="12">
        <v>981702</v>
      </c>
      <c r="H1199" s="13">
        <v>0.78</v>
      </c>
      <c r="I1199" s="13">
        <v>0.76400000000000001</v>
      </c>
      <c r="J1199" s="13">
        <v>0.74</v>
      </c>
      <c r="K1199" s="13"/>
      <c r="L1199" s="13">
        <v>7.0000000000000007E-2</v>
      </c>
      <c r="M1199" s="13">
        <v>0.25</v>
      </c>
    </row>
    <row r="1200" spans="2:13" x14ac:dyDescent="0.25">
      <c r="B1200" s="14" t="s">
        <v>179</v>
      </c>
      <c r="C1200" s="14" t="s">
        <v>72</v>
      </c>
      <c r="D1200" t="s">
        <v>46</v>
      </c>
      <c r="E1200" s="16" t="s">
        <v>133</v>
      </c>
      <c r="F1200">
        <v>2029</v>
      </c>
      <c r="G1200" s="12">
        <v>985666.379982527</v>
      </c>
      <c r="H1200" s="13">
        <v>0.78979999999999995</v>
      </c>
      <c r="I1200" s="13">
        <v>0.77339999999999998</v>
      </c>
      <c r="J1200" s="13">
        <v>0.74980000000000002</v>
      </c>
      <c r="K1200" s="13"/>
      <c r="L1200" s="13">
        <v>7.0000000000000007E-2</v>
      </c>
      <c r="M1200" s="13">
        <v>0.25</v>
      </c>
    </row>
    <row r="1201" spans="2:13" x14ac:dyDescent="0.25">
      <c r="B1201" s="14" t="s">
        <v>179</v>
      </c>
      <c r="C1201" s="14" t="s">
        <v>72</v>
      </c>
      <c r="D1201" t="s">
        <v>46</v>
      </c>
      <c r="E1201" s="16" t="s">
        <v>133</v>
      </c>
      <c r="F1201">
        <v>2030</v>
      </c>
      <c r="G1201" s="12">
        <v>994137.72759160597</v>
      </c>
      <c r="H1201" s="13">
        <v>0.7964</v>
      </c>
      <c r="I1201" s="13">
        <v>0.78</v>
      </c>
      <c r="J1201" s="13">
        <v>0.75639999999999996</v>
      </c>
      <c r="K1201" s="13"/>
      <c r="L1201" s="13">
        <v>7.0000000000000007E-2</v>
      </c>
      <c r="M1201" s="13">
        <v>0.25</v>
      </c>
    </row>
    <row r="1202" spans="2:13" x14ac:dyDescent="0.25">
      <c r="B1202" s="14" t="s">
        <v>179</v>
      </c>
      <c r="C1202" s="14" t="s">
        <v>15</v>
      </c>
      <c r="D1202" t="s">
        <v>136</v>
      </c>
      <c r="E1202" s="16" t="s">
        <v>133</v>
      </c>
      <c r="F1202">
        <v>2026</v>
      </c>
      <c r="G1202" s="12">
        <v>0</v>
      </c>
      <c r="H1202" s="13">
        <v>0</v>
      </c>
      <c r="I1202" s="13"/>
      <c r="J1202" s="13"/>
      <c r="K1202" s="13"/>
      <c r="L1202" s="13">
        <v>0.05</v>
      </c>
      <c r="M1202" s="13">
        <v>0.25</v>
      </c>
    </row>
    <row r="1203" spans="2:13" x14ac:dyDescent="0.25">
      <c r="B1203" s="14" t="s">
        <v>179</v>
      </c>
      <c r="C1203" s="14" t="s">
        <v>15</v>
      </c>
      <c r="D1203" t="s">
        <v>46</v>
      </c>
      <c r="E1203" s="16" t="s">
        <v>133</v>
      </c>
      <c r="F1203">
        <v>2026</v>
      </c>
      <c r="G1203" s="12">
        <v>424567</v>
      </c>
      <c r="H1203" s="13">
        <v>0.7</v>
      </c>
      <c r="I1203" s="13"/>
      <c r="J1203" s="13"/>
      <c r="K1203" s="13"/>
      <c r="L1203" s="13">
        <v>0.05</v>
      </c>
      <c r="M1203" s="13">
        <v>0.25</v>
      </c>
    </row>
    <row r="1204" spans="2:13" x14ac:dyDescent="0.25">
      <c r="B1204" s="14" t="s">
        <v>179</v>
      </c>
      <c r="C1204" s="14" t="s">
        <v>15</v>
      </c>
      <c r="D1204" t="s">
        <v>46</v>
      </c>
      <c r="E1204" s="16" t="s">
        <v>133</v>
      </c>
      <c r="F1204">
        <v>2027</v>
      </c>
      <c r="G1204" s="12">
        <v>437389</v>
      </c>
      <c r="H1204" s="13">
        <v>0.75</v>
      </c>
      <c r="I1204" s="13"/>
      <c r="J1204" s="13"/>
      <c r="K1204" s="13"/>
      <c r="L1204" s="13">
        <v>0.05</v>
      </c>
      <c r="M1204" s="13">
        <v>0.25</v>
      </c>
    </row>
    <row r="1205" spans="2:13" x14ac:dyDescent="0.25">
      <c r="B1205" s="14" t="s">
        <v>179</v>
      </c>
      <c r="C1205" s="14" t="s">
        <v>15</v>
      </c>
      <c r="D1205" t="s">
        <v>46</v>
      </c>
      <c r="E1205" s="16" t="s">
        <v>133</v>
      </c>
      <c r="F1205">
        <v>2028</v>
      </c>
      <c r="G1205" s="12">
        <v>449126</v>
      </c>
      <c r="H1205" s="13">
        <v>0.75</v>
      </c>
      <c r="I1205" s="13"/>
      <c r="J1205" s="13"/>
      <c r="K1205" s="13"/>
      <c r="L1205" s="13">
        <v>0.05</v>
      </c>
      <c r="M1205" s="13">
        <v>0.25</v>
      </c>
    </row>
    <row r="1206" spans="2:13" x14ac:dyDescent="0.25">
      <c r="B1206" s="14" t="s">
        <v>179</v>
      </c>
      <c r="C1206" s="14" t="s">
        <v>15</v>
      </c>
      <c r="D1206" t="s">
        <v>46</v>
      </c>
      <c r="E1206" s="16" t="s">
        <v>133</v>
      </c>
      <c r="F1206">
        <v>2029</v>
      </c>
      <c r="G1206" s="12">
        <v>461159</v>
      </c>
      <c r="H1206" s="13">
        <v>0.60108750389999999</v>
      </c>
      <c r="I1206" s="13"/>
      <c r="J1206" s="13"/>
      <c r="K1206" s="13"/>
      <c r="L1206" s="13">
        <v>0.05</v>
      </c>
      <c r="M1206" s="13">
        <v>0.25</v>
      </c>
    </row>
    <row r="1207" spans="2:13" x14ac:dyDescent="0.25">
      <c r="B1207" s="14" t="s">
        <v>179</v>
      </c>
      <c r="C1207" s="14" t="s">
        <v>15</v>
      </c>
      <c r="D1207" t="s">
        <v>46</v>
      </c>
      <c r="E1207" s="16" t="s">
        <v>133</v>
      </c>
      <c r="F1207">
        <v>2030</v>
      </c>
      <c r="G1207" s="12">
        <v>468590</v>
      </c>
      <c r="H1207" s="13">
        <v>0.60108750389999999</v>
      </c>
      <c r="I1207" s="13"/>
      <c r="J1207" s="13"/>
      <c r="K1207" s="13"/>
      <c r="L1207" s="13">
        <v>0.05</v>
      </c>
      <c r="M1207" s="13">
        <v>0.25</v>
      </c>
    </row>
    <row r="1208" spans="2:13" x14ac:dyDescent="0.25">
      <c r="B1208" s="14" t="s">
        <v>179</v>
      </c>
      <c r="C1208" s="14" t="s">
        <v>145</v>
      </c>
      <c r="D1208" t="s">
        <v>46</v>
      </c>
      <c r="E1208" s="16" t="s">
        <v>133</v>
      </c>
      <c r="F1208">
        <v>2029</v>
      </c>
      <c r="G1208" s="12">
        <v>80868.322619628903</v>
      </c>
      <c r="H1208" s="13">
        <v>0.59</v>
      </c>
      <c r="I1208" s="13">
        <v>0.5625</v>
      </c>
      <c r="J1208" s="13">
        <v>0.53637500000000005</v>
      </c>
      <c r="K1208" s="13"/>
      <c r="L1208" s="13"/>
      <c r="M1208" s="13">
        <v>0.25</v>
      </c>
    </row>
    <row r="1209" spans="2:13" x14ac:dyDescent="0.25">
      <c r="B1209" s="14" t="s">
        <v>179</v>
      </c>
      <c r="C1209" s="14" t="s">
        <v>145</v>
      </c>
      <c r="D1209" t="s">
        <v>46</v>
      </c>
      <c r="E1209" s="16" t="s">
        <v>133</v>
      </c>
      <c r="F1209">
        <v>2030</v>
      </c>
      <c r="G1209" s="12">
        <v>81609.628002929705</v>
      </c>
      <c r="H1209" s="13">
        <v>0.59499999999999997</v>
      </c>
      <c r="I1209" s="13">
        <v>0.5675</v>
      </c>
      <c r="J1209" s="13">
        <v>0.54137500000000005</v>
      </c>
      <c r="K1209" s="13">
        <v>0.46191874999999999</v>
      </c>
      <c r="L1209" s="13"/>
      <c r="M1209" s="13">
        <v>0.25</v>
      </c>
    </row>
    <row r="1210" spans="2:13" x14ac:dyDescent="0.25">
      <c r="B1210" s="14" t="s">
        <v>179</v>
      </c>
      <c r="C1210" s="14" t="s">
        <v>121</v>
      </c>
      <c r="D1210" t="s">
        <v>141</v>
      </c>
      <c r="E1210" s="16" t="s">
        <v>133</v>
      </c>
      <c r="F1210">
        <v>2026</v>
      </c>
      <c r="G1210" s="12">
        <v>5016121</v>
      </c>
      <c r="H1210" s="13">
        <v>0.95</v>
      </c>
      <c r="I1210" s="13"/>
      <c r="J1210" s="13"/>
      <c r="K1210" s="13"/>
      <c r="L1210" s="13"/>
      <c r="M1210" s="13"/>
    </row>
    <row r="1211" spans="2:13" x14ac:dyDescent="0.25">
      <c r="B1211" s="14" t="s">
        <v>179</v>
      </c>
      <c r="C1211" s="14" t="s">
        <v>121</v>
      </c>
      <c r="D1211" t="s">
        <v>138</v>
      </c>
      <c r="E1211" s="16" t="s">
        <v>133</v>
      </c>
      <c r="F1211">
        <v>2026</v>
      </c>
      <c r="G1211" s="12">
        <v>960053</v>
      </c>
      <c r="H1211" s="13">
        <v>0.67</v>
      </c>
      <c r="I1211" s="13">
        <v>0.63500000000000001</v>
      </c>
      <c r="J1211" s="13"/>
      <c r="K1211" s="13"/>
      <c r="L1211" s="13"/>
      <c r="M1211" s="13"/>
    </row>
    <row r="1212" spans="2:13" x14ac:dyDescent="0.25">
      <c r="B1212" s="14" t="s">
        <v>179</v>
      </c>
      <c r="C1212" s="14" t="s">
        <v>121</v>
      </c>
      <c r="D1212" t="s">
        <v>138</v>
      </c>
      <c r="E1212" s="16" t="s">
        <v>133</v>
      </c>
      <c r="F1212">
        <v>2027</v>
      </c>
      <c r="G1212" s="12">
        <v>973391</v>
      </c>
      <c r="H1212" s="13">
        <v>0.68</v>
      </c>
      <c r="I1212" s="13">
        <v>0.64500000000000002</v>
      </c>
      <c r="J1212" s="13"/>
      <c r="K1212" s="13"/>
      <c r="L1212" s="13"/>
      <c r="M1212" s="13"/>
    </row>
    <row r="1213" spans="2:13" x14ac:dyDescent="0.25">
      <c r="B1213" s="14" t="s">
        <v>179</v>
      </c>
      <c r="C1213" s="14" t="s">
        <v>52</v>
      </c>
      <c r="D1213" t="s">
        <v>137</v>
      </c>
      <c r="E1213" s="16" t="s">
        <v>133</v>
      </c>
      <c r="F1213">
        <v>2028</v>
      </c>
      <c r="G1213" s="12">
        <v>9750318.1363636404</v>
      </c>
      <c r="H1213" s="13">
        <v>0.85</v>
      </c>
      <c r="I1213" s="13"/>
      <c r="J1213" s="13"/>
      <c r="K1213" s="13"/>
      <c r="L1213" s="13"/>
      <c r="M1213" s="13"/>
    </row>
    <row r="1214" spans="2:13" x14ac:dyDescent="0.25">
      <c r="B1214" s="14" t="s">
        <v>179</v>
      </c>
      <c r="C1214" s="14" t="s">
        <v>52</v>
      </c>
      <c r="D1214" t="s">
        <v>141</v>
      </c>
      <c r="E1214" s="16" t="s">
        <v>133</v>
      </c>
      <c r="F1214">
        <v>2030</v>
      </c>
      <c r="G1214" s="12">
        <v>4447326.9375</v>
      </c>
      <c r="H1214" s="13">
        <v>0.85</v>
      </c>
      <c r="I1214" s="13"/>
      <c r="J1214" s="13"/>
      <c r="K1214" s="13"/>
      <c r="L1214" s="13"/>
      <c r="M1214" s="13"/>
    </row>
    <row r="1215" spans="2:13" x14ac:dyDescent="0.25">
      <c r="B1215" s="14" t="s">
        <v>179</v>
      </c>
      <c r="C1215" s="14" t="s">
        <v>52</v>
      </c>
      <c r="D1215" t="s">
        <v>138</v>
      </c>
      <c r="E1215" s="16" t="s">
        <v>133</v>
      </c>
      <c r="F1215">
        <v>2028</v>
      </c>
      <c r="G1215" s="12">
        <v>986914.30460714095</v>
      </c>
      <c r="H1215" s="13">
        <v>0.69</v>
      </c>
      <c r="I1215" s="13">
        <v>0.65500000000000003</v>
      </c>
      <c r="J1215" s="13"/>
      <c r="K1215" s="13"/>
      <c r="L1215" s="13"/>
      <c r="M1215" s="13"/>
    </row>
    <row r="1216" spans="2:13" x14ac:dyDescent="0.25">
      <c r="B1216" s="14" t="s">
        <v>179</v>
      </c>
      <c r="C1216" s="14" t="s">
        <v>52</v>
      </c>
      <c r="D1216" t="s">
        <v>138</v>
      </c>
      <c r="E1216" s="16" t="s">
        <v>133</v>
      </c>
      <c r="F1216">
        <v>2029</v>
      </c>
      <c r="G1216" s="12">
        <v>990010</v>
      </c>
      <c r="H1216" s="13">
        <v>0.68</v>
      </c>
      <c r="I1216" s="13">
        <v>0.66757500000000003</v>
      </c>
      <c r="J1216" s="13"/>
      <c r="K1216" s="13"/>
      <c r="L1216" s="13"/>
      <c r="M1216" s="13"/>
    </row>
    <row r="1217" spans="2:13" x14ac:dyDescent="0.25">
      <c r="B1217" s="14" t="s">
        <v>179</v>
      </c>
      <c r="C1217" s="14" t="s">
        <v>52</v>
      </c>
      <c r="D1217" t="s">
        <v>138</v>
      </c>
      <c r="E1217" s="16" t="s">
        <v>133</v>
      </c>
      <c r="F1217">
        <v>2030</v>
      </c>
      <c r="G1217" s="12">
        <v>998519</v>
      </c>
      <c r="H1217" s="13">
        <v>0.68</v>
      </c>
      <c r="I1217" s="13">
        <v>0.66757500000000003</v>
      </c>
      <c r="J1217" s="13"/>
      <c r="K1217" s="13"/>
      <c r="L1217" s="13"/>
      <c r="M1217" s="13"/>
    </row>
    <row r="1218" spans="2:13" x14ac:dyDescent="0.25">
      <c r="B1218" s="14" t="s">
        <v>179</v>
      </c>
      <c r="C1218" s="14" t="s">
        <v>146</v>
      </c>
      <c r="D1218" t="s">
        <v>46</v>
      </c>
      <c r="E1218" s="16" t="s">
        <v>133</v>
      </c>
      <c r="F1218">
        <v>2027</v>
      </c>
      <c r="G1218" s="12">
        <v>26000</v>
      </c>
      <c r="H1218" s="13"/>
      <c r="I1218" s="13"/>
      <c r="J1218" s="13"/>
      <c r="K1218" s="13"/>
      <c r="L1218" s="13"/>
      <c r="M1218" s="13">
        <v>0.25</v>
      </c>
    </row>
    <row r="1219" spans="2:13" x14ac:dyDescent="0.25">
      <c r="B1219" s="14" t="s">
        <v>179</v>
      </c>
      <c r="C1219" s="14" t="s">
        <v>146</v>
      </c>
      <c r="D1219" t="s">
        <v>46</v>
      </c>
      <c r="E1219" s="16" t="s">
        <v>133</v>
      </c>
      <c r="F1219">
        <v>2028</v>
      </c>
      <c r="G1219" s="12">
        <v>26222</v>
      </c>
      <c r="H1219" s="13"/>
      <c r="I1219" s="13"/>
      <c r="J1219" s="13"/>
      <c r="K1219" s="13"/>
      <c r="L1219" s="13"/>
      <c r="M1219" s="13">
        <v>0.25</v>
      </c>
    </row>
    <row r="1220" spans="2:13" x14ac:dyDescent="0.25">
      <c r="B1220" s="14" t="s">
        <v>179</v>
      </c>
      <c r="C1220" s="14" t="s">
        <v>146</v>
      </c>
      <c r="D1220" t="s">
        <v>46</v>
      </c>
      <c r="E1220" s="16" t="s">
        <v>133</v>
      </c>
      <c r="F1220">
        <v>2029</v>
      </c>
      <c r="G1220" s="12">
        <v>26444</v>
      </c>
      <c r="H1220" s="13"/>
      <c r="I1220" s="13"/>
      <c r="J1220" s="13"/>
      <c r="K1220" s="13"/>
      <c r="L1220" s="13"/>
      <c r="M1220" s="13">
        <v>0.25</v>
      </c>
    </row>
    <row r="1221" spans="2:13" x14ac:dyDescent="0.25">
      <c r="B1221" s="14" t="s">
        <v>179</v>
      </c>
      <c r="C1221" s="14" t="s">
        <v>146</v>
      </c>
      <c r="D1221" t="s">
        <v>46</v>
      </c>
      <c r="E1221" s="16" t="s">
        <v>133</v>
      </c>
      <c r="F1221">
        <v>2030</v>
      </c>
      <c r="G1221" s="12">
        <v>26671</v>
      </c>
      <c r="H1221" s="13"/>
      <c r="I1221" s="13"/>
      <c r="J1221" s="13"/>
      <c r="K1221" s="13"/>
      <c r="L1221" s="13"/>
      <c r="M1221" s="13">
        <v>0.25</v>
      </c>
    </row>
    <row r="1222" spans="2:13" x14ac:dyDescent="0.25">
      <c r="B1222" s="14" t="s">
        <v>179</v>
      </c>
      <c r="C1222" s="14" t="s">
        <v>139</v>
      </c>
      <c r="D1222" t="s">
        <v>46</v>
      </c>
      <c r="E1222" s="16" t="s">
        <v>133</v>
      </c>
      <c r="F1222">
        <v>2026</v>
      </c>
      <c r="G1222" s="12">
        <v>960053</v>
      </c>
      <c r="H1222" s="13">
        <v>0.77</v>
      </c>
      <c r="I1222" s="13">
        <v>0.75</v>
      </c>
      <c r="J1222" s="13">
        <v>0</v>
      </c>
      <c r="K1222" s="13"/>
      <c r="L1222" s="13">
        <v>0.04</v>
      </c>
      <c r="M1222" s="13">
        <v>0.25</v>
      </c>
    </row>
    <row r="1223" spans="2:13" x14ac:dyDescent="0.25">
      <c r="B1223" s="14" t="s">
        <v>179</v>
      </c>
      <c r="C1223" s="14" t="s">
        <v>139</v>
      </c>
      <c r="D1223" t="s">
        <v>46</v>
      </c>
      <c r="E1223" s="16" t="s">
        <v>133</v>
      </c>
      <c r="F1223">
        <v>2027</v>
      </c>
      <c r="G1223" s="12">
        <v>973391</v>
      </c>
      <c r="H1223" s="13">
        <v>0.78</v>
      </c>
      <c r="I1223" s="13">
        <v>0.76</v>
      </c>
      <c r="J1223" s="13">
        <v>0</v>
      </c>
      <c r="K1223" s="13"/>
      <c r="L1223" s="13">
        <v>0.04</v>
      </c>
      <c r="M1223" s="13">
        <v>0.25</v>
      </c>
    </row>
    <row r="1224" spans="2:13" x14ac:dyDescent="0.25">
      <c r="B1224" s="14" t="s">
        <v>179</v>
      </c>
      <c r="C1224" s="14" t="s">
        <v>139</v>
      </c>
      <c r="D1224" t="s">
        <v>46</v>
      </c>
      <c r="E1224" s="16" t="s">
        <v>133</v>
      </c>
      <c r="F1224">
        <v>2028</v>
      </c>
      <c r="G1224" s="12">
        <v>981702</v>
      </c>
      <c r="H1224" s="13">
        <v>0.78</v>
      </c>
      <c r="I1224" s="13">
        <v>0.76</v>
      </c>
      <c r="J1224" s="13">
        <v>0</v>
      </c>
      <c r="K1224" s="13"/>
      <c r="L1224" s="13">
        <v>0.04</v>
      </c>
      <c r="M1224" s="13">
        <v>0.25</v>
      </c>
    </row>
    <row r="1225" spans="2:13" x14ac:dyDescent="0.25">
      <c r="B1225" s="14" t="s">
        <v>179</v>
      </c>
      <c r="C1225" s="14" t="s">
        <v>139</v>
      </c>
      <c r="D1225" t="s">
        <v>46</v>
      </c>
      <c r="E1225" s="16" t="s">
        <v>133</v>
      </c>
      <c r="F1225">
        <v>2029</v>
      </c>
      <c r="G1225" s="12">
        <v>985666.379982527</v>
      </c>
      <c r="H1225" s="13">
        <v>0.78979999999999995</v>
      </c>
      <c r="I1225" s="13">
        <v>0.76980000000000004</v>
      </c>
      <c r="J1225" s="13">
        <v>0</v>
      </c>
      <c r="K1225" s="13"/>
      <c r="L1225" s="13">
        <v>0.04</v>
      </c>
      <c r="M1225" s="13">
        <v>0.25</v>
      </c>
    </row>
    <row r="1226" spans="2:13" x14ac:dyDescent="0.25">
      <c r="B1226" s="14" t="s">
        <v>179</v>
      </c>
      <c r="C1226" s="14" t="s">
        <v>139</v>
      </c>
      <c r="D1226" t="s">
        <v>46</v>
      </c>
      <c r="E1226" s="16" t="s">
        <v>133</v>
      </c>
      <c r="F1226">
        <v>2030</v>
      </c>
      <c r="G1226" s="12">
        <v>994137.72759160597</v>
      </c>
      <c r="H1226" s="13">
        <v>0.7964</v>
      </c>
      <c r="I1226" s="13">
        <v>0.77639999999999998</v>
      </c>
      <c r="J1226" s="13">
        <v>0</v>
      </c>
      <c r="K1226" s="13"/>
      <c r="L1226" s="13">
        <v>0.04</v>
      </c>
      <c r="M1226" s="13">
        <v>0.25</v>
      </c>
    </row>
    <row r="1227" spans="2:13" x14ac:dyDescent="0.25">
      <c r="B1227" s="14" t="s">
        <v>179</v>
      </c>
      <c r="C1227" s="14" t="s">
        <v>101</v>
      </c>
      <c r="D1227" t="s">
        <v>137</v>
      </c>
      <c r="E1227" s="16" t="s">
        <v>133</v>
      </c>
      <c r="F1227">
        <v>2029</v>
      </c>
      <c r="G1227" s="12"/>
      <c r="H1227" s="13">
        <v>1</v>
      </c>
      <c r="I1227" s="13"/>
      <c r="J1227" s="13"/>
      <c r="K1227" s="13"/>
      <c r="L1227" s="13">
        <v>0.1</v>
      </c>
      <c r="M1227" s="13"/>
    </row>
    <row r="1228" spans="2:13" x14ac:dyDescent="0.25">
      <c r="B1228" s="14" t="s">
        <v>179</v>
      </c>
      <c r="C1228" s="14" t="s">
        <v>101</v>
      </c>
      <c r="D1228" t="s">
        <v>137</v>
      </c>
      <c r="E1228" s="16" t="s">
        <v>133</v>
      </c>
      <c r="F1228">
        <v>2030</v>
      </c>
      <c r="G1228" s="12">
        <v>13787850</v>
      </c>
      <c r="H1228" s="13">
        <v>1</v>
      </c>
      <c r="I1228" s="13"/>
      <c r="J1228" s="13"/>
      <c r="K1228" s="13"/>
      <c r="L1228" s="13">
        <v>0.1</v>
      </c>
      <c r="M1228" s="13"/>
    </row>
    <row r="1229" spans="2:13" x14ac:dyDescent="0.25">
      <c r="B1229" s="15" t="s">
        <v>179</v>
      </c>
      <c r="C1229" s="14" t="s">
        <v>101</v>
      </c>
      <c r="D1229" t="s">
        <v>46</v>
      </c>
      <c r="E1229" s="16" t="s">
        <v>133</v>
      </c>
      <c r="F1229">
        <v>2030</v>
      </c>
      <c r="G1229" s="12">
        <v>1030771.56414254</v>
      </c>
      <c r="H1229" s="13">
        <v>0.53639999999999999</v>
      </c>
      <c r="I1229" s="13"/>
      <c r="J1229" s="13"/>
      <c r="K1229" s="13"/>
      <c r="L1229" s="13">
        <v>0.1</v>
      </c>
      <c r="M1229" s="13">
        <v>0.25</v>
      </c>
    </row>
    <row r="1230" spans="2:13" x14ac:dyDescent="0.25">
      <c r="B1230" s="14" t="s">
        <v>180</v>
      </c>
      <c r="C1230" s="14" t="s">
        <v>132</v>
      </c>
      <c r="D1230" t="s">
        <v>46</v>
      </c>
      <c r="E1230" s="16" t="s">
        <v>133</v>
      </c>
      <c r="F1230">
        <v>2026</v>
      </c>
      <c r="G1230" s="12">
        <v>959366</v>
      </c>
      <c r="H1230" s="13">
        <v>0.93</v>
      </c>
      <c r="I1230" s="13">
        <v>0.8931</v>
      </c>
      <c r="J1230" s="13">
        <v>0.84</v>
      </c>
      <c r="K1230" s="13">
        <v>0</v>
      </c>
      <c r="L1230" s="13">
        <v>7.0000000000000007E-2</v>
      </c>
      <c r="M1230" s="13">
        <v>0.25</v>
      </c>
    </row>
    <row r="1231" spans="2:13" x14ac:dyDescent="0.25">
      <c r="B1231" s="14" t="s">
        <v>180</v>
      </c>
      <c r="C1231" s="14" t="s">
        <v>132</v>
      </c>
      <c r="D1231" t="s">
        <v>46</v>
      </c>
      <c r="E1231" s="16" t="s">
        <v>133</v>
      </c>
      <c r="F1231">
        <v>2027</v>
      </c>
      <c r="G1231" s="12">
        <v>978317</v>
      </c>
      <c r="H1231" s="13">
        <v>0.94</v>
      </c>
      <c r="I1231" s="13">
        <v>0.90310000000000001</v>
      </c>
      <c r="J1231" s="13">
        <v>0.85</v>
      </c>
      <c r="K1231" s="13">
        <v>0</v>
      </c>
      <c r="L1231" s="13">
        <v>7.0000000000000007E-2</v>
      </c>
      <c r="M1231" s="13">
        <v>0.25</v>
      </c>
    </row>
    <row r="1232" spans="2:13" x14ac:dyDescent="0.25">
      <c r="B1232" s="14" t="s">
        <v>180</v>
      </c>
      <c r="C1232" s="14" t="s">
        <v>132</v>
      </c>
      <c r="D1232" t="s">
        <v>46</v>
      </c>
      <c r="E1232" s="16" t="s">
        <v>133</v>
      </c>
      <c r="F1232">
        <v>2028</v>
      </c>
      <c r="G1232" s="12">
        <v>1010325.67372619</v>
      </c>
      <c r="H1232" s="13">
        <v>0</v>
      </c>
      <c r="I1232" s="13">
        <v>0</v>
      </c>
      <c r="J1232" s="13">
        <v>0</v>
      </c>
      <c r="K1232" s="13">
        <v>0</v>
      </c>
      <c r="L1232" s="13">
        <v>7.0000000000000007E-2</v>
      </c>
      <c r="M1232" s="13">
        <v>0.25</v>
      </c>
    </row>
    <row r="1233" spans="2:13" x14ac:dyDescent="0.25">
      <c r="B1233" s="14" t="s">
        <v>180</v>
      </c>
      <c r="C1233" s="14" t="s">
        <v>132</v>
      </c>
      <c r="D1233" t="s">
        <v>46</v>
      </c>
      <c r="E1233" s="16" t="s">
        <v>133</v>
      </c>
      <c r="F1233">
        <v>2029</v>
      </c>
      <c r="G1233" s="12">
        <v>1030407.14722014</v>
      </c>
      <c r="H1233" s="13">
        <v>0</v>
      </c>
      <c r="I1233" s="13">
        <v>0</v>
      </c>
      <c r="J1233" s="13">
        <v>0</v>
      </c>
      <c r="K1233" s="13">
        <v>0</v>
      </c>
      <c r="L1233" s="13">
        <v>7.0000000000000007E-2</v>
      </c>
      <c r="M1233" s="13">
        <v>0.25</v>
      </c>
    </row>
    <row r="1234" spans="2:13" x14ac:dyDescent="0.25">
      <c r="B1234" s="14" t="s">
        <v>180</v>
      </c>
      <c r="C1234" s="14" t="s">
        <v>70</v>
      </c>
      <c r="D1234" t="s">
        <v>46</v>
      </c>
      <c r="E1234" s="16" t="s">
        <v>133</v>
      </c>
      <c r="F1234">
        <v>2026</v>
      </c>
      <c r="G1234" s="12">
        <v>959366</v>
      </c>
      <c r="H1234" s="13">
        <v>0.84</v>
      </c>
      <c r="I1234" s="13">
        <v>0.74</v>
      </c>
      <c r="J1234" s="13">
        <v>0</v>
      </c>
      <c r="K1234" s="13">
        <v>0</v>
      </c>
      <c r="L1234" s="13">
        <v>7.0000000000000007E-2</v>
      </c>
      <c r="M1234" s="13">
        <v>0.25</v>
      </c>
    </row>
    <row r="1235" spans="2:13" x14ac:dyDescent="0.25">
      <c r="B1235" s="14" t="s">
        <v>180</v>
      </c>
      <c r="C1235" s="14" t="s">
        <v>70</v>
      </c>
      <c r="D1235" t="s">
        <v>46</v>
      </c>
      <c r="E1235" s="16" t="s">
        <v>133</v>
      </c>
      <c r="F1235">
        <v>2027</v>
      </c>
      <c r="G1235" s="12">
        <v>978317</v>
      </c>
      <c r="H1235" s="13">
        <v>0.85</v>
      </c>
      <c r="I1235" s="13">
        <v>0.75</v>
      </c>
      <c r="J1235" s="13">
        <v>0</v>
      </c>
      <c r="K1235" s="13">
        <v>0</v>
      </c>
      <c r="L1235" s="13">
        <v>7.0000000000000007E-2</v>
      </c>
      <c r="M1235" s="13">
        <v>0.25</v>
      </c>
    </row>
    <row r="1236" spans="2:13" x14ac:dyDescent="0.25">
      <c r="B1236" s="14" t="s">
        <v>180</v>
      </c>
      <c r="C1236" s="14" t="s">
        <v>70</v>
      </c>
      <c r="D1236" t="s">
        <v>46</v>
      </c>
      <c r="E1236" s="16" t="s">
        <v>133</v>
      </c>
      <c r="F1236">
        <v>2028</v>
      </c>
      <c r="G1236" s="12">
        <v>1010325.67372619</v>
      </c>
      <c r="H1236" s="13">
        <v>0</v>
      </c>
      <c r="I1236" s="13">
        <v>0</v>
      </c>
      <c r="J1236" s="13">
        <v>0</v>
      </c>
      <c r="K1236" s="13">
        <v>0</v>
      </c>
      <c r="L1236" s="13">
        <v>7.0000000000000007E-2</v>
      </c>
      <c r="M1236" s="13">
        <v>0.25</v>
      </c>
    </row>
    <row r="1237" spans="2:13" x14ac:dyDescent="0.25">
      <c r="B1237" s="14" t="s">
        <v>180</v>
      </c>
      <c r="C1237" s="14" t="s">
        <v>70</v>
      </c>
      <c r="D1237" t="s">
        <v>46</v>
      </c>
      <c r="E1237" s="16" t="s">
        <v>133</v>
      </c>
      <c r="F1237">
        <v>2029</v>
      </c>
      <c r="G1237" s="12">
        <v>1030407.14722014</v>
      </c>
      <c r="H1237" s="13">
        <v>0</v>
      </c>
      <c r="I1237" s="13">
        <v>0</v>
      </c>
      <c r="J1237" s="13">
        <v>0</v>
      </c>
      <c r="K1237" s="13">
        <v>0</v>
      </c>
      <c r="L1237" s="13">
        <v>7.0000000000000007E-2</v>
      </c>
      <c r="M1237" s="13">
        <v>0.25</v>
      </c>
    </row>
    <row r="1238" spans="2:13" x14ac:dyDescent="0.25">
      <c r="B1238" s="14" t="s">
        <v>180</v>
      </c>
      <c r="C1238" s="14" t="s">
        <v>134</v>
      </c>
      <c r="D1238" t="s">
        <v>46</v>
      </c>
      <c r="E1238" s="16" t="s">
        <v>133</v>
      </c>
      <c r="F1238">
        <v>2027</v>
      </c>
      <c r="G1238" s="12">
        <v>989874.88810318499</v>
      </c>
      <c r="H1238" s="13">
        <v>0</v>
      </c>
      <c r="I1238" s="13">
        <v>0</v>
      </c>
      <c r="J1238" s="13">
        <v>0</v>
      </c>
      <c r="K1238" s="13">
        <v>0</v>
      </c>
      <c r="L1238" s="13">
        <v>7.0000000000000007E-2</v>
      </c>
      <c r="M1238" s="13">
        <v>0.25</v>
      </c>
    </row>
    <row r="1239" spans="2:13" x14ac:dyDescent="0.25">
      <c r="B1239" s="14" t="s">
        <v>180</v>
      </c>
      <c r="C1239" s="14" t="s">
        <v>134</v>
      </c>
      <c r="D1239" t="s">
        <v>46</v>
      </c>
      <c r="E1239" s="16" t="s">
        <v>133</v>
      </c>
      <c r="F1239">
        <v>2028</v>
      </c>
      <c r="G1239" s="12">
        <v>998529</v>
      </c>
      <c r="H1239" s="13">
        <v>0.94320000000000004</v>
      </c>
      <c r="I1239" s="13">
        <v>0.90629999999999999</v>
      </c>
      <c r="J1239" s="13">
        <v>0.85319999999999996</v>
      </c>
      <c r="K1239" s="13">
        <v>0</v>
      </c>
      <c r="L1239" s="13">
        <v>7.0000000000000007E-2</v>
      </c>
      <c r="M1239" s="13">
        <v>0.25</v>
      </c>
    </row>
    <row r="1240" spans="2:13" x14ac:dyDescent="0.25">
      <c r="B1240" s="14" t="s">
        <v>180</v>
      </c>
      <c r="C1240" s="14" t="s">
        <v>134</v>
      </c>
      <c r="D1240" t="s">
        <v>46</v>
      </c>
      <c r="E1240" s="16" t="s">
        <v>133</v>
      </c>
      <c r="F1240">
        <v>2029</v>
      </c>
      <c r="G1240" s="12">
        <v>1030407.14722014</v>
      </c>
      <c r="H1240" s="13">
        <v>0.86980000000000002</v>
      </c>
      <c r="I1240" s="13">
        <v>0.84930000000000005</v>
      </c>
      <c r="J1240" s="13">
        <v>0.81979999999999997</v>
      </c>
      <c r="K1240" s="13">
        <v>0</v>
      </c>
      <c r="L1240" s="13">
        <v>7.0000000000000007E-2</v>
      </c>
      <c r="M1240" s="13">
        <v>0.25</v>
      </c>
    </row>
    <row r="1241" spans="2:13" x14ac:dyDescent="0.25">
      <c r="B1241" s="14" t="s">
        <v>180</v>
      </c>
      <c r="C1241" s="14" t="s">
        <v>134</v>
      </c>
      <c r="D1241" t="s">
        <v>46</v>
      </c>
      <c r="E1241" s="16" t="s">
        <v>133</v>
      </c>
      <c r="F1241">
        <v>2030</v>
      </c>
      <c r="G1241" s="12">
        <v>1046413.0337118499</v>
      </c>
      <c r="H1241" s="13">
        <v>0.87639999999999996</v>
      </c>
      <c r="I1241" s="13">
        <v>0.85589999999999999</v>
      </c>
      <c r="J1241" s="13">
        <v>0.82640000000000002</v>
      </c>
      <c r="K1241" s="13">
        <v>0</v>
      </c>
      <c r="L1241" s="13">
        <v>7.0000000000000007E-2</v>
      </c>
      <c r="M1241" s="13">
        <v>0.25</v>
      </c>
    </row>
    <row r="1242" spans="2:13" x14ac:dyDescent="0.25">
      <c r="B1242" s="14" t="s">
        <v>180</v>
      </c>
      <c r="C1242" s="14" t="s">
        <v>72</v>
      </c>
      <c r="D1242" t="s">
        <v>46</v>
      </c>
      <c r="E1242" s="16" t="s">
        <v>133</v>
      </c>
      <c r="F1242">
        <v>2026</v>
      </c>
      <c r="G1242" s="12">
        <v>959366</v>
      </c>
      <c r="H1242" s="13">
        <v>0.93</v>
      </c>
      <c r="I1242" s="13">
        <v>0.8972</v>
      </c>
      <c r="J1242" s="13">
        <v>0.85</v>
      </c>
      <c r="K1242" s="13"/>
      <c r="L1242" s="13">
        <v>7.0000000000000007E-2</v>
      </c>
      <c r="M1242" s="13">
        <v>0.25</v>
      </c>
    </row>
    <row r="1243" spans="2:13" x14ac:dyDescent="0.25">
      <c r="B1243" s="14" t="s">
        <v>180</v>
      </c>
      <c r="C1243" s="14" t="s">
        <v>72</v>
      </c>
      <c r="D1243" t="s">
        <v>46</v>
      </c>
      <c r="E1243" s="16" t="s">
        <v>133</v>
      </c>
      <c r="F1243">
        <v>2027</v>
      </c>
      <c r="G1243" s="12">
        <v>978317</v>
      </c>
      <c r="H1243" s="13">
        <v>0.94</v>
      </c>
      <c r="I1243" s="13">
        <v>0.90720000000000001</v>
      </c>
      <c r="J1243" s="13">
        <v>0.86</v>
      </c>
      <c r="K1243" s="13"/>
      <c r="L1243" s="13">
        <v>7.0000000000000007E-2</v>
      </c>
      <c r="M1243" s="13">
        <v>0.25</v>
      </c>
    </row>
    <row r="1244" spans="2:13" x14ac:dyDescent="0.25">
      <c r="B1244" s="14" t="s">
        <v>180</v>
      </c>
      <c r="C1244" s="14" t="s">
        <v>72</v>
      </c>
      <c r="D1244" t="s">
        <v>46</v>
      </c>
      <c r="E1244" s="16" t="s">
        <v>133</v>
      </c>
      <c r="F1244">
        <v>2028</v>
      </c>
      <c r="G1244" s="12">
        <v>998529</v>
      </c>
      <c r="H1244" s="13">
        <v>0.95</v>
      </c>
      <c r="I1244" s="13">
        <v>0.91720000000000002</v>
      </c>
      <c r="J1244" s="13">
        <v>0.87</v>
      </c>
      <c r="K1244" s="13"/>
      <c r="L1244" s="13">
        <v>7.0000000000000007E-2</v>
      </c>
      <c r="M1244" s="13">
        <v>0.25</v>
      </c>
    </row>
    <row r="1245" spans="2:13" x14ac:dyDescent="0.25">
      <c r="B1245" s="14" t="s">
        <v>180</v>
      </c>
      <c r="C1245" s="14" t="s">
        <v>72</v>
      </c>
      <c r="D1245" t="s">
        <v>46</v>
      </c>
      <c r="E1245" s="16" t="s">
        <v>133</v>
      </c>
      <c r="F1245">
        <v>2029</v>
      </c>
      <c r="G1245" s="12">
        <v>1030407.14722014</v>
      </c>
      <c r="H1245" s="13">
        <v>0.86980000000000002</v>
      </c>
      <c r="I1245" s="13">
        <v>0.84930000000000005</v>
      </c>
      <c r="J1245" s="13">
        <v>0.81979999999999997</v>
      </c>
      <c r="K1245" s="13"/>
      <c r="L1245" s="13">
        <v>7.0000000000000007E-2</v>
      </c>
      <c r="M1245" s="13">
        <v>0.25</v>
      </c>
    </row>
    <row r="1246" spans="2:13" x14ac:dyDescent="0.25">
      <c r="B1246" s="14" t="s">
        <v>180</v>
      </c>
      <c r="C1246" s="14" t="s">
        <v>72</v>
      </c>
      <c r="D1246" t="s">
        <v>46</v>
      </c>
      <c r="E1246" s="16" t="s">
        <v>133</v>
      </c>
      <c r="F1246">
        <v>2030</v>
      </c>
      <c r="G1246" s="12">
        <v>1046413.0337118499</v>
      </c>
      <c r="H1246" s="13">
        <v>0.87639999999999996</v>
      </c>
      <c r="I1246" s="13">
        <v>0.85589999999999999</v>
      </c>
      <c r="J1246" s="13">
        <v>0.82640000000000002</v>
      </c>
      <c r="K1246" s="13"/>
      <c r="L1246" s="13">
        <v>7.0000000000000007E-2</v>
      </c>
      <c r="M1246" s="13">
        <v>0.25</v>
      </c>
    </row>
    <row r="1247" spans="2:13" x14ac:dyDescent="0.25">
      <c r="B1247" s="14" t="s">
        <v>180</v>
      </c>
      <c r="C1247" s="14" t="s">
        <v>135</v>
      </c>
      <c r="D1247" t="s">
        <v>46</v>
      </c>
      <c r="E1247" s="16" t="s">
        <v>133</v>
      </c>
      <c r="F1247">
        <v>2028</v>
      </c>
      <c r="G1247" s="12">
        <v>1010325.67372619</v>
      </c>
      <c r="H1247" s="13">
        <v>0</v>
      </c>
      <c r="I1247" s="13">
        <v>0</v>
      </c>
      <c r="J1247" s="13">
        <v>0</v>
      </c>
      <c r="K1247" s="13">
        <v>0</v>
      </c>
      <c r="L1247" s="13">
        <v>0.15</v>
      </c>
      <c r="M1247" s="13">
        <v>0.25</v>
      </c>
    </row>
    <row r="1248" spans="2:13" x14ac:dyDescent="0.25">
      <c r="B1248" s="14" t="s">
        <v>180</v>
      </c>
      <c r="C1248" s="14" t="s">
        <v>135</v>
      </c>
      <c r="D1248" t="s">
        <v>46</v>
      </c>
      <c r="E1248" s="16" t="s">
        <v>133</v>
      </c>
      <c r="F1248">
        <v>2029</v>
      </c>
      <c r="G1248" s="12">
        <v>1030407.14722014</v>
      </c>
      <c r="H1248" s="13">
        <v>0.3599</v>
      </c>
      <c r="I1248" s="13">
        <v>9.9000000000000008E-3</v>
      </c>
      <c r="J1248" s="13">
        <v>9.9000000000000008E-3</v>
      </c>
      <c r="K1248" s="13">
        <v>0</v>
      </c>
      <c r="L1248" s="13">
        <v>0.15</v>
      </c>
      <c r="M1248" s="13">
        <v>0.25</v>
      </c>
    </row>
    <row r="1249" spans="2:13" x14ac:dyDescent="0.25">
      <c r="B1249" s="14" t="s">
        <v>180</v>
      </c>
      <c r="C1249" s="14" t="s">
        <v>135</v>
      </c>
      <c r="D1249" t="s">
        <v>46</v>
      </c>
      <c r="E1249" s="16" t="s">
        <v>133</v>
      </c>
      <c r="F1249">
        <v>2030</v>
      </c>
      <c r="G1249" s="12">
        <v>1046413.0337118499</v>
      </c>
      <c r="H1249" s="13">
        <v>0.72640000000000005</v>
      </c>
      <c r="I1249" s="13">
        <v>2.64E-2</v>
      </c>
      <c r="J1249" s="13">
        <v>2.64E-2</v>
      </c>
      <c r="K1249" s="13">
        <v>0</v>
      </c>
      <c r="L1249" s="13">
        <v>0.15</v>
      </c>
      <c r="M1249" s="13">
        <v>0.25</v>
      </c>
    </row>
    <row r="1250" spans="2:13" x14ac:dyDescent="0.25">
      <c r="B1250" s="14" t="s">
        <v>180</v>
      </c>
      <c r="C1250" s="14" t="s">
        <v>181</v>
      </c>
      <c r="D1250" t="s">
        <v>46</v>
      </c>
      <c r="E1250" s="16" t="s">
        <v>133</v>
      </c>
      <c r="F1250">
        <v>2029</v>
      </c>
      <c r="G1250" s="12">
        <v>1030407.14722014</v>
      </c>
      <c r="H1250" s="13">
        <v>0.41980000000000001</v>
      </c>
      <c r="I1250" s="13"/>
      <c r="J1250" s="13"/>
      <c r="K1250" s="13"/>
      <c r="L1250" s="13">
        <v>0.17</v>
      </c>
      <c r="M1250" s="13">
        <v>0.25</v>
      </c>
    </row>
    <row r="1251" spans="2:13" x14ac:dyDescent="0.25">
      <c r="B1251" s="14" t="s">
        <v>180</v>
      </c>
      <c r="C1251" s="14" t="s">
        <v>181</v>
      </c>
      <c r="D1251" t="s">
        <v>46</v>
      </c>
      <c r="E1251" s="16" t="s">
        <v>133</v>
      </c>
      <c r="F1251">
        <v>2030</v>
      </c>
      <c r="G1251" s="12">
        <v>1046413.0337118499</v>
      </c>
      <c r="H1251" s="13">
        <v>0.84619999999999995</v>
      </c>
      <c r="I1251" s="13"/>
      <c r="J1251" s="13"/>
      <c r="K1251" s="13"/>
      <c r="L1251" s="13">
        <v>0.17</v>
      </c>
      <c r="M1251" s="13">
        <v>0.25</v>
      </c>
    </row>
    <row r="1252" spans="2:13" x14ac:dyDescent="0.25">
      <c r="B1252" s="14" t="s">
        <v>180</v>
      </c>
      <c r="C1252" s="14" t="s">
        <v>182</v>
      </c>
      <c r="D1252" t="s">
        <v>46</v>
      </c>
      <c r="E1252" s="16" t="s">
        <v>133</v>
      </c>
      <c r="F1252">
        <v>2029</v>
      </c>
      <c r="G1252" s="12">
        <v>1030407.14722014</v>
      </c>
      <c r="H1252" s="13">
        <v>0.41980000000000001</v>
      </c>
      <c r="I1252" s="13"/>
      <c r="J1252" s="13"/>
      <c r="K1252" s="13"/>
      <c r="L1252" s="13">
        <v>0.17</v>
      </c>
      <c r="M1252" s="13">
        <v>0.25</v>
      </c>
    </row>
    <row r="1253" spans="2:13" x14ac:dyDescent="0.25">
      <c r="B1253" s="14" t="s">
        <v>180</v>
      </c>
      <c r="C1253" s="14" t="s">
        <v>182</v>
      </c>
      <c r="D1253" t="s">
        <v>46</v>
      </c>
      <c r="E1253" s="16" t="s">
        <v>133</v>
      </c>
      <c r="F1253">
        <v>2030</v>
      </c>
      <c r="G1253" s="12">
        <v>1046413.0337118499</v>
      </c>
      <c r="H1253" s="13">
        <v>0.84619999999999995</v>
      </c>
      <c r="I1253" s="13"/>
      <c r="J1253" s="13"/>
      <c r="K1253" s="13"/>
      <c r="L1253" s="13">
        <v>0.17</v>
      </c>
      <c r="M1253" s="13">
        <v>0.25</v>
      </c>
    </row>
    <row r="1254" spans="2:13" x14ac:dyDescent="0.25">
      <c r="B1254" s="14" t="s">
        <v>180</v>
      </c>
      <c r="C1254" s="14" t="s">
        <v>102</v>
      </c>
      <c r="D1254" t="s">
        <v>46</v>
      </c>
      <c r="E1254" s="16" t="s">
        <v>133</v>
      </c>
      <c r="F1254">
        <v>2030</v>
      </c>
      <c r="G1254" s="12">
        <v>1046413.0337118499</v>
      </c>
      <c r="H1254" s="13">
        <v>6.1697070499999999E-2</v>
      </c>
      <c r="I1254" s="13"/>
      <c r="J1254" s="13"/>
      <c r="K1254" s="13"/>
      <c r="L1254" s="13">
        <v>7.0000000000000007E-2</v>
      </c>
      <c r="M1254" s="13">
        <v>0.25</v>
      </c>
    </row>
    <row r="1255" spans="2:13" x14ac:dyDescent="0.25">
      <c r="B1255" s="14" t="s">
        <v>180</v>
      </c>
      <c r="C1255" s="14" t="s">
        <v>15</v>
      </c>
      <c r="D1255" t="s">
        <v>46</v>
      </c>
      <c r="E1255" s="16" t="s">
        <v>133</v>
      </c>
      <c r="F1255">
        <v>2026</v>
      </c>
      <c r="G1255" s="12">
        <v>324304</v>
      </c>
      <c r="H1255" s="13">
        <v>0.9</v>
      </c>
      <c r="I1255" s="13"/>
      <c r="J1255" s="13"/>
      <c r="K1255" s="13"/>
      <c r="L1255" s="13">
        <v>0.05</v>
      </c>
      <c r="M1255" s="13">
        <v>0.25</v>
      </c>
    </row>
    <row r="1256" spans="2:13" x14ac:dyDescent="0.25">
      <c r="B1256" s="14" t="s">
        <v>180</v>
      </c>
      <c r="C1256" s="14" t="s">
        <v>15</v>
      </c>
      <c r="D1256" t="s">
        <v>46</v>
      </c>
      <c r="E1256" s="16" t="s">
        <v>133</v>
      </c>
      <c r="F1256">
        <v>2027</v>
      </c>
      <c r="G1256" s="12">
        <v>317374</v>
      </c>
      <c r="H1256" s="13">
        <v>0.9</v>
      </c>
      <c r="I1256" s="13"/>
      <c r="J1256" s="13"/>
      <c r="K1256" s="13"/>
      <c r="L1256" s="13">
        <v>0.05</v>
      </c>
      <c r="M1256" s="13">
        <v>0.25</v>
      </c>
    </row>
    <row r="1257" spans="2:13" x14ac:dyDescent="0.25">
      <c r="B1257" s="14" t="s">
        <v>180</v>
      </c>
      <c r="C1257" s="14" t="s">
        <v>15</v>
      </c>
      <c r="D1257" t="s">
        <v>46</v>
      </c>
      <c r="E1257" s="16" t="s">
        <v>133</v>
      </c>
      <c r="F1257">
        <v>2028</v>
      </c>
      <c r="G1257" s="12">
        <v>323721.48</v>
      </c>
      <c r="H1257" s="13">
        <v>0.90900000000000003</v>
      </c>
      <c r="I1257" s="13"/>
      <c r="J1257" s="13"/>
      <c r="K1257" s="13"/>
      <c r="L1257" s="13">
        <v>5.0500000000000003E-2</v>
      </c>
      <c r="M1257" s="13">
        <v>0.25</v>
      </c>
    </row>
    <row r="1258" spans="2:13" x14ac:dyDescent="0.25">
      <c r="B1258" s="14" t="s">
        <v>180</v>
      </c>
      <c r="C1258" s="14" t="s">
        <v>15</v>
      </c>
      <c r="D1258" t="s">
        <v>46</v>
      </c>
      <c r="E1258" s="16" t="s">
        <v>133</v>
      </c>
      <c r="F1258">
        <v>2029</v>
      </c>
      <c r="G1258" s="12">
        <v>328723</v>
      </c>
      <c r="H1258" s="13">
        <v>0.55236249999999998</v>
      </c>
      <c r="I1258" s="13"/>
      <c r="J1258" s="13"/>
      <c r="K1258" s="13"/>
      <c r="L1258" s="13">
        <v>0.05</v>
      </c>
      <c r="M1258" s="13">
        <v>0.25</v>
      </c>
    </row>
    <row r="1259" spans="2:13" x14ac:dyDescent="0.25">
      <c r="B1259" s="14" t="s">
        <v>180</v>
      </c>
      <c r="C1259" s="14" t="s">
        <v>15</v>
      </c>
      <c r="D1259" t="s">
        <v>46</v>
      </c>
      <c r="E1259" s="16" t="s">
        <v>133</v>
      </c>
      <c r="F1259">
        <v>2030</v>
      </c>
      <c r="G1259" s="12">
        <v>337795</v>
      </c>
      <c r="H1259" s="13">
        <v>0.55236249999999998</v>
      </c>
      <c r="I1259" s="13"/>
      <c r="J1259" s="13"/>
      <c r="K1259" s="13"/>
      <c r="L1259" s="13">
        <v>0.05</v>
      </c>
      <c r="M1259" s="13">
        <v>0.25</v>
      </c>
    </row>
    <row r="1260" spans="2:13" x14ac:dyDescent="0.25">
      <c r="B1260" s="14" t="s">
        <v>180</v>
      </c>
      <c r="C1260" s="14" t="s">
        <v>145</v>
      </c>
      <c r="D1260" t="s">
        <v>46</v>
      </c>
      <c r="E1260" s="16" t="s">
        <v>133</v>
      </c>
      <c r="F1260">
        <v>2026</v>
      </c>
      <c r="G1260" s="12">
        <v>285306.93973536801</v>
      </c>
      <c r="H1260" s="13">
        <v>0.80500000000000005</v>
      </c>
      <c r="I1260" s="13">
        <v>0.755</v>
      </c>
      <c r="J1260" s="13">
        <v>0.70499999999999996</v>
      </c>
      <c r="K1260" s="13">
        <v>0.65</v>
      </c>
      <c r="L1260" s="13"/>
      <c r="M1260" s="13">
        <v>0.25</v>
      </c>
    </row>
    <row r="1261" spans="2:13" x14ac:dyDescent="0.25">
      <c r="B1261" s="14" t="s">
        <v>180</v>
      </c>
      <c r="C1261" s="14" t="s">
        <v>145</v>
      </c>
      <c r="D1261" t="s">
        <v>46</v>
      </c>
      <c r="E1261" s="16" t="s">
        <v>133</v>
      </c>
      <c r="F1261">
        <v>2027</v>
      </c>
      <c r="G1261" s="12">
        <v>538791.33349999995</v>
      </c>
      <c r="H1261" s="13">
        <v>0.81</v>
      </c>
      <c r="I1261" s="13">
        <v>0.76</v>
      </c>
      <c r="J1261" s="13">
        <v>0.71</v>
      </c>
      <c r="K1261" s="13">
        <v>0.65500000000000003</v>
      </c>
      <c r="L1261" s="13"/>
      <c r="M1261" s="13">
        <v>0.25</v>
      </c>
    </row>
    <row r="1262" spans="2:13" x14ac:dyDescent="0.25">
      <c r="B1262" s="14" t="s">
        <v>180</v>
      </c>
      <c r="C1262" s="14" t="s">
        <v>145</v>
      </c>
      <c r="D1262" t="s">
        <v>46</v>
      </c>
      <c r="E1262" s="16" t="s">
        <v>133</v>
      </c>
      <c r="F1262">
        <v>2028</v>
      </c>
      <c r="G1262" s="12">
        <v>546873.20350249996</v>
      </c>
      <c r="H1262" s="13">
        <v>0.81499999999999995</v>
      </c>
      <c r="I1262" s="13">
        <v>0.76500000000000001</v>
      </c>
      <c r="J1262" s="13">
        <v>0.71499999999999997</v>
      </c>
      <c r="K1262" s="13">
        <v>0.66</v>
      </c>
      <c r="L1262" s="13"/>
      <c r="M1262" s="13">
        <v>0.25</v>
      </c>
    </row>
    <row r="1263" spans="2:13" x14ac:dyDescent="0.25">
      <c r="B1263" s="14" t="s">
        <v>180</v>
      </c>
      <c r="C1263" s="14" t="s">
        <v>145</v>
      </c>
      <c r="D1263" t="s">
        <v>46</v>
      </c>
      <c r="E1263" s="16" t="s">
        <v>133</v>
      </c>
      <c r="F1263">
        <v>2029</v>
      </c>
      <c r="G1263" s="12">
        <v>555076.30155503703</v>
      </c>
      <c r="H1263" s="13">
        <v>0.82</v>
      </c>
      <c r="I1263" s="13">
        <v>0.77</v>
      </c>
      <c r="J1263" s="13">
        <v>0.72</v>
      </c>
      <c r="K1263" s="13">
        <v>0.66500000000000004</v>
      </c>
      <c r="L1263" s="13"/>
      <c r="M1263" s="13">
        <v>0.25</v>
      </c>
    </row>
    <row r="1264" spans="2:13" x14ac:dyDescent="0.25">
      <c r="B1264" s="14" t="s">
        <v>180</v>
      </c>
      <c r="C1264" s="14" t="s">
        <v>145</v>
      </c>
      <c r="D1264" t="s">
        <v>46</v>
      </c>
      <c r="E1264" s="16" t="s">
        <v>133</v>
      </c>
      <c r="F1264">
        <v>2030</v>
      </c>
      <c r="G1264" s="12">
        <v>563402.44607836299</v>
      </c>
      <c r="H1264" s="13">
        <v>0.82499999999999996</v>
      </c>
      <c r="I1264" s="13">
        <v>0.77500000000000002</v>
      </c>
      <c r="J1264" s="13">
        <v>0.72499999999999998</v>
      </c>
      <c r="K1264" s="13">
        <v>0.67</v>
      </c>
      <c r="L1264" s="13"/>
      <c r="M1264" s="13">
        <v>0.25</v>
      </c>
    </row>
    <row r="1265" spans="2:13" x14ac:dyDescent="0.25">
      <c r="B1265" s="14" t="s">
        <v>180</v>
      </c>
      <c r="C1265" s="14" t="s">
        <v>38</v>
      </c>
      <c r="D1265" t="s">
        <v>46</v>
      </c>
      <c r="E1265" s="16" t="s">
        <v>133</v>
      </c>
      <c r="F1265">
        <v>2026</v>
      </c>
      <c r="G1265" s="12">
        <v>959366</v>
      </c>
      <c r="H1265" s="13">
        <v>0.74</v>
      </c>
      <c r="I1265" s="13"/>
      <c r="J1265" s="13"/>
      <c r="K1265" s="13"/>
      <c r="L1265" s="13">
        <v>0.2</v>
      </c>
      <c r="M1265" s="13">
        <v>0.25</v>
      </c>
    </row>
    <row r="1266" spans="2:13" x14ac:dyDescent="0.25">
      <c r="B1266" s="14" t="s">
        <v>180</v>
      </c>
      <c r="C1266" s="14" t="s">
        <v>38</v>
      </c>
      <c r="D1266" t="s">
        <v>46</v>
      </c>
      <c r="E1266" s="16" t="s">
        <v>133</v>
      </c>
      <c r="F1266">
        <v>2027</v>
      </c>
      <c r="G1266" s="12">
        <v>978317</v>
      </c>
      <c r="H1266" s="13">
        <v>0.75</v>
      </c>
      <c r="I1266" s="13"/>
      <c r="J1266" s="13"/>
      <c r="K1266" s="13"/>
      <c r="L1266" s="13">
        <v>0.2</v>
      </c>
      <c r="M1266" s="13">
        <v>0.25</v>
      </c>
    </row>
    <row r="1267" spans="2:13" x14ac:dyDescent="0.25">
      <c r="B1267" s="14" t="s">
        <v>180</v>
      </c>
      <c r="C1267" s="14" t="s">
        <v>40</v>
      </c>
      <c r="D1267" t="s">
        <v>151</v>
      </c>
      <c r="E1267" s="16" t="s">
        <v>133</v>
      </c>
      <c r="F1267">
        <v>2028</v>
      </c>
      <c r="G1267" s="12">
        <v>7423895.75</v>
      </c>
      <c r="H1267" s="13">
        <v>1</v>
      </c>
      <c r="I1267" s="13"/>
      <c r="J1267" s="13"/>
      <c r="K1267" s="13"/>
      <c r="L1267" s="13">
        <v>0.1</v>
      </c>
      <c r="M1267" s="13">
        <v>0.25</v>
      </c>
    </row>
    <row r="1268" spans="2:13" x14ac:dyDescent="0.25">
      <c r="B1268" s="14" t="s">
        <v>180</v>
      </c>
      <c r="C1268" s="14" t="s">
        <v>40</v>
      </c>
      <c r="D1268" t="s">
        <v>46</v>
      </c>
      <c r="E1268" s="16" t="s">
        <v>133</v>
      </c>
      <c r="F1268">
        <v>2028</v>
      </c>
      <c r="G1268" s="12">
        <v>998529</v>
      </c>
      <c r="H1268" s="13">
        <v>0.76</v>
      </c>
      <c r="I1268" s="13"/>
      <c r="J1268" s="13"/>
      <c r="K1268" s="13"/>
      <c r="L1268" s="13">
        <v>0.2</v>
      </c>
      <c r="M1268" s="13">
        <v>0.25</v>
      </c>
    </row>
    <row r="1269" spans="2:13" x14ac:dyDescent="0.25">
      <c r="B1269" s="14" t="s">
        <v>180</v>
      </c>
      <c r="C1269" s="14" t="s">
        <v>40</v>
      </c>
      <c r="D1269" t="s">
        <v>46</v>
      </c>
      <c r="E1269" s="16" t="s">
        <v>133</v>
      </c>
      <c r="F1269">
        <v>2029</v>
      </c>
      <c r="G1269" s="12">
        <v>775943</v>
      </c>
      <c r="H1269" s="13">
        <v>0.74</v>
      </c>
      <c r="I1269" s="13"/>
      <c r="J1269" s="13"/>
      <c r="K1269" s="13"/>
      <c r="L1269" s="13">
        <v>0.1</v>
      </c>
      <c r="M1269" s="13">
        <v>0.25</v>
      </c>
    </row>
    <row r="1270" spans="2:13" x14ac:dyDescent="0.25">
      <c r="B1270" s="14" t="s">
        <v>180</v>
      </c>
      <c r="C1270" s="14" t="s">
        <v>40</v>
      </c>
      <c r="D1270" t="s">
        <v>46</v>
      </c>
      <c r="E1270" s="16" t="s">
        <v>133</v>
      </c>
      <c r="F1270">
        <v>2030</v>
      </c>
      <c r="G1270" s="12">
        <v>787996</v>
      </c>
      <c r="H1270" s="13">
        <v>0.74</v>
      </c>
      <c r="I1270" s="13"/>
      <c r="J1270" s="13"/>
      <c r="K1270" s="13"/>
      <c r="L1270" s="13">
        <v>0.1</v>
      </c>
      <c r="M1270" s="13">
        <v>0.25</v>
      </c>
    </row>
    <row r="1271" spans="2:13" x14ac:dyDescent="0.25">
      <c r="B1271" s="14" t="s">
        <v>180</v>
      </c>
      <c r="C1271" s="14" t="s">
        <v>52</v>
      </c>
      <c r="D1271" t="s">
        <v>141</v>
      </c>
      <c r="E1271" s="16" t="s">
        <v>133</v>
      </c>
      <c r="F1271">
        <v>2027</v>
      </c>
      <c r="G1271" s="12">
        <v>4002225.75</v>
      </c>
      <c r="H1271" s="13">
        <v>0.85</v>
      </c>
      <c r="I1271" s="13"/>
      <c r="J1271" s="13"/>
      <c r="K1271" s="13"/>
      <c r="L1271" s="13"/>
      <c r="M1271" s="13"/>
    </row>
    <row r="1272" spans="2:13" x14ac:dyDescent="0.25">
      <c r="B1272" s="14" t="s">
        <v>180</v>
      </c>
      <c r="C1272" s="14" t="s">
        <v>52</v>
      </c>
      <c r="D1272" t="s">
        <v>141</v>
      </c>
      <c r="E1272" s="16" t="s">
        <v>133</v>
      </c>
      <c r="F1272">
        <v>2030</v>
      </c>
      <c r="G1272" s="12">
        <v>4251447.5625</v>
      </c>
      <c r="H1272" s="13">
        <v>0.85</v>
      </c>
      <c r="I1272" s="13"/>
      <c r="J1272" s="13"/>
      <c r="K1272" s="13"/>
      <c r="L1272" s="13"/>
      <c r="M1272" s="13"/>
    </row>
    <row r="1273" spans="2:13" x14ac:dyDescent="0.25">
      <c r="B1273" s="14" t="s">
        <v>180</v>
      </c>
      <c r="C1273" s="14" t="s">
        <v>52</v>
      </c>
      <c r="D1273" t="s">
        <v>138</v>
      </c>
      <c r="E1273" s="16" t="s">
        <v>133</v>
      </c>
      <c r="F1273">
        <v>2026</v>
      </c>
      <c r="G1273" s="12">
        <v>971317</v>
      </c>
      <c r="H1273" s="13">
        <v>0.95</v>
      </c>
      <c r="I1273" s="13">
        <v>0.9</v>
      </c>
      <c r="J1273" s="13"/>
      <c r="K1273" s="13"/>
      <c r="L1273" s="13"/>
      <c r="M1273" s="13"/>
    </row>
    <row r="1274" spans="2:13" x14ac:dyDescent="0.25">
      <c r="B1274" s="14" t="s">
        <v>180</v>
      </c>
      <c r="C1274" s="14" t="s">
        <v>52</v>
      </c>
      <c r="D1274" t="s">
        <v>138</v>
      </c>
      <c r="E1274" s="16" t="s">
        <v>133</v>
      </c>
      <c r="F1274">
        <v>2027</v>
      </c>
      <c r="G1274" s="12">
        <v>990504</v>
      </c>
      <c r="H1274" s="13">
        <v>0.95</v>
      </c>
      <c r="I1274" s="13">
        <v>0.9</v>
      </c>
      <c r="J1274" s="13"/>
      <c r="K1274" s="13"/>
      <c r="L1274" s="13"/>
      <c r="M1274" s="13"/>
    </row>
    <row r="1275" spans="2:13" x14ac:dyDescent="0.25">
      <c r="B1275" s="14" t="s">
        <v>180</v>
      </c>
      <c r="C1275" s="14" t="s">
        <v>52</v>
      </c>
      <c r="D1275" t="s">
        <v>138</v>
      </c>
      <c r="E1275" s="16" t="s">
        <v>133</v>
      </c>
      <c r="F1275">
        <v>2028</v>
      </c>
      <c r="G1275" s="12">
        <v>1010968</v>
      </c>
      <c r="H1275" s="13">
        <v>0.72</v>
      </c>
      <c r="I1275" s="13">
        <v>0.90900000000000003</v>
      </c>
      <c r="J1275" s="13"/>
      <c r="K1275" s="13"/>
      <c r="L1275" s="13"/>
      <c r="M1275" s="13"/>
    </row>
    <row r="1276" spans="2:13" x14ac:dyDescent="0.25">
      <c r="B1276" s="14" t="s">
        <v>180</v>
      </c>
      <c r="C1276" s="14" t="s">
        <v>52</v>
      </c>
      <c r="D1276" t="s">
        <v>138</v>
      </c>
      <c r="E1276" s="16" t="s">
        <v>133</v>
      </c>
      <c r="F1276">
        <v>2029</v>
      </c>
      <c r="G1276" s="12">
        <v>1031062</v>
      </c>
      <c r="H1276" s="13">
        <v>0.72</v>
      </c>
      <c r="I1276" s="13">
        <v>0.70069499999999996</v>
      </c>
      <c r="J1276" s="13"/>
      <c r="K1276" s="13"/>
      <c r="L1276" s="13"/>
      <c r="M1276" s="13"/>
    </row>
    <row r="1277" spans="2:13" x14ac:dyDescent="0.25">
      <c r="B1277" s="14" t="s">
        <v>180</v>
      </c>
      <c r="C1277" s="14" t="s">
        <v>52</v>
      </c>
      <c r="D1277" t="s">
        <v>138</v>
      </c>
      <c r="E1277" s="16" t="s">
        <v>133</v>
      </c>
      <c r="F1277">
        <v>2030</v>
      </c>
      <c r="G1277" s="12">
        <v>1047078</v>
      </c>
      <c r="H1277" s="13">
        <v>0.72</v>
      </c>
      <c r="I1277" s="13">
        <v>0.70069499999999996</v>
      </c>
      <c r="J1277" s="13"/>
      <c r="K1277" s="13"/>
      <c r="L1277" s="13"/>
      <c r="M1277" s="13"/>
    </row>
    <row r="1278" spans="2:13" x14ac:dyDescent="0.25">
      <c r="B1278" s="14" t="s">
        <v>180</v>
      </c>
      <c r="C1278" s="14" t="s">
        <v>139</v>
      </c>
      <c r="D1278" t="s">
        <v>46</v>
      </c>
      <c r="E1278" s="16" t="s">
        <v>133</v>
      </c>
      <c r="F1278">
        <v>2026</v>
      </c>
      <c r="G1278" s="12">
        <v>959366</v>
      </c>
      <c r="H1278" s="13">
        <v>0.93</v>
      </c>
      <c r="I1278" s="13">
        <v>0.86439999999999995</v>
      </c>
      <c r="J1278" s="13">
        <v>0.86439999999999995</v>
      </c>
      <c r="K1278" s="13"/>
      <c r="L1278" s="13">
        <v>7.0000000000000007E-2</v>
      </c>
      <c r="M1278" s="13">
        <v>0.25</v>
      </c>
    </row>
    <row r="1279" spans="2:13" x14ac:dyDescent="0.25">
      <c r="B1279" s="14" t="s">
        <v>180</v>
      </c>
      <c r="C1279" s="14" t="s">
        <v>139</v>
      </c>
      <c r="D1279" t="s">
        <v>46</v>
      </c>
      <c r="E1279" s="16" t="s">
        <v>133</v>
      </c>
      <c r="F1279">
        <v>2027</v>
      </c>
      <c r="G1279" s="12">
        <v>978317</v>
      </c>
      <c r="H1279" s="13">
        <v>0.94</v>
      </c>
      <c r="I1279" s="13">
        <v>0.87439999999999996</v>
      </c>
      <c r="J1279" s="13">
        <v>0.87439999999999996</v>
      </c>
      <c r="K1279" s="13"/>
      <c r="L1279" s="13">
        <v>7.0000000000000007E-2</v>
      </c>
      <c r="M1279" s="13">
        <v>0.25</v>
      </c>
    </row>
    <row r="1280" spans="2:13" x14ac:dyDescent="0.25">
      <c r="B1280" s="14" t="s">
        <v>180</v>
      </c>
      <c r="C1280" s="14" t="s">
        <v>139</v>
      </c>
      <c r="D1280" t="s">
        <v>46</v>
      </c>
      <c r="E1280" s="16" t="s">
        <v>133</v>
      </c>
      <c r="F1280">
        <v>2028</v>
      </c>
      <c r="G1280" s="12">
        <v>998529</v>
      </c>
      <c r="H1280" s="13">
        <v>0.95</v>
      </c>
      <c r="I1280" s="13">
        <v>0.88439999999999996</v>
      </c>
      <c r="J1280" s="13">
        <v>0.88439999999999996</v>
      </c>
      <c r="K1280" s="13"/>
      <c r="L1280" s="13">
        <v>7.0000000000000007E-2</v>
      </c>
      <c r="M1280" s="13">
        <v>0.25</v>
      </c>
    </row>
    <row r="1281" spans="2:13" x14ac:dyDescent="0.25">
      <c r="B1281" s="14" t="s">
        <v>180</v>
      </c>
      <c r="C1281" s="14" t="s">
        <v>139</v>
      </c>
      <c r="D1281" t="s">
        <v>46</v>
      </c>
      <c r="E1281" s="16" t="s">
        <v>133</v>
      </c>
      <c r="F1281">
        <v>2029</v>
      </c>
      <c r="G1281" s="12">
        <v>1030407.14722014</v>
      </c>
      <c r="H1281" s="13">
        <v>0.86980000000000002</v>
      </c>
      <c r="I1281" s="13">
        <v>0.84930000000000005</v>
      </c>
      <c r="J1281" s="13">
        <v>0.81979999999999997</v>
      </c>
      <c r="K1281" s="13"/>
      <c r="L1281" s="13">
        <v>7.0000000000000007E-2</v>
      </c>
      <c r="M1281" s="13">
        <v>0.25</v>
      </c>
    </row>
    <row r="1282" spans="2:13" x14ac:dyDescent="0.25">
      <c r="B1282" s="14" t="s">
        <v>180</v>
      </c>
      <c r="C1282" s="14" t="s">
        <v>139</v>
      </c>
      <c r="D1282" t="s">
        <v>46</v>
      </c>
      <c r="E1282" s="16" t="s">
        <v>133</v>
      </c>
      <c r="F1282">
        <v>2030</v>
      </c>
      <c r="G1282" s="12">
        <v>1046413.0337118499</v>
      </c>
      <c r="H1282" s="13">
        <v>0.87639999999999996</v>
      </c>
      <c r="I1282" s="13">
        <v>0.85589999999999999</v>
      </c>
      <c r="J1282" s="13">
        <v>0.82640000000000002</v>
      </c>
      <c r="K1282" s="13"/>
      <c r="L1282" s="13">
        <v>7.0000000000000007E-2</v>
      </c>
      <c r="M1282" s="13">
        <v>0.25</v>
      </c>
    </row>
    <row r="1283" spans="2:13" x14ac:dyDescent="0.25">
      <c r="B1283" s="14" t="s">
        <v>180</v>
      </c>
      <c r="C1283" s="14" t="s">
        <v>74</v>
      </c>
      <c r="D1283" t="s">
        <v>46</v>
      </c>
      <c r="E1283" s="16" t="s">
        <v>133</v>
      </c>
      <c r="F1283">
        <v>2026</v>
      </c>
      <c r="G1283" s="12">
        <v>959366</v>
      </c>
      <c r="H1283" s="13">
        <v>0.74</v>
      </c>
      <c r="I1283" s="13"/>
      <c r="J1283" s="13"/>
      <c r="K1283" s="13"/>
      <c r="L1283" s="13">
        <v>0.2</v>
      </c>
      <c r="M1283" s="13">
        <v>0.25</v>
      </c>
    </row>
    <row r="1284" spans="2:13" x14ac:dyDescent="0.25">
      <c r="B1284" s="14" t="s">
        <v>180</v>
      </c>
      <c r="C1284" s="14" t="s">
        <v>74</v>
      </c>
      <c r="D1284" t="s">
        <v>46</v>
      </c>
      <c r="E1284" s="16" t="s">
        <v>133</v>
      </c>
      <c r="F1284">
        <v>2027</v>
      </c>
      <c r="G1284" s="12">
        <v>978317</v>
      </c>
      <c r="H1284" s="13">
        <v>0.75</v>
      </c>
      <c r="I1284" s="13"/>
      <c r="J1284" s="13"/>
      <c r="K1284" s="13"/>
      <c r="L1284" s="13">
        <v>0.2</v>
      </c>
      <c r="M1284" s="13">
        <v>0.25</v>
      </c>
    </row>
    <row r="1285" spans="2:13" x14ac:dyDescent="0.25">
      <c r="B1285" s="14" t="s">
        <v>180</v>
      </c>
      <c r="C1285" s="14" t="s">
        <v>74</v>
      </c>
      <c r="D1285" t="s">
        <v>46</v>
      </c>
      <c r="E1285" s="16" t="s">
        <v>133</v>
      </c>
      <c r="F1285">
        <v>2028</v>
      </c>
      <c r="G1285" s="12">
        <v>998529</v>
      </c>
      <c r="H1285" s="13">
        <v>0.76</v>
      </c>
      <c r="I1285" s="13"/>
      <c r="J1285" s="13"/>
      <c r="K1285" s="13"/>
      <c r="L1285" s="13">
        <v>0.2</v>
      </c>
      <c r="M1285" s="13">
        <v>0.25</v>
      </c>
    </row>
    <row r="1286" spans="2:13" x14ac:dyDescent="0.25">
      <c r="B1286" s="14" t="s">
        <v>180</v>
      </c>
      <c r="C1286" s="14" t="s">
        <v>74</v>
      </c>
      <c r="D1286" t="s">
        <v>46</v>
      </c>
      <c r="E1286" s="16" t="s">
        <v>133</v>
      </c>
      <c r="F1286">
        <v>2029</v>
      </c>
      <c r="G1286" s="12">
        <v>1029507</v>
      </c>
      <c r="H1286" s="13">
        <v>0.74</v>
      </c>
      <c r="I1286" s="13"/>
      <c r="J1286" s="13"/>
      <c r="K1286" s="13"/>
      <c r="L1286" s="13">
        <v>0.2</v>
      </c>
      <c r="M1286" s="13">
        <v>0.25</v>
      </c>
    </row>
    <row r="1287" spans="2:13" x14ac:dyDescent="0.25">
      <c r="B1287" s="15" t="s">
        <v>180</v>
      </c>
      <c r="C1287" s="14" t="s">
        <v>74</v>
      </c>
      <c r="D1287" t="s">
        <v>46</v>
      </c>
      <c r="E1287" s="16" t="s">
        <v>133</v>
      </c>
      <c r="F1287">
        <v>2030</v>
      </c>
      <c r="G1287" s="12">
        <v>1045499</v>
      </c>
      <c r="H1287" s="13">
        <v>0.74</v>
      </c>
      <c r="I1287" s="13"/>
      <c r="J1287" s="13"/>
      <c r="K1287" s="13"/>
      <c r="L1287" s="13">
        <v>0.2</v>
      </c>
      <c r="M1287" s="13">
        <v>0.25</v>
      </c>
    </row>
    <row r="1288" spans="2:13" x14ac:dyDescent="0.25">
      <c r="B1288" s="14" t="s">
        <v>183</v>
      </c>
      <c r="C1288" s="14" t="s">
        <v>132</v>
      </c>
      <c r="D1288" t="s">
        <v>46</v>
      </c>
      <c r="E1288" s="16" t="s">
        <v>144</v>
      </c>
      <c r="F1288">
        <v>2026</v>
      </c>
      <c r="G1288" s="12">
        <v>193600</v>
      </c>
      <c r="H1288" s="13">
        <v>1</v>
      </c>
      <c r="I1288" s="13">
        <v>0.59</v>
      </c>
      <c r="J1288" s="13">
        <v>0</v>
      </c>
      <c r="K1288" s="13">
        <v>0</v>
      </c>
      <c r="L1288" s="13">
        <v>7.0000000000000007E-2</v>
      </c>
      <c r="M1288" s="13">
        <v>0.25</v>
      </c>
    </row>
    <row r="1289" spans="2:13" x14ac:dyDescent="0.25">
      <c r="B1289" s="14" t="s">
        <v>183</v>
      </c>
      <c r="C1289" s="14" t="s">
        <v>132</v>
      </c>
      <c r="D1289" t="s">
        <v>46</v>
      </c>
      <c r="E1289" s="16" t="s">
        <v>144</v>
      </c>
      <c r="F1289">
        <v>2027</v>
      </c>
      <c r="G1289" s="12">
        <v>193600</v>
      </c>
      <c r="H1289" s="13">
        <v>1</v>
      </c>
      <c r="I1289" s="13">
        <v>0.59660000000000002</v>
      </c>
      <c r="J1289" s="13">
        <v>6.6E-3</v>
      </c>
      <c r="K1289" s="13">
        <v>0</v>
      </c>
      <c r="L1289" s="13">
        <v>7.0000000000000007E-2</v>
      </c>
      <c r="M1289" s="13">
        <v>0.25</v>
      </c>
    </row>
    <row r="1290" spans="2:13" x14ac:dyDescent="0.25">
      <c r="B1290" s="14" t="s">
        <v>183</v>
      </c>
      <c r="C1290" s="14" t="s">
        <v>132</v>
      </c>
      <c r="D1290" t="s">
        <v>46</v>
      </c>
      <c r="E1290" s="16" t="s">
        <v>144</v>
      </c>
      <c r="F1290">
        <v>2028</v>
      </c>
      <c r="G1290" s="12">
        <v>193600</v>
      </c>
      <c r="H1290" s="13">
        <v>1</v>
      </c>
      <c r="I1290" s="13">
        <v>0.60319999999999996</v>
      </c>
      <c r="J1290" s="13">
        <v>1.32E-2</v>
      </c>
      <c r="K1290" s="13">
        <v>0</v>
      </c>
      <c r="L1290" s="13">
        <v>7.0000000000000007E-2</v>
      </c>
      <c r="M1290" s="13">
        <v>0.25</v>
      </c>
    </row>
    <row r="1291" spans="2:13" x14ac:dyDescent="0.25">
      <c r="B1291" s="14" t="s">
        <v>183</v>
      </c>
      <c r="C1291" s="14" t="s">
        <v>132</v>
      </c>
      <c r="D1291" t="s">
        <v>46</v>
      </c>
      <c r="E1291" s="16" t="s">
        <v>133</v>
      </c>
      <c r="F1291">
        <v>2026</v>
      </c>
      <c r="G1291" s="12">
        <v>684000</v>
      </c>
      <c r="H1291" s="13">
        <v>0.8</v>
      </c>
      <c r="I1291" s="13">
        <v>0.77949999999999997</v>
      </c>
      <c r="J1291" s="13">
        <v>0.75</v>
      </c>
      <c r="K1291" s="13">
        <v>0</v>
      </c>
      <c r="L1291" s="13">
        <v>7.0000000000000007E-2</v>
      </c>
      <c r="M1291" s="13">
        <v>0.25</v>
      </c>
    </row>
    <row r="1292" spans="2:13" x14ac:dyDescent="0.25">
      <c r="B1292" s="14" t="s">
        <v>183</v>
      </c>
      <c r="C1292" s="14" t="s">
        <v>132</v>
      </c>
      <c r="D1292" t="s">
        <v>46</v>
      </c>
      <c r="E1292" s="16" t="s">
        <v>133</v>
      </c>
      <c r="F1292">
        <v>2027</v>
      </c>
      <c r="G1292" s="12">
        <v>678285.94020834903</v>
      </c>
      <c r="H1292" s="13">
        <v>0.80659999999999998</v>
      </c>
      <c r="I1292" s="13">
        <v>0.78610000000000002</v>
      </c>
      <c r="J1292" s="13">
        <v>0.75660000000000005</v>
      </c>
      <c r="K1292" s="13">
        <v>0</v>
      </c>
      <c r="L1292" s="13">
        <v>7.0000000000000007E-2</v>
      </c>
      <c r="M1292" s="13">
        <v>0.25</v>
      </c>
    </row>
    <row r="1293" spans="2:13" x14ac:dyDescent="0.25">
      <c r="B1293" s="14" t="s">
        <v>183</v>
      </c>
      <c r="C1293" s="14" t="s">
        <v>132</v>
      </c>
      <c r="D1293" t="s">
        <v>46</v>
      </c>
      <c r="E1293" s="16" t="s">
        <v>133</v>
      </c>
      <c r="F1293">
        <v>2028</v>
      </c>
      <c r="G1293" s="12">
        <v>672619.61503556103</v>
      </c>
      <c r="H1293" s="13">
        <v>0.81320000000000003</v>
      </c>
      <c r="I1293" s="13">
        <v>0.79269999999999996</v>
      </c>
      <c r="J1293" s="13">
        <v>0.76319999999999999</v>
      </c>
      <c r="K1293" s="13">
        <v>0</v>
      </c>
      <c r="L1293" s="13">
        <v>7.0000000000000007E-2</v>
      </c>
      <c r="M1293" s="13">
        <v>0.25</v>
      </c>
    </row>
    <row r="1294" spans="2:13" x14ac:dyDescent="0.25">
      <c r="B1294" s="14" t="s">
        <v>183</v>
      </c>
      <c r="C1294" s="14" t="s">
        <v>132</v>
      </c>
      <c r="D1294" t="s">
        <v>46</v>
      </c>
      <c r="E1294" s="16" t="s">
        <v>133</v>
      </c>
      <c r="F1294">
        <v>2029</v>
      </c>
      <c r="G1294" s="12">
        <v>667000.62571194896</v>
      </c>
      <c r="H1294" s="13">
        <v>0.81979999999999997</v>
      </c>
      <c r="I1294" s="13">
        <v>0.79930000000000001</v>
      </c>
      <c r="J1294" s="13">
        <v>0.76980000000000004</v>
      </c>
      <c r="K1294" s="13">
        <v>0</v>
      </c>
      <c r="L1294" s="13">
        <v>7.0000000000000007E-2</v>
      </c>
      <c r="M1294" s="13">
        <v>0.25</v>
      </c>
    </row>
    <row r="1295" spans="2:13" x14ac:dyDescent="0.25">
      <c r="B1295" s="14" t="s">
        <v>183</v>
      </c>
      <c r="C1295" s="14" t="s">
        <v>132</v>
      </c>
      <c r="D1295" t="s">
        <v>46</v>
      </c>
      <c r="E1295" s="16" t="s">
        <v>133</v>
      </c>
      <c r="F1295">
        <v>2030</v>
      </c>
      <c r="G1295" s="12">
        <v>661428.57679910294</v>
      </c>
      <c r="H1295" s="13">
        <v>0.82640000000000002</v>
      </c>
      <c r="I1295" s="13">
        <v>0.80589999999999995</v>
      </c>
      <c r="J1295" s="13">
        <v>0.77639999999999998</v>
      </c>
      <c r="K1295" s="13">
        <v>0</v>
      </c>
      <c r="L1295" s="13">
        <v>7.0000000000000007E-2</v>
      </c>
      <c r="M1295" s="13">
        <v>0.25</v>
      </c>
    </row>
    <row r="1296" spans="2:13" x14ac:dyDescent="0.25">
      <c r="B1296" s="14" t="s">
        <v>183</v>
      </c>
      <c r="C1296" s="14" t="s">
        <v>70</v>
      </c>
      <c r="D1296" t="s">
        <v>46</v>
      </c>
      <c r="E1296" s="16" t="s">
        <v>144</v>
      </c>
      <c r="F1296">
        <v>2026</v>
      </c>
      <c r="G1296" s="12">
        <v>193600</v>
      </c>
      <c r="H1296" s="13">
        <v>0.99</v>
      </c>
      <c r="I1296" s="13">
        <v>0</v>
      </c>
      <c r="J1296" s="13">
        <v>0</v>
      </c>
      <c r="K1296" s="13">
        <v>0</v>
      </c>
      <c r="L1296" s="13">
        <v>7.0000000000000007E-2</v>
      </c>
      <c r="M1296" s="13">
        <v>0.25</v>
      </c>
    </row>
    <row r="1297" spans="2:13" x14ac:dyDescent="0.25">
      <c r="B1297" s="14" t="s">
        <v>183</v>
      </c>
      <c r="C1297" s="14" t="s">
        <v>70</v>
      </c>
      <c r="D1297" t="s">
        <v>46</v>
      </c>
      <c r="E1297" s="16" t="s">
        <v>144</v>
      </c>
      <c r="F1297">
        <v>2027</v>
      </c>
      <c r="G1297" s="12">
        <v>193600</v>
      </c>
      <c r="H1297" s="13">
        <v>0.99</v>
      </c>
      <c r="I1297" s="13">
        <v>6.6E-3</v>
      </c>
      <c r="J1297" s="13">
        <v>6.6E-3</v>
      </c>
      <c r="K1297" s="13">
        <v>0</v>
      </c>
      <c r="L1297" s="13">
        <v>7.0000000000000007E-2</v>
      </c>
      <c r="M1297" s="13">
        <v>0.25</v>
      </c>
    </row>
    <row r="1298" spans="2:13" x14ac:dyDescent="0.25">
      <c r="B1298" s="14" t="s">
        <v>183</v>
      </c>
      <c r="C1298" s="14" t="s">
        <v>70</v>
      </c>
      <c r="D1298" t="s">
        <v>46</v>
      </c>
      <c r="E1298" s="16" t="s">
        <v>144</v>
      </c>
      <c r="F1298">
        <v>2028</v>
      </c>
      <c r="G1298" s="12">
        <v>193600</v>
      </c>
      <c r="H1298" s="13">
        <v>0.74250000000000005</v>
      </c>
      <c r="I1298" s="13">
        <v>0.71489999999999998</v>
      </c>
      <c r="J1298" s="13">
        <v>9.9000000000000008E-3</v>
      </c>
      <c r="K1298" s="13">
        <v>0</v>
      </c>
      <c r="L1298" s="13">
        <v>7.0000000000000007E-2</v>
      </c>
      <c r="M1298" s="13">
        <v>0.25</v>
      </c>
    </row>
    <row r="1299" spans="2:13" x14ac:dyDescent="0.25">
      <c r="B1299" s="14" t="s">
        <v>183</v>
      </c>
      <c r="C1299" s="14" t="s">
        <v>70</v>
      </c>
      <c r="D1299" t="s">
        <v>46</v>
      </c>
      <c r="E1299" s="16" t="s">
        <v>133</v>
      </c>
      <c r="F1299">
        <v>2026</v>
      </c>
      <c r="G1299" s="12">
        <v>684000</v>
      </c>
      <c r="H1299" s="13">
        <v>0.8</v>
      </c>
      <c r="I1299" s="13">
        <v>0</v>
      </c>
      <c r="J1299" s="13">
        <v>0</v>
      </c>
      <c r="K1299" s="13">
        <v>0</v>
      </c>
      <c r="L1299" s="13">
        <v>7.0000000000000007E-2</v>
      </c>
      <c r="M1299" s="13">
        <v>0.25</v>
      </c>
    </row>
    <row r="1300" spans="2:13" x14ac:dyDescent="0.25">
      <c r="B1300" s="14" t="s">
        <v>183</v>
      </c>
      <c r="C1300" s="14" t="s">
        <v>70</v>
      </c>
      <c r="D1300" t="s">
        <v>46</v>
      </c>
      <c r="E1300" s="16" t="s">
        <v>133</v>
      </c>
      <c r="F1300">
        <v>2027</v>
      </c>
      <c r="G1300" s="12">
        <v>678285.94020834903</v>
      </c>
      <c r="H1300" s="13">
        <v>0.80659999999999998</v>
      </c>
      <c r="I1300" s="13">
        <v>6.6E-3</v>
      </c>
      <c r="J1300" s="13">
        <v>6.6E-3</v>
      </c>
      <c r="K1300" s="13">
        <v>0</v>
      </c>
      <c r="L1300" s="13">
        <v>7.0000000000000007E-2</v>
      </c>
      <c r="M1300" s="13">
        <v>0.25</v>
      </c>
    </row>
    <row r="1301" spans="2:13" x14ac:dyDescent="0.25">
      <c r="B1301" s="14" t="s">
        <v>183</v>
      </c>
      <c r="C1301" s="14" t="s">
        <v>70</v>
      </c>
      <c r="D1301" t="s">
        <v>46</v>
      </c>
      <c r="E1301" s="16" t="s">
        <v>133</v>
      </c>
      <c r="F1301">
        <v>2028</v>
      </c>
      <c r="G1301" s="12">
        <v>672619.61503556103</v>
      </c>
      <c r="H1301" s="13">
        <v>0.6099</v>
      </c>
      <c r="I1301" s="13">
        <v>0.57240000000000002</v>
      </c>
      <c r="J1301" s="13">
        <v>9.9000000000000008E-3</v>
      </c>
      <c r="K1301" s="13">
        <v>0</v>
      </c>
      <c r="L1301" s="13">
        <v>7.0000000000000007E-2</v>
      </c>
      <c r="M1301" s="13">
        <v>0.25</v>
      </c>
    </row>
    <row r="1302" spans="2:13" x14ac:dyDescent="0.25">
      <c r="B1302" s="14" t="s">
        <v>183</v>
      </c>
      <c r="C1302" s="14" t="s">
        <v>70</v>
      </c>
      <c r="D1302" t="s">
        <v>46</v>
      </c>
      <c r="E1302" s="16" t="s">
        <v>133</v>
      </c>
      <c r="F1302">
        <v>2029</v>
      </c>
      <c r="G1302" s="12">
        <v>667000.62571194896</v>
      </c>
      <c r="H1302" s="13">
        <v>0.81979999999999997</v>
      </c>
      <c r="I1302" s="13">
        <v>0.76980000000000004</v>
      </c>
      <c r="J1302" s="13">
        <v>1.9800000000000002E-2</v>
      </c>
      <c r="K1302" s="13">
        <v>0</v>
      </c>
      <c r="L1302" s="13">
        <v>7.0000000000000007E-2</v>
      </c>
      <c r="M1302" s="13">
        <v>0.25</v>
      </c>
    </row>
    <row r="1303" spans="2:13" x14ac:dyDescent="0.25">
      <c r="B1303" s="14" t="s">
        <v>183</v>
      </c>
      <c r="C1303" s="14" t="s">
        <v>70</v>
      </c>
      <c r="D1303" t="s">
        <v>46</v>
      </c>
      <c r="E1303" s="16" t="s">
        <v>133</v>
      </c>
      <c r="F1303">
        <v>2030</v>
      </c>
      <c r="G1303" s="12">
        <v>661428.57679910294</v>
      </c>
      <c r="H1303" s="13">
        <v>0.82640000000000002</v>
      </c>
      <c r="I1303" s="13">
        <v>0.77639999999999998</v>
      </c>
      <c r="J1303" s="13">
        <v>2.64E-2</v>
      </c>
      <c r="K1303" s="13">
        <v>0</v>
      </c>
      <c r="L1303" s="13">
        <v>7.0000000000000007E-2</v>
      </c>
      <c r="M1303" s="13">
        <v>0.25</v>
      </c>
    </row>
    <row r="1304" spans="2:13" x14ac:dyDescent="0.25">
      <c r="B1304" s="14" t="s">
        <v>183</v>
      </c>
      <c r="C1304" s="14" t="s">
        <v>72</v>
      </c>
      <c r="D1304" t="s">
        <v>46</v>
      </c>
      <c r="E1304" s="16" t="s">
        <v>144</v>
      </c>
      <c r="F1304">
        <v>2026</v>
      </c>
      <c r="G1304" s="12">
        <v>193607</v>
      </c>
      <c r="H1304" s="13">
        <v>1</v>
      </c>
      <c r="I1304" s="13">
        <v>1</v>
      </c>
      <c r="J1304" s="13">
        <v>1</v>
      </c>
      <c r="K1304" s="13"/>
      <c r="L1304" s="13">
        <v>7.0000000000000007E-2</v>
      </c>
      <c r="M1304" s="13"/>
    </row>
    <row r="1305" spans="2:13" x14ac:dyDescent="0.25">
      <c r="B1305" s="14" t="s">
        <v>183</v>
      </c>
      <c r="C1305" s="14" t="s">
        <v>72</v>
      </c>
      <c r="D1305" t="s">
        <v>46</v>
      </c>
      <c r="E1305" s="16" t="s">
        <v>144</v>
      </c>
      <c r="F1305">
        <v>2027</v>
      </c>
      <c r="G1305" s="12">
        <v>193607</v>
      </c>
      <c r="H1305" s="13">
        <v>1</v>
      </c>
      <c r="I1305" s="13">
        <v>1</v>
      </c>
      <c r="J1305" s="13">
        <v>1</v>
      </c>
      <c r="K1305" s="13"/>
      <c r="L1305" s="13">
        <v>7.0000000000000007E-2</v>
      </c>
      <c r="M1305" s="13"/>
    </row>
    <row r="1306" spans="2:13" x14ac:dyDescent="0.25">
      <c r="B1306" s="14" t="s">
        <v>183</v>
      </c>
      <c r="C1306" s="14" t="s">
        <v>72</v>
      </c>
      <c r="D1306" t="s">
        <v>46</v>
      </c>
      <c r="E1306" s="16" t="s">
        <v>144</v>
      </c>
      <c r="F1306">
        <v>2028</v>
      </c>
      <c r="G1306" s="12">
        <v>193607</v>
      </c>
      <c r="H1306" s="13">
        <v>1</v>
      </c>
      <c r="I1306" s="13">
        <v>1</v>
      </c>
      <c r="J1306" s="13">
        <v>1</v>
      </c>
      <c r="K1306" s="13"/>
      <c r="L1306" s="13">
        <v>7.0000000000000007E-2</v>
      </c>
      <c r="M1306" s="13"/>
    </row>
    <row r="1307" spans="2:13" x14ac:dyDescent="0.25">
      <c r="B1307" s="14" t="s">
        <v>183</v>
      </c>
      <c r="C1307" s="14" t="s">
        <v>72</v>
      </c>
      <c r="D1307" t="s">
        <v>46</v>
      </c>
      <c r="E1307" s="16" t="s">
        <v>133</v>
      </c>
      <c r="F1307">
        <v>2026</v>
      </c>
      <c r="G1307" s="12">
        <v>490526</v>
      </c>
      <c r="H1307" s="13">
        <v>0.8</v>
      </c>
      <c r="I1307" s="13">
        <v>0.77949999999999997</v>
      </c>
      <c r="J1307" s="13">
        <v>0.75</v>
      </c>
      <c r="K1307" s="13"/>
      <c r="L1307" s="13">
        <v>7.0000000000000007E-2</v>
      </c>
      <c r="M1307" s="13">
        <v>0.25</v>
      </c>
    </row>
    <row r="1308" spans="2:13" x14ac:dyDescent="0.25">
      <c r="B1308" s="14" t="s">
        <v>183</v>
      </c>
      <c r="C1308" s="14" t="s">
        <v>72</v>
      </c>
      <c r="D1308" t="s">
        <v>46</v>
      </c>
      <c r="E1308" s="16" t="s">
        <v>133</v>
      </c>
      <c r="F1308">
        <v>2027</v>
      </c>
      <c r="G1308" s="12">
        <v>486159.52052112098</v>
      </c>
      <c r="H1308" s="13">
        <v>0.80659999999999998</v>
      </c>
      <c r="I1308" s="13">
        <v>0.78610000000000002</v>
      </c>
      <c r="J1308" s="13">
        <v>0.75660000000000005</v>
      </c>
      <c r="K1308" s="13"/>
      <c r="L1308" s="13">
        <v>7.0000000000000007E-2</v>
      </c>
      <c r="M1308" s="13">
        <v>0.25</v>
      </c>
    </row>
    <row r="1309" spans="2:13" x14ac:dyDescent="0.25">
      <c r="B1309" s="14" t="s">
        <v>183</v>
      </c>
      <c r="C1309" s="14" t="s">
        <v>72</v>
      </c>
      <c r="D1309" t="s">
        <v>46</v>
      </c>
      <c r="E1309" s="16" t="s">
        <v>133</v>
      </c>
      <c r="F1309">
        <v>2028</v>
      </c>
      <c r="G1309" s="12">
        <v>481431.26665437402</v>
      </c>
      <c r="H1309" s="13">
        <v>0.81320000000000003</v>
      </c>
      <c r="I1309" s="13">
        <v>0.79269999999999996</v>
      </c>
      <c r="J1309" s="13">
        <v>0.76319999999999999</v>
      </c>
      <c r="K1309" s="13"/>
      <c r="L1309" s="13">
        <v>7.0000000000000007E-2</v>
      </c>
      <c r="M1309" s="13">
        <v>0.25</v>
      </c>
    </row>
    <row r="1310" spans="2:13" x14ac:dyDescent="0.25">
      <c r="B1310" s="14" t="s">
        <v>183</v>
      </c>
      <c r="C1310" s="14" t="s">
        <v>72</v>
      </c>
      <c r="D1310" t="s">
        <v>46</v>
      </c>
      <c r="E1310" s="16" t="s">
        <v>133</v>
      </c>
      <c r="F1310">
        <v>2029</v>
      </c>
      <c r="G1310" s="12">
        <v>477839.85445583099</v>
      </c>
      <c r="H1310" s="13">
        <v>0.81979999999999997</v>
      </c>
      <c r="I1310" s="13">
        <v>0.79930000000000001</v>
      </c>
      <c r="J1310" s="13">
        <v>0.76980000000000004</v>
      </c>
      <c r="K1310" s="13"/>
      <c r="L1310" s="13">
        <v>7.0000000000000007E-2</v>
      </c>
      <c r="M1310" s="13">
        <v>0.25</v>
      </c>
    </row>
    <row r="1311" spans="2:13" x14ac:dyDescent="0.25">
      <c r="B1311" s="14" t="s">
        <v>183</v>
      </c>
      <c r="C1311" s="14" t="s">
        <v>72</v>
      </c>
      <c r="D1311" t="s">
        <v>46</v>
      </c>
      <c r="E1311" s="16" t="s">
        <v>133</v>
      </c>
      <c r="F1311">
        <v>2030</v>
      </c>
      <c r="G1311" s="12">
        <v>473794.50698896701</v>
      </c>
      <c r="H1311" s="13">
        <v>0.82640000000000002</v>
      </c>
      <c r="I1311" s="13">
        <v>0.80589999999999995</v>
      </c>
      <c r="J1311" s="13">
        <v>0.77639999999999998</v>
      </c>
      <c r="K1311" s="13"/>
      <c r="L1311" s="13">
        <v>7.0000000000000007E-2</v>
      </c>
      <c r="M1311" s="13">
        <v>0.25</v>
      </c>
    </row>
    <row r="1312" spans="2:13" x14ac:dyDescent="0.25">
      <c r="B1312" s="14" t="s">
        <v>183</v>
      </c>
      <c r="C1312" s="14" t="s">
        <v>15</v>
      </c>
      <c r="D1312" t="s">
        <v>136</v>
      </c>
      <c r="E1312" s="16" t="s">
        <v>133</v>
      </c>
      <c r="F1312">
        <v>2026</v>
      </c>
      <c r="G1312" s="12">
        <v>3847444</v>
      </c>
      <c r="H1312" s="13">
        <v>0.8</v>
      </c>
      <c r="I1312" s="13"/>
      <c r="J1312" s="13"/>
      <c r="K1312" s="13"/>
      <c r="L1312" s="13">
        <v>0.05</v>
      </c>
      <c r="M1312" s="13">
        <v>0.25</v>
      </c>
    </row>
    <row r="1313" spans="2:13" x14ac:dyDescent="0.25">
      <c r="B1313" s="14" t="s">
        <v>183</v>
      </c>
      <c r="C1313" s="14" t="s">
        <v>15</v>
      </c>
      <c r="D1313" t="s">
        <v>136</v>
      </c>
      <c r="E1313" s="16" t="s">
        <v>133</v>
      </c>
      <c r="F1313">
        <v>2027</v>
      </c>
      <c r="G1313" s="12">
        <v>0</v>
      </c>
      <c r="H1313" s="13">
        <v>0</v>
      </c>
      <c r="I1313" s="13"/>
      <c r="J1313" s="13"/>
      <c r="K1313" s="13"/>
      <c r="L1313" s="13">
        <v>0.05</v>
      </c>
      <c r="M1313" s="13">
        <v>0.25</v>
      </c>
    </row>
    <row r="1314" spans="2:13" x14ac:dyDescent="0.25">
      <c r="B1314" s="14" t="s">
        <v>183</v>
      </c>
      <c r="C1314" s="14" t="s">
        <v>15</v>
      </c>
      <c r="D1314" t="s">
        <v>46</v>
      </c>
      <c r="E1314" s="16" t="s">
        <v>144</v>
      </c>
      <c r="F1314">
        <v>2026</v>
      </c>
      <c r="G1314" s="12">
        <v>107154.401</v>
      </c>
      <c r="H1314" s="13">
        <v>1</v>
      </c>
      <c r="I1314" s="13"/>
      <c r="J1314" s="13"/>
      <c r="K1314" s="13"/>
      <c r="L1314" s="13">
        <v>0.05</v>
      </c>
      <c r="M1314" s="13"/>
    </row>
    <row r="1315" spans="2:13" x14ac:dyDescent="0.25">
      <c r="B1315" s="14" t="s">
        <v>183</v>
      </c>
      <c r="C1315" s="14" t="s">
        <v>15</v>
      </c>
      <c r="D1315" t="s">
        <v>46</v>
      </c>
      <c r="E1315" s="16" t="s">
        <v>144</v>
      </c>
      <c r="F1315">
        <v>2027</v>
      </c>
      <c r="G1315" s="12">
        <v>106842.83839999999</v>
      </c>
      <c r="H1315" s="13">
        <v>1</v>
      </c>
      <c r="I1315" s="13"/>
      <c r="J1315" s="13"/>
      <c r="K1315" s="13"/>
      <c r="L1315" s="13">
        <v>0.05</v>
      </c>
      <c r="M1315" s="13"/>
    </row>
    <row r="1316" spans="2:13" x14ac:dyDescent="0.25">
      <c r="B1316" s="14" t="s">
        <v>183</v>
      </c>
      <c r="C1316" s="14" t="s">
        <v>15</v>
      </c>
      <c r="D1316" t="s">
        <v>46</v>
      </c>
      <c r="E1316" s="16" t="s">
        <v>144</v>
      </c>
      <c r="F1316">
        <v>2028</v>
      </c>
      <c r="G1316" s="12">
        <v>106147.852</v>
      </c>
      <c r="H1316" s="13">
        <v>1</v>
      </c>
      <c r="I1316" s="13"/>
      <c r="J1316" s="13"/>
      <c r="K1316" s="13"/>
      <c r="L1316" s="13">
        <v>0.05</v>
      </c>
      <c r="M1316" s="13"/>
    </row>
    <row r="1317" spans="2:13" x14ac:dyDescent="0.25">
      <c r="B1317" s="14" t="s">
        <v>183</v>
      </c>
      <c r="C1317" s="14" t="s">
        <v>15</v>
      </c>
      <c r="D1317" t="s">
        <v>46</v>
      </c>
      <c r="E1317" s="16" t="s">
        <v>133</v>
      </c>
      <c r="F1317">
        <v>2026</v>
      </c>
      <c r="G1317" s="12">
        <v>358734.299</v>
      </c>
      <c r="H1317" s="13">
        <v>0.83</v>
      </c>
      <c r="I1317" s="13"/>
      <c r="J1317" s="13"/>
      <c r="K1317" s="13"/>
      <c r="L1317" s="13">
        <v>0.05</v>
      </c>
      <c r="M1317" s="13">
        <v>0.25</v>
      </c>
    </row>
    <row r="1318" spans="2:13" x14ac:dyDescent="0.25">
      <c r="B1318" s="14" t="s">
        <v>183</v>
      </c>
      <c r="C1318" s="14" t="s">
        <v>15</v>
      </c>
      <c r="D1318" t="s">
        <v>46</v>
      </c>
      <c r="E1318" s="16" t="s">
        <v>133</v>
      </c>
      <c r="F1318">
        <v>2027</v>
      </c>
      <c r="G1318" s="12">
        <v>357691.24160000001</v>
      </c>
      <c r="H1318" s="13">
        <v>0.83</v>
      </c>
      <c r="I1318" s="13"/>
      <c r="J1318" s="13"/>
      <c r="K1318" s="13"/>
      <c r="L1318" s="13">
        <v>0.05</v>
      </c>
      <c r="M1318" s="13">
        <v>0.25</v>
      </c>
    </row>
    <row r="1319" spans="2:13" x14ac:dyDescent="0.25">
      <c r="B1319" s="14" t="s">
        <v>183</v>
      </c>
      <c r="C1319" s="14" t="s">
        <v>15</v>
      </c>
      <c r="D1319" t="s">
        <v>46</v>
      </c>
      <c r="E1319" s="16" t="s">
        <v>133</v>
      </c>
      <c r="F1319">
        <v>2028</v>
      </c>
      <c r="G1319" s="12">
        <v>355364.54800000001</v>
      </c>
      <c r="H1319" s="13">
        <v>0.83</v>
      </c>
      <c r="I1319" s="13"/>
      <c r="J1319" s="13"/>
      <c r="K1319" s="13"/>
      <c r="L1319" s="13">
        <v>0.05</v>
      </c>
      <c r="M1319" s="13">
        <v>0.25</v>
      </c>
    </row>
    <row r="1320" spans="2:13" x14ac:dyDescent="0.25">
      <c r="B1320" s="14" t="s">
        <v>183</v>
      </c>
      <c r="C1320" s="14" t="s">
        <v>15</v>
      </c>
      <c r="D1320" t="s">
        <v>46</v>
      </c>
      <c r="E1320" s="16" t="s">
        <v>133</v>
      </c>
      <c r="F1320">
        <v>2029</v>
      </c>
      <c r="G1320" s="12">
        <v>352629.2</v>
      </c>
      <c r="H1320" s="13">
        <v>0.83</v>
      </c>
      <c r="I1320" s="13"/>
      <c r="J1320" s="13"/>
      <c r="K1320" s="13"/>
      <c r="L1320" s="13">
        <v>0.05</v>
      </c>
      <c r="M1320" s="13">
        <v>0.25</v>
      </c>
    </row>
    <row r="1321" spans="2:13" x14ac:dyDescent="0.25">
      <c r="B1321" s="14" t="s">
        <v>183</v>
      </c>
      <c r="C1321" s="14" t="s">
        <v>15</v>
      </c>
      <c r="D1321" t="s">
        <v>46</v>
      </c>
      <c r="E1321" s="16" t="s">
        <v>133</v>
      </c>
      <c r="F1321">
        <v>2030</v>
      </c>
      <c r="G1321" s="12">
        <v>349897.97149999999</v>
      </c>
      <c r="H1321" s="13">
        <v>0.83</v>
      </c>
      <c r="I1321" s="13"/>
      <c r="J1321" s="13"/>
      <c r="K1321" s="13"/>
      <c r="L1321" s="13">
        <v>0.05</v>
      </c>
      <c r="M1321" s="13">
        <v>0.25</v>
      </c>
    </row>
    <row r="1322" spans="2:13" x14ac:dyDescent="0.25">
      <c r="B1322" s="14" t="s">
        <v>183</v>
      </c>
      <c r="C1322" s="14" t="s">
        <v>104</v>
      </c>
      <c r="D1322" t="s">
        <v>46</v>
      </c>
      <c r="E1322" s="16" t="s">
        <v>144</v>
      </c>
      <c r="F1322">
        <v>2026</v>
      </c>
      <c r="G1322" s="12">
        <v>193607</v>
      </c>
      <c r="H1322" s="13">
        <v>0.99</v>
      </c>
      <c r="I1322" s="13"/>
      <c r="J1322" s="13"/>
      <c r="K1322" s="13"/>
      <c r="L1322" s="13"/>
      <c r="M1322" s="13"/>
    </row>
    <row r="1323" spans="2:13" x14ac:dyDescent="0.25">
      <c r="B1323" s="14" t="s">
        <v>183</v>
      </c>
      <c r="C1323" s="14" t="s">
        <v>104</v>
      </c>
      <c r="D1323" t="s">
        <v>46</v>
      </c>
      <c r="E1323" s="16" t="s">
        <v>144</v>
      </c>
      <c r="F1323">
        <v>2027</v>
      </c>
      <c r="G1323" s="12">
        <v>193607</v>
      </c>
      <c r="H1323" s="13">
        <v>0.99</v>
      </c>
      <c r="I1323" s="13"/>
      <c r="J1323" s="13"/>
      <c r="K1323" s="13"/>
      <c r="L1323" s="13"/>
      <c r="M1323" s="13"/>
    </row>
    <row r="1324" spans="2:13" x14ac:dyDescent="0.25">
      <c r="B1324" s="14" t="s">
        <v>183</v>
      </c>
      <c r="C1324" s="14" t="s">
        <v>104</v>
      </c>
      <c r="D1324" t="s">
        <v>46</v>
      </c>
      <c r="E1324" s="16" t="s">
        <v>144</v>
      </c>
      <c r="F1324">
        <v>2028</v>
      </c>
      <c r="G1324" s="12">
        <v>193607</v>
      </c>
      <c r="H1324" s="13">
        <v>0.99</v>
      </c>
      <c r="I1324" s="13"/>
      <c r="J1324" s="13"/>
      <c r="K1324" s="13"/>
      <c r="L1324" s="13"/>
      <c r="M1324" s="13"/>
    </row>
    <row r="1325" spans="2:13" x14ac:dyDescent="0.25">
      <c r="B1325" s="14" t="s">
        <v>183</v>
      </c>
      <c r="C1325" s="14" t="s">
        <v>104</v>
      </c>
      <c r="D1325" t="s">
        <v>46</v>
      </c>
      <c r="E1325" s="16" t="s">
        <v>133</v>
      </c>
      <c r="F1325">
        <v>2026</v>
      </c>
      <c r="G1325" s="12">
        <v>684133</v>
      </c>
      <c r="H1325" s="13">
        <v>0.8</v>
      </c>
      <c r="I1325" s="13"/>
      <c r="J1325" s="13"/>
      <c r="K1325" s="13"/>
      <c r="L1325" s="13"/>
      <c r="M1325" s="13"/>
    </row>
    <row r="1326" spans="2:13" x14ac:dyDescent="0.25">
      <c r="B1326" s="14" t="s">
        <v>183</v>
      </c>
      <c r="C1326" s="14" t="s">
        <v>104</v>
      </c>
      <c r="D1326" t="s">
        <v>46</v>
      </c>
      <c r="E1326" s="16" t="s">
        <v>133</v>
      </c>
      <c r="F1326">
        <v>2027</v>
      </c>
      <c r="G1326" s="12">
        <v>678043.103225264</v>
      </c>
      <c r="H1326" s="13">
        <v>0.80659999999999998</v>
      </c>
      <c r="I1326" s="13"/>
      <c r="J1326" s="13"/>
      <c r="K1326" s="13"/>
      <c r="L1326" s="13"/>
      <c r="M1326" s="13"/>
    </row>
    <row r="1327" spans="2:13" x14ac:dyDescent="0.25">
      <c r="B1327" s="14" t="s">
        <v>183</v>
      </c>
      <c r="C1327" s="14" t="s">
        <v>104</v>
      </c>
      <c r="D1327" t="s">
        <v>46</v>
      </c>
      <c r="E1327" s="16" t="s">
        <v>133</v>
      </c>
      <c r="F1327">
        <v>2028</v>
      </c>
      <c r="G1327" s="12">
        <v>671448.64237585198</v>
      </c>
      <c r="H1327" s="13">
        <v>0.81320000000000003</v>
      </c>
      <c r="I1327" s="13"/>
      <c r="J1327" s="13"/>
      <c r="K1327" s="13"/>
      <c r="L1327" s="13"/>
      <c r="M1327" s="13"/>
    </row>
    <row r="1328" spans="2:13" x14ac:dyDescent="0.25">
      <c r="B1328" s="14" t="s">
        <v>183</v>
      </c>
      <c r="C1328" s="14" t="s">
        <v>104</v>
      </c>
      <c r="D1328" t="s">
        <v>46</v>
      </c>
      <c r="E1328" s="16" t="s">
        <v>133</v>
      </c>
      <c r="F1328">
        <v>2029</v>
      </c>
      <c r="G1328" s="12">
        <v>666439.726229458</v>
      </c>
      <c r="H1328" s="13">
        <v>0.81979999999999997</v>
      </c>
      <c r="I1328" s="13"/>
      <c r="J1328" s="13"/>
      <c r="K1328" s="13"/>
      <c r="L1328" s="13"/>
      <c r="M1328" s="13"/>
    </row>
    <row r="1329" spans="2:13" x14ac:dyDescent="0.25">
      <c r="B1329" s="14" t="s">
        <v>183</v>
      </c>
      <c r="C1329" s="14" t="s">
        <v>104</v>
      </c>
      <c r="D1329" t="s">
        <v>46</v>
      </c>
      <c r="E1329" s="16" t="s">
        <v>133</v>
      </c>
      <c r="F1329">
        <v>2030</v>
      </c>
      <c r="G1329" s="12">
        <v>660797.70990708598</v>
      </c>
      <c r="H1329" s="13">
        <v>0.82640000000000002</v>
      </c>
      <c r="I1329" s="13"/>
      <c r="J1329" s="13"/>
      <c r="K1329" s="13"/>
      <c r="L1329" s="13"/>
      <c r="M1329" s="13"/>
    </row>
    <row r="1330" spans="2:13" x14ac:dyDescent="0.25">
      <c r="B1330" s="14" t="s">
        <v>183</v>
      </c>
      <c r="C1330" s="14" t="s">
        <v>52</v>
      </c>
      <c r="D1330" t="s">
        <v>141</v>
      </c>
      <c r="E1330" s="16" t="s">
        <v>133</v>
      </c>
      <c r="F1330">
        <v>2026</v>
      </c>
      <c r="G1330" s="12">
        <v>2826984</v>
      </c>
      <c r="H1330" s="13">
        <v>0.95</v>
      </c>
      <c r="I1330" s="13"/>
      <c r="J1330" s="13"/>
      <c r="K1330" s="13"/>
      <c r="L1330" s="13"/>
      <c r="M1330" s="13"/>
    </row>
    <row r="1331" spans="2:13" x14ac:dyDescent="0.25">
      <c r="B1331" s="14" t="s">
        <v>183</v>
      </c>
      <c r="C1331" s="14" t="s">
        <v>146</v>
      </c>
      <c r="D1331" t="s">
        <v>46</v>
      </c>
      <c r="E1331" s="16" t="s">
        <v>133</v>
      </c>
      <c r="F1331">
        <v>2027</v>
      </c>
      <c r="G1331" s="12"/>
      <c r="H1331" s="13"/>
      <c r="I1331" s="13"/>
      <c r="J1331" s="13"/>
      <c r="K1331" s="13"/>
      <c r="L1331" s="13"/>
      <c r="M1331" s="13">
        <v>0.25</v>
      </c>
    </row>
    <row r="1332" spans="2:13" x14ac:dyDescent="0.25">
      <c r="B1332" s="14" t="s">
        <v>183</v>
      </c>
      <c r="C1332" s="14" t="s">
        <v>146</v>
      </c>
      <c r="D1332" t="s">
        <v>46</v>
      </c>
      <c r="E1332" s="16" t="s">
        <v>133</v>
      </c>
      <c r="F1332">
        <v>2028</v>
      </c>
      <c r="G1332" s="12">
        <v>121265.080661617</v>
      </c>
      <c r="H1332" s="13"/>
      <c r="I1332" s="13"/>
      <c r="J1332" s="13"/>
      <c r="K1332" s="13"/>
      <c r="L1332" s="13"/>
      <c r="M1332" s="13">
        <v>0.25</v>
      </c>
    </row>
    <row r="1333" spans="2:13" x14ac:dyDescent="0.25">
      <c r="B1333" s="14" t="s">
        <v>183</v>
      </c>
      <c r="C1333" s="14" t="s">
        <v>146</v>
      </c>
      <c r="D1333" t="s">
        <v>46</v>
      </c>
      <c r="E1333" s="16" t="s">
        <v>133</v>
      </c>
      <c r="F1333">
        <v>2029</v>
      </c>
      <c r="G1333" s="12">
        <v>163689.41207199101</v>
      </c>
      <c r="H1333" s="13"/>
      <c r="I1333" s="13"/>
      <c r="J1333" s="13"/>
      <c r="K1333" s="13"/>
      <c r="L1333" s="13"/>
      <c r="M1333" s="13">
        <v>0.25</v>
      </c>
    </row>
    <row r="1334" spans="2:13" x14ac:dyDescent="0.25">
      <c r="B1334" s="14" t="s">
        <v>183</v>
      </c>
      <c r="C1334" s="14" t="s">
        <v>146</v>
      </c>
      <c r="D1334" t="s">
        <v>46</v>
      </c>
      <c r="E1334" s="16" t="s">
        <v>133</v>
      </c>
      <c r="F1334">
        <v>2030</v>
      </c>
      <c r="G1334" s="12">
        <v>206113.74348236501</v>
      </c>
      <c r="H1334" s="13"/>
      <c r="I1334" s="13"/>
      <c r="J1334" s="13"/>
      <c r="K1334" s="13"/>
      <c r="L1334" s="13"/>
      <c r="M1334" s="13">
        <v>0.25</v>
      </c>
    </row>
    <row r="1335" spans="2:13" x14ac:dyDescent="0.25">
      <c r="B1335" s="14" t="s">
        <v>183</v>
      </c>
      <c r="C1335" s="14" t="s">
        <v>139</v>
      </c>
      <c r="D1335" t="s">
        <v>46</v>
      </c>
      <c r="E1335" s="16" t="s">
        <v>144</v>
      </c>
      <c r="F1335">
        <v>2026</v>
      </c>
      <c r="G1335" s="12">
        <v>193607</v>
      </c>
      <c r="H1335" s="13">
        <v>1</v>
      </c>
      <c r="I1335" s="13">
        <v>1</v>
      </c>
      <c r="J1335" s="13">
        <v>0</v>
      </c>
      <c r="K1335" s="13"/>
      <c r="L1335" s="13">
        <v>0.04</v>
      </c>
      <c r="M1335" s="13"/>
    </row>
    <row r="1336" spans="2:13" x14ac:dyDescent="0.25">
      <c r="B1336" s="14" t="s">
        <v>183</v>
      </c>
      <c r="C1336" s="14" t="s">
        <v>139</v>
      </c>
      <c r="D1336" t="s">
        <v>46</v>
      </c>
      <c r="E1336" s="16" t="s">
        <v>144</v>
      </c>
      <c r="F1336">
        <v>2027</v>
      </c>
      <c r="G1336" s="12">
        <v>193607</v>
      </c>
      <c r="H1336" s="13">
        <v>1</v>
      </c>
      <c r="I1336" s="13">
        <v>1</v>
      </c>
      <c r="J1336" s="13">
        <v>0</v>
      </c>
      <c r="K1336" s="13"/>
      <c r="L1336" s="13">
        <v>0.04</v>
      </c>
      <c r="M1336" s="13"/>
    </row>
    <row r="1337" spans="2:13" x14ac:dyDescent="0.25">
      <c r="B1337" s="14" t="s">
        <v>183</v>
      </c>
      <c r="C1337" s="14" t="s">
        <v>139</v>
      </c>
      <c r="D1337" t="s">
        <v>46</v>
      </c>
      <c r="E1337" s="16" t="s">
        <v>144</v>
      </c>
      <c r="F1337">
        <v>2028</v>
      </c>
      <c r="G1337" s="12">
        <v>193607</v>
      </c>
      <c r="H1337" s="13">
        <v>1</v>
      </c>
      <c r="I1337" s="13">
        <v>1</v>
      </c>
      <c r="J1337" s="13">
        <v>0</v>
      </c>
      <c r="K1337" s="13"/>
      <c r="L1337" s="13">
        <v>0.04</v>
      </c>
      <c r="M1337" s="13"/>
    </row>
    <row r="1338" spans="2:13" x14ac:dyDescent="0.25">
      <c r="B1338" s="14" t="s">
        <v>183</v>
      </c>
      <c r="C1338" s="14" t="s">
        <v>139</v>
      </c>
      <c r="D1338" t="s">
        <v>46</v>
      </c>
      <c r="E1338" s="16" t="s">
        <v>133</v>
      </c>
      <c r="F1338">
        <v>2026</v>
      </c>
      <c r="G1338" s="12">
        <v>490526</v>
      </c>
      <c r="H1338" s="13">
        <v>0.8</v>
      </c>
      <c r="I1338" s="13">
        <v>0.78</v>
      </c>
      <c r="J1338" s="13">
        <v>0</v>
      </c>
      <c r="K1338" s="13"/>
      <c r="L1338" s="13">
        <v>0.04</v>
      </c>
      <c r="M1338" s="13">
        <v>0.25</v>
      </c>
    </row>
    <row r="1339" spans="2:13" x14ac:dyDescent="0.25">
      <c r="B1339" s="14" t="s">
        <v>183</v>
      </c>
      <c r="C1339" s="14" t="s">
        <v>139</v>
      </c>
      <c r="D1339" t="s">
        <v>46</v>
      </c>
      <c r="E1339" s="16" t="s">
        <v>133</v>
      </c>
      <c r="F1339">
        <v>2027</v>
      </c>
      <c r="G1339" s="12">
        <v>486159.52052112098</v>
      </c>
      <c r="H1339" s="13">
        <v>0.80659999999999998</v>
      </c>
      <c r="I1339" s="13">
        <v>0.78659999999999997</v>
      </c>
      <c r="J1339" s="13">
        <v>0</v>
      </c>
      <c r="K1339" s="13"/>
      <c r="L1339" s="13">
        <v>0.04</v>
      </c>
      <c r="M1339" s="13">
        <v>0.25</v>
      </c>
    </row>
    <row r="1340" spans="2:13" x14ac:dyDescent="0.25">
      <c r="B1340" s="14" t="s">
        <v>183</v>
      </c>
      <c r="C1340" s="14" t="s">
        <v>139</v>
      </c>
      <c r="D1340" t="s">
        <v>46</v>
      </c>
      <c r="E1340" s="16" t="s">
        <v>133</v>
      </c>
      <c r="F1340">
        <v>2028</v>
      </c>
      <c r="G1340" s="12">
        <v>481431.26665437402</v>
      </c>
      <c r="H1340" s="13">
        <v>0.81320000000000003</v>
      </c>
      <c r="I1340" s="13">
        <v>0.79320000000000002</v>
      </c>
      <c r="J1340" s="13">
        <v>0</v>
      </c>
      <c r="K1340" s="13"/>
      <c r="L1340" s="13">
        <v>0.04</v>
      </c>
      <c r="M1340" s="13">
        <v>0.25</v>
      </c>
    </row>
    <row r="1341" spans="2:13" x14ac:dyDescent="0.25">
      <c r="B1341" s="14" t="s">
        <v>183</v>
      </c>
      <c r="C1341" s="14" t="s">
        <v>139</v>
      </c>
      <c r="D1341" t="s">
        <v>46</v>
      </c>
      <c r="E1341" s="16" t="s">
        <v>133</v>
      </c>
      <c r="F1341">
        <v>2029</v>
      </c>
      <c r="G1341" s="12">
        <v>477839.85445583099</v>
      </c>
      <c r="H1341" s="13">
        <v>0.81979999999999997</v>
      </c>
      <c r="I1341" s="13">
        <v>0.79979999999999996</v>
      </c>
      <c r="J1341" s="13">
        <v>0</v>
      </c>
      <c r="K1341" s="13"/>
      <c r="L1341" s="13">
        <v>0.04</v>
      </c>
      <c r="M1341" s="13">
        <v>0.25</v>
      </c>
    </row>
    <row r="1342" spans="2:13" x14ac:dyDescent="0.25">
      <c r="B1342" s="14" t="s">
        <v>183</v>
      </c>
      <c r="C1342" s="14" t="s">
        <v>139</v>
      </c>
      <c r="D1342" t="s">
        <v>46</v>
      </c>
      <c r="E1342" s="16" t="s">
        <v>133</v>
      </c>
      <c r="F1342">
        <v>2030</v>
      </c>
      <c r="G1342" s="12">
        <v>473794.50698896701</v>
      </c>
      <c r="H1342" s="13">
        <v>0.82640000000000002</v>
      </c>
      <c r="I1342" s="13">
        <v>0.80640000000000001</v>
      </c>
      <c r="J1342" s="13">
        <v>0</v>
      </c>
      <c r="K1342" s="13"/>
      <c r="L1342" s="13">
        <v>0.04</v>
      </c>
      <c r="M1342" s="13">
        <v>0.25</v>
      </c>
    </row>
    <row r="1343" spans="2:13" x14ac:dyDescent="0.25">
      <c r="B1343" s="14" t="s">
        <v>183</v>
      </c>
      <c r="C1343" s="14" t="s">
        <v>101</v>
      </c>
      <c r="D1343" t="s">
        <v>46</v>
      </c>
      <c r="E1343" s="16" t="s">
        <v>133</v>
      </c>
      <c r="F1343">
        <v>2028</v>
      </c>
      <c r="G1343" s="12">
        <v>844167.06902570301</v>
      </c>
      <c r="H1343" s="13">
        <v>0.62766666670000004</v>
      </c>
      <c r="I1343" s="13"/>
      <c r="J1343" s="13"/>
      <c r="K1343" s="13"/>
      <c r="L1343" s="13">
        <v>0.1</v>
      </c>
      <c r="M1343" s="13">
        <v>0.25</v>
      </c>
    </row>
    <row r="1344" spans="2:13" x14ac:dyDescent="0.25">
      <c r="B1344" s="14" t="s">
        <v>183</v>
      </c>
      <c r="C1344" s="14" t="s">
        <v>101</v>
      </c>
      <c r="D1344" t="s">
        <v>46</v>
      </c>
      <c r="E1344" s="16" t="s">
        <v>133</v>
      </c>
      <c r="F1344">
        <v>2029</v>
      </c>
      <c r="G1344" s="12">
        <v>837860.97560849099</v>
      </c>
      <c r="H1344" s="13">
        <v>0.75980000000000003</v>
      </c>
      <c r="I1344" s="13"/>
      <c r="J1344" s="13"/>
      <c r="K1344" s="13"/>
      <c r="L1344" s="13">
        <v>0.1</v>
      </c>
      <c r="M1344" s="13">
        <v>0.25</v>
      </c>
    </row>
    <row r="1345" spans="2:13" x14ac:dyDescent="0.25">
      <c r="B1345" s="15" t="s">
        <v>183</v>
      </c>
      <c r="C1345" s="14" t="s">
        <v>101</v>
      </c>
      <c r="D1345" t="s">
        <v>46</v>
      </c>
      <c r="E1345" s="16" t="s">
        <v>133</v>
      </c>
      <c r="F1345">
        <v>2030</v>
      </c>
      <c r="G1345" s="12">
        <v>831601.98994476302</v>
      </c>
      <c r="H1345" s="13">
        <v>0.76639999999999997</v>
      </c>
      <c r="I1345" s="13"/>
      <c r="J1345" s="13"/>
      <c r="K1345" s="13"/>
      <c r="L1345" s="13">
        <v>0.1</v>
      </c>
      <c r="M1345" s="13">
        <v>0.25</v>
      </c>
    </row>
    <row r="1346" spans="2:13" x14ac:dyDescent="0.25">
      <c r="B1346" s="14" t="s">
        <v>184</v>
      </c>
      <c r="C1346" s="14" t="s">
        <v>70</v>
      </c>
      <c r="D1346" t="s">
        <v>46</v>
      </c>
      <c r="E1346" s="16" t="s">
        <v>133</v>
      </c>
      <c r="F1346">
        <v>2026</v>
      </c>
      <c r="G1346" s="12">
        <v>59644</v>
      </c>
      <c r="H1346" s="13">
        <v>0.58750000000000002</v>
      </c>
      <c r="I1346" s="13">
        <v>0.55625000000000002</v>
      </c>
      <c r="J1346" s="13">
        <v>0</v>
      </c>
      <c r="K1346" s="13">
        <v>0</v>
      </c>
      <c r="L1346" s="13">
        <v>7.0000000000000007E-2</v>
      </c>
      <c r="M1346" s="13">
        <v>0.25</v>
      </c>
    </row>
    <row r="1347" spans="2:13" x14ac:dyDescent="0.25">
      <c r="B1347" s="14" t="s">
        <v>184</v>
      </c>
      <c r="C1347" s="14" t="s">
        <v>70</v>
      </c>
      <c r="D1347" t="s">
        <v>46</v>
      </c>
      <c r="E1347" s="16" t="s">
        <v>133</v>
      </c>
      <c r="F1347">
        <v>2027</v>
      </c>
      <c r="G1347" s="12">
        <v>58758</v>
      </c>
      <c r="H1347" s="13">
        <v>0.9466</v>
      </c>
      <c r="I1347" s="13">
        <v>0.89659999999999995</v>
      </c>
      <c r="J1347" s="13">
        <v>6.6E-3</v>
      </c>
      <c r="K1347" s="13">
        <v>0</v>
      </c>
      <c r="L1347" s="13">
        <v>7.0000000000000007E-2</v>
      </c>
      <c r="M1347" s="13">
        <v>0.25</v>
      </c>
    </row>
    <row r="1348" spans="2:13" x14ac:dyDescent="0.25">
      <c r="B1348" s="14" t="s">
        <v>184</v>
      </c>
      <c r="C1348" s="14" t="s">
        <v>70</v>
      </c>
      <c r="D1348" t="s">
        <v>46</v>
      </c>
      <c r="E1348" s="16" t="s">
        <v>133</v>
      </c>
      <c r="F1348">
        <v>2028</v>
      </c>
      <c r="G1348" s="12">
        <v>58234</v>
      </c>
      <c r="H1348" s="13">
        <v>0.95320000000000005</v>
      </c>
      <c r="I1348" s="13">
        <v>0.9032</v>
      </c>
      <c r="J1348" s="13">
        <v>1.32E-2</v>
      </c>
      <c r="K1348" s="13">
        <v>0</v>
      </c>
      <c r="L1348" s="13">
        <v>7.0000000000000007E-2</v>
      </c>
      <c r="M1348" s="13">
        <v>0.25</v>
      </c>
    </row>
    <row r="1349" spans="2:13" x14ac:dyDescent="0.25">
      <c r="B1349" s="14" t="s">
        <v>184</v>
      </c>
      <c r="C1349" s="14" t="s">
        <v>70</v>
      </c>
      <c r="D1349" t="s">
        <v>46</v>
      </c>
      <c r="E1349" s="16" t="s">
        <v>133</v>
      </c>
      <c r="F1349">
        <v>2029</v>
      </c>
      <c r="G1349" s="12">
        <v>58124</v>
      </c>
      <c r="H1349" s="13">
        <v>0.95979999999999999</v>
      </c>
      <c r="I1349" s="13">
        <v>0.90980000000000005</v>
      </c>
      <c r="J1349" s="13">
        <v>1.9800000000000002E-2</v>
      </c>
      <c r="K1349" s="13">
        <v>0</v>
      </c>
      <c r="L1349" s="13">
        <v>7.0000000000000007E-2</v>
      </c>
      <c r="M1349" s="13">
        <v>0.25</v>
      </c>
    </row>
    <row r="1350" spans="2:13" x14ac:dyDescent="0.25">
      <c r="B1350" s="15" t="s">
        <v>184</v>
      </c>
      <c r="C1350" s="14" t="s">
        <v>70</v>
      </c>
      <c r="D1350" t="s">
        <v>46</v>
      </c>
      <c r="E1350" s="16" t="s">
        <v>133</v>
      </c>
      <c r="F1350">
        <v>2030</v>
      </c>
      <c r="G1350" s="12">
        <v>58430</v>
      </c>
      <c r="H1350" s="13">
        <v>0.96640000000000004</v>
      </c>
      <c r="I1350" s="13">
        <v>0.91639999999999999</v>
      </c>
      <c r="J1350" s="13">
        <v>2.64E-2</v>
      </c>
      <c r="K1350" s="13">
        <v>0</v>
      </c>
      <c r="L1350" s="13">
        <v>7.0000000000000007E-2</v>
      </c>
      <c r="M1350" s="13">
        <v>0.25</v>
      </c>
    </row>
    <row r="1351" spans="2:13" x14ac:dyDescent="0.25">
      <c r="B1351" s="14" t="s">
        <v>185</v>
      </c>
      <c r="C1351" s="14" t="s">
        <v>132</v>
      </c>
      <c r="D1351" t="s">
        <v>46</v>
      </c>
      <c r="E1351" s="16" t="s">
        <v>133</v>
      </c>
      <c r="F1351">
        <v>2026</v>
      </c>
      <c r="G1351" s="12">
        <v>1273251</v>
      </c>
      <c r="H1351" s="13">
        <v>0.92</v>
      </c>
      <c r="I1351" s="13">
        <v>0.83799999999999997</v>
      </c>
      <c r="J1351" s="13">
        <v>0.72</v>
      </c>
      <c r="K1351" s="13">
        <v>0</v>
      </c>
      <c r="L1351" s="13">
        <v>7.0000000000000007E-2</v>
      </c>
      <c r="M1351" s="13">
        <v>0.25</v>
      </c>
    </row>
    <row r="1352" spans="2:13" x14ac:dyDescent="0.25">
      <c r="B1352" s="14" t="s">
        <v>185</v>
      </c>
      <c r="C1352" s="14" t="s">
        <v>132</v>
      </c>
      <c r="D1352" t="s">
        <v>46</v>
      </c>
      <c r="E1352" s="16" t="s">
        <v>133</v>
      </c>
      <c r="F1352">
        <v>2027</v>
      </c>
      <c r="G1352" s="12">
        <v>1245053.6365885399</v>
      </c>
      <c r="H1352" s="13">
        <v>0</v>
      </c>
      <c r="I1352" s="13">
        <v>0</v>
      </c>
      <c r="J1352" s="13">
        <v>0</v>
      </c>
      <c r="K1352" s="13">
        <v>0</v>
      </c>
      <c r="L1352" s="13">
        <v>7.0000000000000007E-2</v>
      </c>
      <c r="M1352" s="13">
        <v>0.25</v>
      </c>
    </row>
    <row r="1353" spans="2:13" x14ac:dyDescent="0.25">
      <c r="B1353" s="14" t="s">
        <v>185</v>
      </c>
      <c r="C1353" s="14" t="s">
        <v>132</v>
      </c>
      <c r="D1353" t="s">
        <v>46</v>
      </c>
      <c r="E1353" s="16" t="s">
        <v>133</v>
      </c>
      <c r="F1353">
        <v>2028</v>
      </c>
      <c r="G1353" s="12">
        <v>1267035.09633686</v>
      </c>
      <c r="H1353" s="13">
        <v>0</v>
      </c>
      <c r="I1353" s="13">
        <v>0</v>
      </c>
      <c r="J1353" s="13">
        <v>0</v>
      </c>
      <c r="K1353" s="13">
        <v>0</v>
      </c>
      <c r="L1353" s="13">
        <v>7.0000000000000007E-2</v>
      </c>
      <c r="M1353" s="13">
        <v>0.25</v>
      </c>
    </row>
    <row r="1354" spans="2:13" x14ac:dyDescent="0.25">
      <c r="B1354" s="14" t="s">
        <v>185</v>
      </c>
      <c r="C1354" s="14" t="s">
        <v>70</v>
      </c>
      <c r="D1354" t="s">
        <v>46</v>
      </c>
      <c r="E1354" s="16" t="s">
        <v>133</v>
      </c>
      <c r="F1354">
        <v>2026</v>
      </c>
      <c r="G1354" s="12">
        <v>1273251</v>
      </c>
      <c r="H1354" s="13">
        <v>0.95</v>
      </c>
      <c r="I1354" s="13">
        <v>0.9</v>
      </c>
      <c r="J1354" s="13">
        <v>0</v>
      </c>
      <c r="K1354" s="13">
        <v>0</v>
      </c>
      <c r="L1354" s="13">
        <v>7.0000000000000007E-2</v>
      </c>
      <c r="M1354" s="13">
        <v>0.25</v>
      </c>
    </row>
    <row r="1355" spans="2:13" x14ac:dyDescent="0.25">
      <c r="B1355" s="14" t="s">
        <v>185</v>
      </c>
      <c r="C1355" s="14" t="s">
        <v>70</v>
      </c>
      <c r="D1355" t="s">
        <v>46</v>
      </c>
      <c r="E1355" s="16" t="s">
        <v>133</v>
      </c>
      <c r="F1355">
        <v>2027</v>
      </c>
      <c r="G1355" s="12">
        <v>1245053.6365885399</v>
      </c>
      <c r="H1355" s="13">
        <v>0</v>
      </c>
      <c r="I1355" s="13">
        <v>0</v>
      </c>
      <c r="J1355" s="13">
        <v>0</v>
      </c>
      <c r="K1355" s="13">
        <v>0</v>
      </c>
      <c r="L1355" s="13">
        <v>7.0000000000000007E-2</v>
      </c>
      <c r="M1355" s="13">
        <v>0.25</v>
      </c>
    </row>
    <row r="1356" spans="2:13" x14ac:dyDescent="0.25">
      <c r="B1356" s="14" t="s">
        <v>185</v>
      </c>
      <c r="C1356" s="14" t="s">
        <v>70</v>
      </c>
      <c r="D1356" t="s">
        <v>46</v>
      </c>
      <c r="E1356" s="16" t="s">
        <v>133</v>
      </c>
      <c r="F1356">
        <v>2028</v>
      </c>
      <c r="G1356" s="12">
        <v>1267035.09633686</v>
      </c>
      <c r="H1356" s="13">
        <v>0</v>
      </c>
      <c r="I1356" s="13">
        <v>0</v>
      </c>
      <c r="J1356" s="13">
        <v>0</v>
      </c>
      <c r="K1356" s="13">
        <v>0</v>
      </c>
      <c r="L1356" s="13">
        <v>7.0000000000000007E-2</v>
      </c>
      <c r="M1356" s="13">
        <v>0.25</v>
      </c>
    </row>
    <row r="1357" spans="2:13" x14ac:dyDescent="0.25">
      <c r="B1357" s="14" t="s">
        <v>185</v>
      </c>
      <c r="C1357" s="14" t="s">
        <v>134</v>
      </c>
      <c r="D1357" t="s">
        <v>46</v>
      </c>
      <c r="E1357" s="16" t="s">
        <v>133</v>
      </c>
      <c r="F1357">
        <v>2026</v>
      </c>
      <c r="G1357" s="12">
        <v>1227594</v>
      </c>
      <c r="H1357" s="13">
        <v>0</v>
      </c>
      <c r="I1357" s="13">
        <v>0</v>
      </c>
      <c r="J1357" s="13">
        <v>0</v>
      </c>
      <c r="K1357" s="13">
        <v>0</v>
      </c>
      <c r="L1357" s="13">
        <v>7.0000000000000007E-2</v>
      </c>
      <c r="M1357" s="13">
        <v>0.25</v>
      </c>
    </row>
    <row r="1358" spans="2:13" x14ac:dyDescent="0.25">
      <c r="B1358" s="14" t="s">
        <v>185</v>
      </c>
      <c r="C1358" s="14" t="s">
        <v>134</v>
      </c>
      <c r="D1358" t="s">
        <v>46</v>
      </c>
      <c r="E1358" s="16" t="s">
        <v>133</v>
      </c>
      <c r="F1358">
        <v>2027</v>
      </c>
      <c r="G1358" s="12">
        <v>1291360</v>
      </c>
      <c r="H1358" s="13">
        <v>0.93</v>
      </c>
      <c r="I1358" s="13">
        <v>0.84799999999999998</v>
      </c>
      <c r="J1358" s="13">
        <v>0.73</v>
      </c>
      <c r="K1358" s="13">
        <v>0</v>
      </c>
      <c r="L1358" s="13">
        <v>7.0000000000000007E-2</v>
      </c>
      <c r="M1358" s="13">
        <v>0.25</v>
      </c>
    </row>
    <row r="1359" spans="2:13" x14ac:dyDescent="0.25">
      <c r="B1359" s="14" t="s">
        <v>185</v>
      </c>
      <c r="C1359" s="14" t="s">
        <v>134</v>
      </c>
      <c r="D1359" t="s">
        <v>46</v>
      </c>
      <c r="E1359" s="16" t="s">
        <v>133</v>
      </c>
      <c r="F1359">
        <v>2028</v>
      </c>
      <c r="G1359" s="12">
        <v>1314159</v>
      </c>
      <c r="H1359" s="13">
        <v>0.94</v>
      </c>
      <c r="I1359" s="13">
        <v>0.85799999999999998</v>
      </c>
      <c r="J1359" s="13">
        <v>0.74</v>
      </c>
      <c r="K1359" s="13">
        <v>0</v>
      </c>
      <c r="L1359" s="13">
        <v>7.0000000000000007E-2</v>
      </c>
      <c r="M1359" s="13">
        <v>0.25</v>
      </c>
    </row>
    <row r="1360" spans="2:13" x14ac:dyDescent="0.25">
      <c r="B1360" s="14" t="s">
        <v>185</v>
      </c>
      <c r="C1360" s="14" t="s">
        <v>134</v>
      </c>
      <c r="D1360" t="s">
        <v>46</v>
      </c>
      <c r="E1360" s="16" t="s">
        <v>133</v>
      </c>
      <c r="F1360">
        <v>2029</v>
      </c>
      <c r="G1360" s="12">
        <v>1282598.2667942101</v>
      </c>
      <c r="H1360" s="13">
        <v>0.6004748406</v>
      </c>
      <c r="I1360" s="13">
        <v>0.5880750133</v>
      </c>
      <c r="J1360" s="13">
        <v>0.57023135930000002</v>
      </c>
      <c r="K1360" s="13">
        <v>0</v>
      </c>
      <c r="L1360" s="13">
        <v>7.0000000000000007E-2</v>
      </c>
      <c r="M1360" s="13">
        <v>0.25</v>
      </c>
    </row>
    <row r="1361" spans="2:13" x14ac:dyDescent="0.25">
      <c r="B1361" s="14" t="s">
        <v>185</v>
      </c>
      <c r="C1361" s="14" t="s">
        <v>134</v>
      </c>
      <c r="D1361" t="s">
        <v>46</v>
      </c>
      <c r="E1361" s="16" t="s">
        <v>133</v>
      </c>
      <c r="F1361">
        <v>2030</v>
      </c>
      <c r="G1361" s="12">
        <v>1299352.1518789299</v>
      </c>
      <c r="H1361" s="13">
        <v>0.60707484060000005</v>
      </c>
      <c r="I1361" s="13">
        <v>0.59467501330000005</v>
      </c>
      <c r="J1361" s="13">
        <v>0.57683135929999996</v>
      </c>
      <c r="K1361" s="13">
        <v>0</v>
      </c>
      <c r="L1361" s="13">
        <v>7.0000000000000007E-2</v>
      </c>
      <c r="M1361" s="13">
        <v>0.25</v>
      </c>
    </row>
    <row r="1362" spans="2:13" x14ac:dyDescent="0.25">
      <c r="B1362" s="14" t="s">
        <v>185</v>
      </c>
      <c r="C1362" s="14" t="s">
        <v>72</v>
      </c>
      <c r="D1362" t="s">
        <v>46</v>
      </c>
      <c r="E1362" s="16" t="s">
        <v>133</v>
      </c>
      <c r="F1362">
        <v>2026</v>
      </c>
      <c r="G1362" s="12">
        <v>1273251</v>
      </c>
      <c r="H1362" s="13">
        <v>0.92</v>
      </c>
      <c r="I1362" s="13">
        <v>0.77649999999999997</v>
      </c>
      <c r="J1362" s="13">
        <v>0.56999999999999995</v>
      </c>
      <c r="K1362" s="13"/>
      <c r="L1362" s="13">
        <v>7.0000000000000007E-2</v>
      </c>
      <c r="M1362" s="13">
        <v>0.25</v>
      </c>
    </row>
    <row r="1363" spans="2:13" x14ac:dyDescent="0.25">
      <c r="B1363" s="14" t="s">
        <v>185</v>
      </c>
      <c r="C1363" s="14" t="s">
        <v>72</v>
      </c>
      <c r="D1363" t="s">
        <v>46</v>
      </c>
      <c r="E1363" s="16" t="s">
        <v>133</v>
      </c>
      <c r="F1363">
        <v>2027</v>
      </c>
      <c r="G1363" s="12">
        <v>1291360</v>
      </c>
      <c r="H1363" s="13">
        <v>0.93</v>
      </c>
      <c r="I1363" s="13">
        <v>0.78649999999999998</v>
      </c>
      <c r="J1363" s="13">
        <v>0.57999999999999996</v>
      </c>
      <c r="K1363" s="13"/>
      <c r="L1363" s="13">
        <v>7.0000000000000007E-2</v>
      </c>
      <c r="M1363" s="13">
        <v>0.25</v>
      </c>
    </row>
    <row r="1364" spans="2:13" x14ac:dyDescent="0.25">
      <c r="B1364" s="14" t="s">
        <v>185</v>
      </c>
      <c r="C1364" s="14" t="s">
        <v>72</v>
      </c>
      <c r="D1364" t="s">
        <v>46</v>
      </c>
      <c r="E1364" s="16" t="s">
        <v>133</v>
      </c>
      <c r="F1364">
        <v>2028</v>
      </c>
      <c r="G1364" s="12">
        <v>1314159</v>
      </c>
      <c r="H1364" s="13">
        <v>0.94</v>
      </c>
      <c r="I1364" s="13">
        <v>0.79649999999999999</v>
      </c>
      <c r="J1364" s="13">
        <v>0.59</v>
      </c>
      <c r="K1364" s="13"/>
      <c r="L1364" s="13">
        <v>7.0000000000000007E-2</v>
      </c>
      <c r="M1364" s="13">
        <v>0.25</v>
      </c>
    </row>
    <row r="1365" spans="2:13" x14ac:dyDescent="0.25">
      <c r="B1365" s="14" t="s">
        <v>185</v>
      </c>
      <c r="C1365" s="14" t="s">
        <v>72</v>
      </c>
      <c r="D1365" t="s">
        <v>46</v>
      </c>
      <c r="E1365" s="16" t="s">
        <v>133</v>
      </c>
      <c r="F1365">
        <v>2029</v>
      </c>
      <c r="G1365" s="12">
        <v>1282598.2667942101</v>
      </c>
      <c r="H1365" s="13">
        <v>0.6617261834</v>
      </c>
      <c r="I1365" s="13">
        <v>0.64801838469999995</v>
      </c>
      <c r="J1365" s="13">
        <v>0.62829252800000002</v>
      </c>
      <c r="K1365" s="13"/>
      <c r="L1365" s="13">
        <v>0.08</v>
      </c>
      <c r="M1365" s="13">
        <v>0.25</v>
      </c>
    </row>
    <row r="1366" spans="2:13" x14ac:dyDescent="0.25">
      <c r="B1366" s="14" t="s">
        <v>185</v>
      </c>
      <c r="C1366" s="14" t="s">
        <v>72</v>
      </c>
      <c r="D1366" t="s">
        <v>46</v>
      </c>
      <c r="E1366" s="16" t="s">
        <v>133</v>
      </c>
      <c r="F1366">
        <v>2030</v>
      </c>
      <c r="G1366" s="12">
        <v>1299352.1518789299</v>
      </c>
      <c r="H1366" s="13">
        <v>0.66832618340000005</v>
      </c>
      <c r="I1366" s="13">
        <v>0.6546183847</v>
      </c>
      <c r="J1366" s="13">
        <v>0.63489252799999996</v>
      </c>
      <c r="K1366" s="13"/>
      <c r="L1366" s="13">
        <v>0.08</v>
      </c>
      <c r="M1366" s="13">
        <v>0.25</v>
      </c>
    </row>
    <row r="1367" spans="2:13" x14ac:dyDescent="0.25">
      <c r="B1367" s="14" t="s">
        <v>185</v>
      </c>
      <c r="C1367" s="14" t="s">
        <v>102</v>
      </c>
      <c r="D1367" t="s">
        <v>46</v>
      </c>
      <c r="E1367" s="16" t="s">
        <v>133</v>
      </c>
      <c r="F1367">
        <v>2026</v>
      </c>
      <c r="G1367" s="12">
        <v>1711877</v>
      </c>
      <c r="H1367" s="13">
        <v>0.57735000000000003</v>
      </c>
      <c r="I1367" s="13"/>
      <c r="J1367" s="13"/>
      <c r="K1367" s="13"/>
      <c r="L1367" s="13">
        <v>7.0000000000000007E-2</v>
      </c>
      <c r="M1367" s="13">
        <v>0.25</v>
      </c>
    </row>
    <row r="1368" spans="2:13" x14ac:dyDescent="0.25">
      <c r="B1368" s="14" t="s">
        <v>185</v>
      </c>
      <c r="C1368" s="14" t="s">
        <v>102</v>
      </c>
      <c r="D1368" t="s">
        <v>46</v>
      </c>
      <c r="E1368" s="16" t="s">
        <v>133</v>
      </c>
      <c r="F1368">
        <v>2027</v>
      </c>
      <c r="G1368" s="12">
        <v>1736224.4229299601</v>
      </c>
      <c r="H1368" s="13">
        <v>0.77639999999999998</v>
      </c>
      <c r="I1368" s="13"/>
      <c r="J1368" s="13"/>
      <c r="K1368" s="13"/>
      <c r="L1368" s="13">
        <v>7.0000000000000007E-2</v>
      </c>
      <c r="M1368" s="13">
        <v>0.25</v>
      </c>
    </row>
    <row r="1369" spans="2:13" x14ac:dyDescent="0.25">
      <c r="B1369" s="14" t="s">
        <v>185</v>
      </c>
      <c r="C1369" s="14" t="s">
        <v>102</v>
      </c>
      <c r="D1369" t="s">
        <v>46</v>
      </c>
      <c r="E1369" s="16" t="s">
        <v>133</v>
      </c>
      <c r="F1369">
        <v>2028</v>
      </c>
      <c r="G1369" s="12">
        <v>1766877.5178209201</v>
      </c>
      <c r="H1369" s="13">
        <v>0.78300000000000003</v>
      </c>
      <c r="I1369" s="13"/>
      <c r="J1369" s="13"/>
      <c r="K1369" s="13"/>
      <c r="L1369" s="13">
        <v>7.0000000000000007E-2</v>
      </c>
      <c r="M1369" s="13">
        <v>0.25</v>
      </c>
    </row>
    <row r="1370" spans="2:13" x14ac:dyDescent="0.25">
      <c r="B1370" s="14" t="s">
        <v>185</v>
      </c>
      <c r="C1370" s="14" t="s">
        <v>102</v>
      </c>
      <c r="D1370" t="s">
        <v>46</v>
      </c>
      <c r="E1370" s="16" t="s">
        <v>133</v>
      </c>
      <c r="F1370">
        <v>2029</v>
      </c>
      <c r="G1370" s="12">
        <v>1788580.3231075399</v>
      </c>
      <c r="H1370" s="13">
        <v>0.78959999999999997</v>
      </c>
      <c r="I1370" s="13"/>
      <c r="J1370" s="13"/>
      <c r="K1370" s="13"/>
      <c r="L1370" s="13">
        <v>7.0000000000000007E-2</v>
      </c>
      <c r="M1370" s="13">
        <v>0.25</v>
      </c>
    </row>
    <row r="1371" spans="2:13" x14ac:dyDescent="0.25">
      <c r="B1371" s="14" t="s">
        <v>185</v>
      </c>
      <c r="C1371" s="14" t="s">
        <v>102</v>
      </c>
      <c r="D1371" t="s">
        <v>46</v>
      </c>
      <c r="E1371" s="16" t="s">
        <v>133</v>
      </c>
      <c r="F1371">
        <v>2030</v>
      </c>
      <c r="G1371" s="12">
        <v>1811943.57719413</v>
      </c>
      <c r="H1371" s="13">
        <v>0.79620000000000002</v>
      </c>
      <c r="I1371" s="13"/>
      <c r="J1371" s="13"/>
      <c r="K1371" s="13"/>
      <c r="L1371" s="13">
        <v>7.0000000000000007E-2</v>
      </c>
      <c r="M1371" s="13">
        <v>0.25</v>
      </c>
    </row>
    <row r="1372" spans="2:13" x14ac:dyDescent="0.25">
      <c r="B1372" s="14" t="s">
        <v>185</v>
      </c>
      <c r="C1372" s="14" t="s">
        <v>15</v>
      </c>
      <c r="D1372" t="s">
        <v>136</v>
      </c>
      <c r="E1372" s="16" t="s">
        <v>133</v>
      </c>
      <c r="F1372">
        <v>2026</v>
      </c>
      <c r="G1372" s="12">
        <v>0</v>
      </c>
      <c r="H1372" s="13">
        <v>0</v>
      </c>
      <c r="I1372" s="13"/>
      <c r="J1372" s="13"/>
      <c r="K1372" s="13"/>
      <c r="L1372" s="13">
        <v>0.05</v>
      </c>
      <c r="M1372" s="13">
        <v>0.25</v>
      </c>
    </row>
    <row r="1373" spans="2:13" x14ac:dyDescent="0.25">
      <c r="B1373" s="14" t="s">
        <v>185</v>
      </c>
      <c r="C1373" s="14" t="s">
        <v>15</v>
      </c>
      <c r="D1373" t="s">
        <v>46</v>
      </c>
      <c r="E1373" s="16" t="s">
        <v>133</v>
      </c>
      <c r="F1373">
        <v>2026</v>
      </c>
      <c r="G1373" s="12">
        <v>494721</v>
      </c>
      <c r="H1373" s="13">
        <v>0.94</v>
      </c>
      <c r="I1373" s="13"/>
      <c r="J1373" s="13"/>
      <c r="K1373" s="13"/>
      <c r="L1373" s="13">
        <v>0.04</v>
      </c>
      <c r="M1373" s="13">
        <v>0.25</v>
      </c>
    </row>
    <row r="1374" spans="2:13" x14ac:dyDescent="0.25">
      <c r="B1374" s="14" t="s">
        <v>185</v>
      </c>
      <c r="C1374" s="14" t="s">
        <v>15</v>
      </c>
      <c r="D1374" t="s">
        <v>46</v>
      </c>
      <c r="E1374" s="16" t="s">
        <v>133</v>
      </c>
      <c r="F1374">
        <v>2027</v>
      </c>
      <c r="G1374" s="12">
        <v>507089</v>
      </c>
      <c r="H1374" s="13">
        <v>0.97</v>
      </c>
      <c r="I1374" s="13"/>
      <c r="J1374" s="13"/>
      <c r="K1374" s="13"/>
      <c r="L1374" s="13">
        <v>0.04</v>
      </c>
      <c r="M1374" s="13">
        <v>0.25</v>
      </c>
    </row>
    <row r="1375" spans="2:13" x14ac:dyDescent="0.25">
      <c r="B1375" s="14" t="s">
        <v>185</v>
      </c>
      <c r="C1375" s="14" t="s">
        <v>15</v>
      </c>
      <c r="D1375" t="s">
        <v>46</v>
      </c>
      <c r="E1375" s="16" t="s">
        <v>133</v>
      </c>
      <c r="F1375">
        <v>2028</v>
      </c>
      <c r="G1375" s="12">
        <v>519144</v>
      </c>
      <c r="H1375" s="13">
        <v>0.97</v>
      </c>
      <c r="I1375" s="13"/>
      <c r="J1375" s="13"/>
      <c r="K1375" s="13"/>
      <c r="L1375" s="13">
        <v>0.04</v>
      </c>
      <c r="M1375" s="13">
        <v>0.25</v>
      </c>
    </row>
    <row r="1376" spans="2:13" x14ac:dyDescent="0.25">
      <c r="B1376" s="14" t="s">
        <v>185</v>
      </c>
      <c r="C1376" s="14" t="s">
        <v>15</v>
      </c>
      <c r="D1376" t="s">
        <v>46</v>
      </c>
      <c r="E1376" s="16" t="s">
        <v>133</v>
      </c>
      <c r="F1376">
        <v>2029</v>
      </c>
      <c r="G1376" s="12">
        <v>529520</v>
      </c>
      <c r="H1376" s="13">
        <v>0.89</v>
      </c>
      <c r="I1376" s="13"/>
      <c r="J1376" s="13"/>
      <c r="K1376" s="13"/>
      <c r="L1376" s="13">
        <v>0.04</v>
      </c>
      <c r="M1376" s="13">
        <v>0.25</v>
      </c>
    </row>
    <row r="1377" spans="2:13" x14ac:dyDescent="0.25">
      <c r="B1377" s="14" t="s">
        <v>185</v>
      </c>
      <c r="C1377" s="14" t="s">
        <v>15</v>
      </c>
      <c r="D1377" t="s">
        <v>46</v>
      </c>
      <c r="E1377" s="16" t="s">
        <v>133</v>
      </c>
      <c r="F1377">
        <v>2030</v>
      </c>
      <c r="G1377" s="12">
        <v>541321</v>
      </c>
      <c r="H1377" s="13">
        <v>0.89</v>
      </c>
      <c r="I1377" s="13"/>
      <c r="J1377" s="13"/>
      <c r="K1377" s="13"/>
      <c r="L1377" s="13">
        <v>0.04</v>
      </c>
      <c r="M1377" s="13">
        <v>0.25</v>
      </c>
    </row>
    <row r="1378" spans="2:13" x14ac:dyDescent="0.25">
      <c r="B1378" s="14" t="s">
        <v>185</v>
      </c>
      <c r="C1378" s="14" t="s">
        <v>145</v>
      </c>
      <c r="D1378" t="s">
        <v>46</v>
      </c>
      <c r="E1378" s="16" t="s">
        <v>133</v>
      </c>
      <c r="F1378">
        <v>2026</v>
      </c>
      <c r="G1378" s="12">
        <v>1308754.3500000001</v>
      </c>
      <c r="H1378" s="13">
        <v>0.88</v>
      </c>
      <c r="I1378" s="13">
        <v>0.84</v>
      </c>
      <c r="J1378" s="13">
        <v>0.87</v>
      </c>
      <c r="K1378" s="13">
        <v>0.64500000000000002</v>
      </c>
      <c r="L1378" s="13"/>
      <c r="M1378" s="13">
        <v>0.25</v>
      </c>
    </row>
    <row r="1379" spans="2:13" x14ac:dyDescent="0.25">
      <c r="B1379" s="14" t="s">
        <v>185</v>
      </c>
      <c r="C1379" s="14" t="s">
        <v>145</v>
      </c>
      <c r="D1379" t="s">
        <v>46</v>
      </c>
      <c r="E1379" s="16" t="s">
        <v>133</v>
      </c>
      <c r="F1379">
        <v>2027</v>
      </c>
      <c r="G1379" s="12">
        <v>1249162.9838527399</v>
      </c>
      <c r="H1379" s="13">
        <v>0.88</v>
      </c>
      <c r="I1379" s="13">
        <v>0.84499999999999997</v>
      </c>
      <c r="J1379" s="13">
        <v>0.87</v>
      </c>
      <c r="K1379" s="13">
        <v>0.65</v>
      </c>
      <c r="L1379" s="13"/>
      <c r="M1379" s="13">
        <v>0.25</v>
      </c>
    </row>
    <row r="1380" spans="2:13" x14ac:dyDescent="0.25">
      <c r="B1380" s="14" t="s">
        <v>185</v>
      </c>
      <c r="C1380" s="14" t="s">
        <v>145</v>
      </c>
      <c r="D1380" t="s">
        <v>46</v>
      </c>
      <c r="E1380" s="16" t="s">
        <v>133</v>
      </c>
      <c r="F1380">
        <v>2028</v>
      </c>
      <c r="G1380" s="12">
        <v>1186192.9711297301</v>
      </c>
      <c r="H1380" s="13">
        <v>0.88</v>
      </c>
      <c r="I1380" s="13">
        <v>0.85</v>
      </c>
      <c r="J1380" s="13">
        <v>0.87</v>
      </c>
      <c r="K1380" s="13">
        <v>0.65500000000000003</v>
      </c>
      <c r="L1380" s="13"/>
      <c r="M1380" s="13">
        <v>0.25</v>
      </c>
    </row>
    <row r="1381" spans="2:13" x14ac:dyDescent="0.25">
      <c r="B1381" s="14" t="s">
        <v>185</v>
      </c>
      <c r="C1381" s="14" t="s">
        <v>145</v>
      </c>
      <c r="D1381" t="s">
        <v>46</v>
      </c>
      <c r="E1381" s="16" t="s">
        <v>133</v>
      </c>
      <c r="F1381">
        <v>2029</v>
      </c>
      <c r="G1381" s="12">
        <v>1121240.3205605601</v>
      </c>
      <c r="H1381" s="13">
        <v>0.88</v>
      </c>
      <c r="I1381" s="13">
        <v>0.85499999999999998</v>
      </c>
      <c r="J1381" s="13">
        <v>0.87</v>
      </c>
      <c r="K1381" s="13">
        <v>0.66</v>
      </c>
      <c r="L1381" s="13"/>
      <c r="M1381" s="13">
        <v>0.25</v>
      </c>
    </row>
    <row r="1382" spans="2:13" x14ac:dyDescent="0.25">
      <c r="B1382" s="14" t="s">
        <v>185</v>
      </c>
      <c r="C1382" s="14" t="s">
        <v>145</v>
      </c>
      <c r="D1382" t="s">
        <v>46</v>
      </c>
      <c r="E1382" s="16" t="s">
        <v>133</v>
      </c>
      <c r="F1382">
        <v>2030</v>
      </c>
      <c r="G1382" s="12">
        <v>1131464.40991521</v>
      </c>
      <c r="H1382" s="13">
        <v>0.88</v>
      </c>
      <c r="I1382" s="13">
        <v>0.86</v>
      </c>
      <c r="J1382" s="13">
        <v>0.87</v>
      </c>
      <c r="K1382" s="13">
        <v>0.66500000000000004</v>
      </c>
      <c r="L1382" s="13"/>
      <c r="M1382" s="13">
        <v>0.25</v>
      </c>
    </row>
    <row r="1383" spans="2:13" x14ac:dyDescent="0.25">
      <c r="B1383" s="14" t="s">
        <v>185</v>
      </c>
      <c r="C1383" s="14" t="s">
        <v>52</v>
      </c>
      <c r="D1383" t="s">
        <v>141</v>
      </c>
      <c r="E1383" s="16" t="s">
        <v>133</v>
      </c>
      <c r="F1383">
        <v>2027</v>
      </c>
      <c r="G1383" s="12">
        <v>9076923</v>
      </c>
      <c r="H1383" s="13">
        <v>0.85</v>
      </c>
      <c r="I1383" s="13"/>
      <c r="J1383" s="13"/>
      <c r="K1383" s="13"/>
      <c r="L1383" s="13"/>
      <c r="M1383" s="13"/>
    </row>
    <row r="1384" spans="2:13" x14ac:dyDescent="0.25">
      <c r="B1384" s="14" t="s">
        <v>185</v>
      </c>
      <c r="C1384" s="14" t="s">
        <v>52</v>
      </c>
      <c r="D1384" t="s">
        <v>138</v>
      </c>
      <c r="E1384" s="16" t="s">
        <v>133</v>
      </c>
      <c r="F1384">
        <v>2026</v>
      </c>
      <c r="G1384" s="12">
        <v>1227594</v>
      </c>
      <c r="H1384" s="13">
        <v>0.9</v>
      </c>
      <c r="I1384" s="13">
        <v>0.67</v>
      </c>
      <c r="J1384" s="13"/>
      <c r="K1384" s="13"/>
      <c r="L1384" s="13"/>
      <c r="M1384" s="13"/>
    </row>
    <row r="1385" spans="2:13" x14ac:dyDescent="0.25">
      <c r="B1385" s="14" t="s">
        <v>185</v>
      </c>
      <c r="C1385" s="14" t="s">
        <v>52</v>
      </c>
      <c r="D1385" t="s">
        <v>138</v>
      </c>
      <c r="E1385" s="16" t="s">
        <v>133</v>
      </c>
      <c r="F1385">
        <v>2027</v>
      </c>
      <c r="G1385" s="12">
        <v>1248019</v>
      </c>
      <c r="H1385" s="13">
        <v>0.91</v>
      </c>
      <c r="I1385" s="13">
        <v>0.68</v>
      </c>
      <c r="J1385" s="13"/>
      <c r="K1385" s="13"/>
      <c r="L1385" s="13"/>
      <c r="M1385" s="13"/>
    </row>
    <row r="1386" spans="2:13" x14ac:dyDescent="0.25">
      <c r="B1386" s="14" t="s">
        <v>185</v>
      </c>
      <c r="C1386" s="14" t="s">
        <v>52</v>
      </c>
      <c r="D1386" t="s">
        <v>138</v>
      </c>
      <c r="E1386" s="16" t="s">
        <v>133</v>
      </c>
      <c r="F1386">
        <v>2028</v>
      </c>
      <c r="G1386" s="12">
        <v>1270053</v>
      </c>
      <c r="H1386" s="13">
        <v>0.91</v>
      </c>
      <c r="I1386" s="13">
        <v>0.68</v>
      </c>
      <c r="J1386" s="13"/>
      <c r="K1386" s="13"/>
      <c r="L1386" s="13"/>
      <c r="M1386" s="13"/>
    </row>
    <row r="1387" spans="2:13" x14ac:dyDescent="0.25">
      <c r="B1387" s="14" t="s">
        <v>185</v>
      </c>
      <c r="C1387" s="14" t="s">
        <v>52</v>
      </c>
      <c r="D1387" t="s">
        <v>138</v>
      </c>
      <c r="E1387" s="16" t="s">
        <v>133</v>
      </c>
      <c r="F1387">
        <v>2029</v>
      </c>
      <c r="G1387" s="12">
        <v>1285653</v>
      </c>
      <c r="H1387" s="13">
        <v>0.91</v>
      </c>
      <c r="I1387" s="13">
        <v>0.48955500000000002</v>
      </c>
      <c r="J1387" s="13"/>
      <c r="K1387" s="13"/>
      <c r="L1387" s="13"/>
      <c r="M1387" s="13"/>
    </row>
    <row r="1388" spans="2:13" x14ac:dyDescent="0.25">
      <c r="B1388" s="14" t="s">
        <v>185</v>
      </c>
      <c r="C1388" s="14" t="s">
        <v>52</v>
      </c>
      <c r="D1388" t="s">
        <v>138</v>
      </c>
      <c r="E1388" s="16" t="s">
        <v>133</v>
      </c>
      <c r="F1388">
        <v>2030</v>
      </c>
      <c r="G1388" s="12">
        <v>1302447</v>
      </c>
      <c r="H1388" s="13">
        <v>0.91</v>
      </c>
      <c r="I1388" s="13">
        <v>0.49638599999999999</v>
      </c>
      <c r="J1388" s="13"/>
      <c r="K1388" s="13"/>
      <c r="L1388" s="13"/>
      <c r="M1388" s="13"/>
    </row>
    <row r="1389" spans="2:13" x14ac:dyDescent="0.25">
      <c r="B1389" s="14" t="s">
        <v>185</v>
      </c>
      <c r="C1389" s="14" t="s">
        <v>109</v>
      </c>
      <c r="D1389" t="s">
        <v>151</v>
      </c>
      <c r="E1389" s="16" t="s">
        <v>133</v>
      </c>
      <c r="F1389">
        <v>2026</v>
      </c>
      <c r="G1389" s="12">
        <v>5405405.4054054003</v>
      </c>
      <c r="H1389" s="13">
        <v>1</v>
      </c>
      <c r="I1389" s="13">
        <v>0.85</v>
      </c>
      <c r="J1389" s="13"/>
      <c r="K1389" s="13"/>
      <c r="L1389" s="13"/>
      <c r="M1389" s="13"/>
    </row>
    <row r="1390" spans="2:13" x14ac:dyDescent="0.25">
      <c r="B1390" s="14" t="s">
        <v>185</v>
      </c>
      <c r="C1390" s="14" t="s">
        <v>109</v>
      </c>
      <c r="D1390" t="s">
        <v>151</v>
      </c>
      <c r="E1390" s="16" t="s">
        <v>133</v>
      </c>
      <c r="F1390">
        <v>2027</v>
      </c>
      <c r="G1390" s="12">
        <v>3405405.4054054101</v>
      </c>
      <c r="H1390" s="13">
        <v>1</v>
      </c>
      <c r="I1390" s="13">
        <v>0.85</v>
      </c>
      <c r="J1390" s="13"/>
      <c r="K1390" s="13"/>
      <c r="L1390" s="13"/>
      <c r="M1390" s="13"/>
    </row>
    <row r="1391" spans="2:13" x14ac:dyDescent="0.25">
      <c r="B1391" s="14" t="s">
        <v>185</v>
      </c>
      <c r="C1391" s="14" t="s">
        <v>109</v>
      </c>
      <c r="D1391" t="s">
        <v>151</v>
      </c>
      <c r="E1391" s="16" t="s">
        <v>133</v>
      </c>
      <c r="F1391">
        <v>2028</v>
      </c>
      <c r="G1391" s="12">
        <v>0</v>
      </c>
      <c r="H1391" s="13"/>
      <c r="I1391" s="13"/>
      <c r="J1391" s="13"/>
      <c r="K1391" s="13"/>
      <c r="L1391" s="13"/>
      <c r="M1391" s="13"/>
    </row>
    <row r="1392" spans="2:13" x14ac:dyDescent="0.25">
      <c r="B1392" s="14" t="s">
        <v>185</v>
      </c>
      <c r="C1392" s="14" t="s">
        <v>109</v>
      </c>
      <c r="D1392" t="s">
        <v>151</v>
      </c>
      <c r="E1392" s="16" t="s">
        <v>133</v>
      </c>
      <c r="F1392">
        <v>2029</v>
      </c>
      <c r="G1392" s="12">
        <v>0</v>
      </c>
      <c r="H1392" s="13"/>
      <c r="I1392" s="13"/>
      <c r="J1392" s="13"/>
      <c r="K1392" s="13"/>
      <c r="L1392" s="13"/>
      <c r="M1392" s="13"/>
    </row>
    <row r="1393" spans="2:13" x14ac:dyDescent="0.25">
      <c r="B1393" s="14" t="s">
        <v>185</v>
      </c>
      <c r="C1393" s="14" t="s">
        <v>109</v>
      </c>
      <c r="D1393" t="s">
        <v>151</v>
      </c>
      <c r="E1393" s="16" t="s">
        <v>133</v>
      </c>
      <c r="F1393">
        <v>2030</v>
      </c>
      <c r="G1393" s="12">
        <v>0</v>
      </c>
      <c r="H1393" s="13"/>
      <c r="I1393" s="13"/>
      <c r="J1393" s="13"/>
      <c r="K1393" s="13"/>
      <c r="L1393" s="13"/>
      <c r="M1393" s="13"/>
    </row>
    <row r="1394" spans="2:13" x14ac:dyDescent="0.25">
      <c r="B1394" s="14" t="s">
        <v>185</v>
      </c>
      <c r="C1394" s="14" t="s">
        <v>139</v>
      </c>
      <c r="D1394" t="s">
        <v>46</v>
      </c>
      <c r="E1394" s="16" t="s">
        <v>133</v>
      </c>
      <c r="F1394">
        <v>2026</v>
      </c>
      <c r="G1394" s="12">
        <v>1273251</v>
      </c>
      <c r="H1394" s="13">
        <v>0.92</v>
      </c>
      <c r="I1394" s="13">
        <v>0.62</v>
      </c>
      <c r="J1394" s="13">
        <v>0</v>
      </c>
      <c r="K1394" s="13"/>
      <c r="L1394" s="13">
        <v>0.04</v>
      </c>
      <c r="M1394" s="13">
        <v>0.25</v>
      </c>
    </row>
    <row r="1395" spans="2:13" x14ac:dyDescent="0.25">
      <c r="B1395" s="14" t="s">
        <v>185</v>
      </c>
      <c r="C1395" s="14" t="s">
        <v>139</v>
      </c>
      <c r="D1395" t="s">
        <v>46</v>
      </c>
      <c r="E1395" s="16" t="s">
        <v>133</v>
      </c>
      <c r="F1395">
        <v>2027</v>
      </c>
      <c r="G1395" s="12">
        <v>1291360</v>
      </c>
      <c r="H1395" s="13">
        <v>0.93</v>
      </c>
      <c r="I1395" s="13">
        <v>0.63</v>
      </c>
      <c r="J1395" s="13">
        <v>0</v>
      </c>
      <c r="K1395" s="13"/>
      <c r="L1395" s="13">
        <v>0.04</v>
      </c>
      <c r="M1395" s="13">
        <v>0.25</v>
      </c>
    </row>
    <row r="1396" spans="2:13" x14ac:dyDescent="0.25">
      <c r="B1396" s="14" t="s">
        <v>185</v>
      </c>
      <c r="C1396" s="14" t="s">
        <v>139</v>
      </c>
      <c r="D1396" t="s">
        <v>46</v>
      </c>
      <c r="E1396" s="16" t="s">
        <v>133</v>
      </c>
      <c r="F1396">
        <v>2028</v>
      </c>
      <c r="G1396" s="12">
        <v>1314159</v>
      </c>
      <c r="H1396" s="13">
        <v>0.94</v>
      </c>
      <c r="I1396" s="13">
        <v>0.64</v>
      </c>
      <c r="J1396" s="13">
        <v>0</v>
      </c>
      <c r="K1396" s="13"/>
      <c r="L1396" s="13">
        <v>0.04</v>
      </c>
      <c r="M1396" s="13">
        <v>0.25</v>
      </c>
    </row>
    <row r="1397" spans="2:13" x14ac:dyDescent="0.25">
      <c r="B1397" s="14" t="s">
        <v>185</v>
      </c>
      <c r="C1397" s="14" t="s">
        <v>139</v>
      </c>
      <c r="D1397" t="s">
        <v>46</v>
      </c>
      <c r="E1397" s="16" t="s">
        <v>133</v>
      </c>
      <c r="F1397">
        <v>2029</v>
      </c>
      <c r="G1397" s="12">
        <v>1282598.2667942101</v>
      </c>
      <c r="H1397" s="13">
        <v>0.6699523141</v>
      </c>
      <c r="I1397" s="13">
        <v>0.65302126429999996</v>
      </c>
      <c r="J1397" s="13">
        <v>0</v>
      </c>
      <c r="K1397" s="13"/>
      <c r="L1397" s="13">
        <v>0.04</v>
      </c>
      <c r="M1397" s="13">
        <v>0.25</v>
      </c>
    </row>
    <row r="1398" spans="2:13" x14ac:dyDescent="0.25">
      <c r="B1398" s="15" t="s">
        <v>185</v>
      </c>
      <c r="C1398" s="14" t="s">
        <v>139</v>
      </c>
      <c r="D1398" t="s">
        <v>46</v>
      </c>
      <c r="E1398" s="16" t="s">
        <v>133</v>
      </c>
      <c r="F1398">
        <v>2030</v>
      </c>
      <c r="G1398" s="12">
        <v>1299352.1518789299</v>
      </c>
      <c r="H1398" s="13">
        <v>0.67655231410000005</v>
      </c>
      <c r="I1398" s="13">
        <v>0.65962126430000001</v>
      </c>
      <c r="J1398" s="13">
        <v>0</v>
      </c>
      <c r="K1398" s="13"/>
      <c r="L1398" s="13">
        <v>0.04</v>
      </c>
      <c r="M1398" s="13">
        <v>0.25</v>
      </c>
    </row>
    <row r="1399" spans="2:13" x14ac:dyDescent="0.25">
      <c r="B1399" s="14" t="s">
        <v>186</v>
      </c>
      <c r="C1399" s="14" t="s">
        <v>132</v>
      </c>
      <c r="D1399" t="s">
        <v>46</v>
      </c>
      <c r="E1399" s="16" t="s">
        <v>133</v>
      </c>
      <c r="F1399">
        <v>2026</v>
      </c>
      <c r="G1399" s="12">
        <v>158595</v>
      </c>
      <c r="H1399" s="13">
        <v>0</v>
      </c>
      <c r="I1399" s="13">
        <v>0</v>
      </c>
      <c r="J1399" s="13">
        <v>0</v>
      </c>
      <c r="K1399" s="13">
        <v>0</v>
      </c>
      <c r="L1399" s="13">
        <v>7.0000000000000007E-2</v>
      </c>
      <c r="M1399" s="13">
        <v>0.25</v>
      </c>
    </row>
    <row r="1400" spans="2:13" x14ac:dyDescent="0.25">
      <c r="B1400" s="14" t="s">
        <v>186</v>
      </c>
      <c r="C1400" s="14" t="s">
        <v>70</v>
      </c>
      <c r="D1400" t="s">
        <v>46</v>
      </c>
      <c r="E1400" s="16" t="s">
        <v>133</v>
      </c>
      <c r="F1400">
        <v>2026</v>
      </c>
      <c r="G1400" s="12">
        <v>158595</v>
      </c>
      <c r="H1400" s="13">
        <v>0</v>
      </c>
      <c r="I1400" s="13">
        <v>0</v>
      </c>
      <c r="J1400" s="13">
        <v>0</v>
      </c>
      <c r="K1400" s="13">
        <v>0</v>
      </c>
      <c r="L1400" s="13">
        <v>7.0000000000000007E-2</v>
      </c>
      <c r="M1400" s="13">
        <v>0.25</v>
      </c>
    </row>
    <row r="1401" spans="2:13" x14ac:dyDescent="0.25">
      <c r="B1401" s="14" t="s">
        <v>186</v>
      </c>
      <c r="C1401" s="14" t="s">
        <v>134</v>
      </c>
      <c r="D1401" t="s">
        <v>46</v>
      </c>
      <c r="E1401" s="16" t="s">
        <v>133</v>
      </c>
      <c r="F1401">
        <v>2026</v>
      </c>
      <c r="G1401" s="12">
        <v>158595</v>
      </c>
      <c r="H1401" s="13">
        <v>0.92</v>
      </c>
      <c r="I1401" s="13">
        <v>0.88719999999999999</v>
      </c>
      <c r="J1401" s="13">
        <v>0.84</v>
      </c>
      <c r="K1401" s="13">
        <v>0</v>
      </c>
      <c r="L1401" s="13">
        <v>0.1</v>
      </c>
      <c r="M1401" s="13">
        <v>0.25</v>
      </c>
    </row>
    <row r="1402" spans="2:13" x14ac:dyDescent="0.25">
      <c r="B1402" s="14" t="s">
        <v>186</v>
      </c>
      <c r="C1402" s="14" t="s">
        <v>134</v>
      </c>
      <c r="D1402" t="s">
        <v>46</v>
      </c>
      <c r="E1402" s="16" t="s">
        <v>133</v>
      </c>
      <c r="F1402">
        <v>2027</v>
      </c>
      <c r="G1402" s="12">
        <v>161335.37788479499</v>
      </c>
      <c r="H1402" s="13">
        <v>0.92659999999999998</v>
      </c>
      <c r="I1402" s="13">
        <v>0.89380000000000004</v>
      </c>
      <c r="J1402" s="13">
        <v>0.84660000000000002</v>
      </c>
      <c r="K1402" s="13">
        <v>0</v>
      </c>
      <c r="L1402" s="13">
        <v>7.0000000000000007E-2</v>
      </c>
      <c r="M1402" s="13">
        <v>0.25</v>
      </c>
    </row>
    <row r="1403" spans="2:13" x14ac:dyDescent="0.25">
      <c r="B1403" s="14" t="s">
        <v>186</v>
      </c>
      <c r="C1403" s="14" t="s">
        <v>134</v>
      </c>
      <c r="D1403" t="s">
        <v>46</v>
      </c>
      <c r="E1403" s="16" t="s">
        <v>133</v>
      </c>
      <c r="F1403">
        <v>2028</v>
      </c>
      <c r="G1403" s="12">
        <v>163943.08454716601</v>
      </c>
      <c r="H1403" s="13">
        <v>0.93320000000000003</v>
      </c>
      <c r="I1403" s="13">
        <v>0.90039999999999998</v>
      </c>
      <c r="J1403" s="13">
        <v>0.85319999999999996</v>
      </c>
      <c r="K1403" s="13">
        <v>0</v>
      </c>
      <c r="L1403" s="13">
        <v>7.0000000000000007E-2</v>
      </c>
      <c r="M1403" s="13">
        <v>0.25</v>
      </c>
    </row>
    <row r="1404" spans="2:13" x14ac:dyDescent="0.25">
      <c r="B1404" s="14" t="s">
        <v>186</v>
      </c>
      <c r="C1404" s="14" t="s">
        <v>134</v>
      </c>
      <c r="D1404" t="s">
        <v>46</v>
      </c>
      <c r="E1404" s="16" t="s">
        <v>133</v>
      </c>
      <c r="F1404">
        <v>2029</v>
      </c>
      <c r="G1404" s="12">
        <v>166123.19544537301</v>
      </c>
      <c r="H1404" s="13">
        <v>0.93979999999999997</v>
      </c>
      <c r="I1404" s="13">
        <v>0.90700000000000003</v>
      </c>
      <c r="J1404" s="13">
        <v>0.85980000000000001</v>
      </c>
      <c r="K1404" s="13">
        <v>0</v>
      </c>
      <c r="L1404" s="13">
        <v>7.0000000000000007E-2</v>
      </c>
      <c r="M1404" s="13">
        <v>0.25</v>
      </c>
    </row>
    <row r="1405" spans="2:13" x14ac:dyDescent="0.25">
      <c r="B1405" s="14" t="s">
        <v>186</v>
      </c>
      <c r="C1405" s="14" t="s">
        <v>134</v>
      </c>
      <c r="D1405" t="s">
        <v>46</v>
      </c>
      <c r="E1405" s="16" t="s">
        <v>133</v>
      </c>
      <c r="F1405">
        <v>2030</v>
      </c>
      <c r="G1405" s="12">
        <v>168844.748359419</v>
      </c>
      <c r="H1405" s="13">
        <v>0.94640000000000002</v>
      </c>
      <c r="I1405" s="13">
        <v>0.91359999999999997</v>
      </c>
      <c r="J1405" s="13">
        <v>0.86639999999999995</v>
      </c>
      <c r="K1405" s="13">
        <v>0</v>
      </c>
      <c r="L1405" s="13">
        <v>7.0000000000000007E-2</v>
      </c>
      <c r="M1405" s="13">
        <v>0.25</v>
      </c>
    </row>
    <row r="1406" spans="2:13" x14ac:dyDescent="0.25">
      <c r="B1406" s="14" t="s">
        <v>186</v>
      </c>
      <c r="C1406" s="14" t="s">
        <v>72</v>
      </c>
      <c r="D1406" t="s">
        <v>46</v>
      </c>
      <c r="E1406" s="16" t="s">
        <v>133</v>
      </c>
      <c r="F1406">
        <v>2026</v>
      </c>
      <c r="G1406" s="12">
        <v>158595</v>
      </c>
      <c r="H1406" s="13">
        <v>0.92</v>
      </c>
      <c r="I1406" s="13">
        <v>0.88719999999999999</v>
      </c>
      <c r="J1406" s="13">
        <v>0.84</v>
      </c>
      <c r="K1406" s="13"/>
      <c r="L1406" s="13">
        <v>7.0000000000000007E-2</v>
      </c>
      <c r="M1406" s="13">
        <v>0.25</v>
      </c>
    </row>
    <row r="1407" spans="2:13" x14ac:dyDescent="0.25">
      <c r="B1407" s="14" t="s">
        <v>186</v>
      </c>
      <c r="C1407" s="14" t="s">
        <v>72</v>
      </c>
      <c r="D1407" t="s">
        <v>46</v>
      </c>
      <c r="E1407" s="16" t="s">
        <v>133</v>
      </c>
      <c r="F1407">
        <v>2027</v>
      </c>
      <c r="G1407" s="12">
        <v>161335.37788479499</v>
      </c>
      <c r="H1407" s="13">
        <v>0.92659999999999998</v>
      </c>
      <c r="I1407" s="13">
        <v>0.89380000000000004</v>
      </c>
      <c r="J1407" s="13">
        <v>0.84660000000000002</v>
      </c>
      <c r="K1407" s="13"/>
      <c r="L1407" s="13">
        <v>7.0000000000000007E-2</v>
      </c>
      <c r="M1407" s="13">
        <v>0.25</v>
      </c>
    </row>
    <row r="1408" spans="2:13" x14ac:dyDescent="0.25">
      <c r="B1408" s="14" t="s">
        <v>186</v>
      </c>
      <c r="C1408" s="14" t="s">
        <v>72</v>
      </c>
      <c r="D1408" t="s">
        <v>46</v>
      </c>
      <c r="E1408" s="16" t="s">
        <v>133</v>
      </c>
      <c r="F1408">
        <v>2028</v>
      </c>
      <c r="G1408" s="12">
        <v>163943.08454716601</v>
      </c>
      <c r="H1408" s="13">
        <v>0.93320000000000003</v>
      </c>
      <c r="I1408" s="13">
        <v>0.90039999999999998</v>
      </c>
      <c r="J1408" s="13">
        <v>0.85319999999999996</v>
      </c>
      <c r="K1408" s="13"/>
      <c r="L1408" s="13">
        <v>7.0000000000000007E-2</v>
      </c>
      <c r="M1408" s="13">
        <v>0.25</v>
      </c>
    </row>
    <row r="1409" spans="2:13" x14ac:dyDescent="0.25">
      <c r="B1409" s="14" t="s">
        <v>186</v>
      </c>
      <c r="C1409" s="14" t="s">
        <v>72</v>
      </c>
      <c r="D1409" t="s">
        <v>46</v>
      </c>
      <c r="E1409" s="16" t="s">
        <v>133</v>
      </c>
      <c r="F1409">
        <v>2029</v>
      </c>
      <c r="G1409" s="12">
        <v>166123.19544537301</v>
      </c>
      <c r="H1409" s="13">
        <v>0.93979999999999997</v>
      </c>
      <c r="I1409" s="13">
        <v>0.90700000000000003</v>
      </c>
      <c r="J1409" s="13">
        <v>0.85980000000000001</v>
      </c>
      <c r="K1409" s="13"/>
      <c r="L1409" s="13">
        <v>7.0000000000000007E-2</v>
      </c>
      <c r="M1409" s="13">
        <v>0.25</v>
      </c>
    </row>
    <row r="1410" spans="2:13" x14ac:dyDescent="0.25">
      <c r="B1410" s="14" t="s">
        <v>186</v>
      </c>
      <c r="C1410" s="14" t="s">
        <v>72</v>
      </c>
      <c r="D1410" t="s">
        <v>46</v>
      </c>
      <c r="E1410" s="16" t="s">
        <v>133</v>
      </c>
      <c r="F1410">
        <v>2030</v>
      </c>
      <c r="G1410" s="12">
        <v>168844.748359419</v>
      </c>
      <c r="H1410" s="13">
        <v>0.94640000000000002</v>
      </c>
      <c r="I1410" s="13">
        <v>0.91359999999999997</v>
      </c>
      <c r="J1410" s="13">
        <v>0.86639999999999995</v>
      </c>
      <c r="K1410" s="13"/>
      <c r="L1410" s="13">
        <v>7.0000000000000007E-2</v>
      </c>
      <c r="M1410" s="13">
        <v>0.25</v>
      </c>
    </row>
    <row r="1411" spans="2:13" x14ac:dyDescent="0.25">
      <c r="B1411" s="14" t="s">
        <v>186</v>
      </c>
      <c r="C1411" s="14" t="s">
        <v>15</v>
      </c>
      <c r="D1411" t="s">
        <v>46</v>
      </c>
      <c r="E1411" s="16" t="s">
        <v>133</v>
      </c>
      <c r="F1411">
        <v>2026</v>
      </c>
      <c r="G1411" s="12">
        <v>45874</v>
      </c>
      <c r="H1411" s="13">
        <v>0.57333333330000003</v>
      </c>
      <c r="I1411" s="13"/>
      <c r="J1411" s="13"/>
      <c r="K1411" s="13"/>
      <c r="L1411" s="13">
        <v>0.03</v>
      </c>
      <c r="M1411" s="13">
        <v>0.25</v>
      </c>
    </row>
    <row r="1412" spans="2:13" x14ac:dyDescent="0.25">
      <c r="B1412" s="14" t="s">
        <v>186</v>
      </c>
      <c r="C1412" s="14" t="s">
        <v>15</v>
      </c>
      <c r="D1412" t="s">
        <v>46</v>
      </c>
      <c r="E1412" s="16" t="s">
        <v>133</v>
      </c>
      <c r="F1412">
        <v>2027</v>
      </c>
      <c r="G1412" s="12">
        <v>46852</v>
      </c>
      <c r="H1412" s="13">
        <v>0.60499999999999998</v>
      </c>
      <c r="I1412" s="13"/>
      <c r="J1412" s="13"/>
      <c r="K1412" s="13"/>
      <c r="L1412" s="13">
        <v>0.03</v>
      </c>
      <c r="M1412" s="13">
        <v>0.25</v>
      </c>
    </row>
    <row r="1413" spans="2:13" x14ac:dyDescent="0.25">
      <c r="B1413" s="14" t="s">
        <v>186</v>
      </c>
      <c r="C1413" s="14" t="s">
        <v>15</v>
      </c>
      <c r="D1413" t="s">
        <v>46</v>
      </c>
      <c r="E1413" s="16" t="s">
        <v>133</v>
      </c>
      <c r="F1413">
        <v>2028</v>
      </c>
      <c r="G1413" s="12">
        <v>47763</v>
      </c>
      <c r="H1413" s="13">
        <v>0.63666666670000005</v>
      </c>
      <c r="I1413" s="13"/>
      <c r="J1413" s="13"/>
      <c r="K1413" s="13"/>
      <c r="L1413" s="13">
        <v>0.03</v>
      </c>
      <c r="M1413" s="13">
        <v>0.25</v>
      </c>
    </row>
    <row r="1414" spans="2:13" x14ac:dyDescent="0.25">
      <c r="B1414" s="14" t="s">
        <v>186</v>
      </c>
      <c r="C1414" s="14" t="s">
        <v>15</v>
      </c>
      <c r="D1414" t="s">
        <v>46</v>
      </c>
      <c r="E1414" s="16" t="s">
        <v>133</v>
      </c>
      <c r="F1414">
        <v>2029</v>
      </c>
      <c r="G1414" s="12">
        <v>48637</v>
      </c>
      <c r="H1414" s="13">
        <v>0.6683333333</v>
      </c>
      <c r="I1414" s="13"/>
      <c r="J1414" s="13"/>
      <c r="K1414" s="13"/>
      <c r="L1414" s="13">
        <v>0.03</v>
      </c>
      <c r="M1414" s="13">
        <v>0.25</v>
      </c>
    </row>
    <row r="1415" spans="2:13" x14ac:dyDescent="0.25">
      <c r="B1415" s="14" t="s">
        <v>186</v>
      </c>
      <c r="C1415" s="14" t="s">
        <v>15</v>
      </c>
      <c r="D1415" t="s">
        <v>46</v>
      </c>
      <c r="E1415" s="16" t="s">
        <v>133</v>
      </c>
      <c r="F1415">
        <v>2030</v>
      </c>
      <c r="G1415" s="12">
        <v>49510</v>
      </c>
      <c r="H1415" s="13">
        <v>0.7</v>
      </c>
      <c r="I1415" s="13"/>
      <c r="J1415" s="13"/>
      <c r="K1415" s="13"/>
      <c r="L1415" s="13">
        <v>0.03</v>
      </c>
      <c r="M1415" s="13">
        <v>0.25</v>
      </c>
    </row>
    <row r="1416" spans="2:13" x14ac:dyDescent="0.25">
      <c r="B1416" s="14" t="s">
        <v>186</v>
      </c>
      <c r="C1416" s="14" t="s">
        <v>52</v>
      </c>
      <c r="D1416" t="s">
        <v>141</v>
      </c>
      <c r="E1416" s="16" t="s">
        <v>133</v>
      </c>
      <c r="F1416">
        <v>2027</v>
      </c>
      <c r="G1416" s="12">
        <v>773496.290980911</v>
      </c>
      <c r="H1416" s="13">
        <v>0.85</v>
      </c>
      <c r="I1416" s="13"/>
      <c r="J1416" s="13"/>
      <c r="K1416" s="13"/>
      <c r="L1416" s="13"/>
      <c r="M1416" s="13"/>
    </row>
    <row r="1417" spans="2:13" x14ac:dyDescent="0.25">
      <c r="B1417" s="14" t="s">
        <v>186</v>
      </c>
      <c r="C1417" s="14" t="s">
        <v>52</v>
      </c>
      <c r="D1417" t="s">
        <v>141</v>
      </c>
      <c r="E1417" s="16" t="s">
        <v>133</v>
      </c>
      <c r="F1417">
        <v>2030</v>
      </c>
      <c r="G1417" s="12">
        <v>801826.875</v>
      </c>
      <c r="H1417" s="13">
        <v>0.85</v>
      </c>
      <c r="I1417" s="13"/>
      <c r="J1417" s="13"/>
      <c r="K1417" s="13"/>
      <c r="L1417" s="13"/>
      <c r="M1417" s="13"/>
    </row>
    <row r="1418" spans="2:13" x14ac:dyDescent="0.25">
      <c r="B1418" s="14" t="s">
        <v>186</v>
      </c>
      <c r="C1418" s="14" t="s">
        <v>52</v>
      </c>
      <c r="D1418" t="s">
        <v>138</v>
      </c>
      <c r="E1418" s="16" t="s">
        <v>133</v>
      </c>
      <c r="F1418">
        <v>2026</v>
      </c>
      <c r="G1418" s="12">
        <v>158595</v>
      </c>
      <c r="H1418" s="13">
        <v>0.81</v>
      </c>
      <c r="I1418" s="13">
        <v>0.74</v>
      </c>
      <c r="J1418" s="13"/>
      <c r="K1418" s="13"/>
      <c r="L1418" s="13"/>
      <c r="M1418" s="13"/>
    </row>
    <row r="1419" spans="2:13" x14ac:dyDescent="0.25">
      <c r="B1419" s="14" t="s">
        <v>186</v>
      </c>
      <c r="C1419" s="14" t="s">
        <v>52</v>
      </c>
      <c r="D1419" t="s">
        <v>138</v>
      </c>
      <c r="E1419" s="16" t="s">
        <v>133</v>
      </c>
      <c r="F1419">
        <v>2027</v>
      </c>
      <c r="G1419" s="12">
        <v>160859</v>
      </c>
      <c r="H1419" s="13">
        <v>0.82</v>
      </c>
      <c r="I1419" s="13">
        <v>0.77625</v>
      </c>
      <c r="J1419" s="13"/>
      <c r="K1419" s="13"/>
      <c r="L1419" s="13"/>
      <c r="M1419" s="13"/>
    </row>
    <row r="1420" spans="2:13" x14ac:dyDescent="0.25">
      <c r="B1420" s="14" t="s">
        <v>186</v>
      </c>
      <c r="C1420" s="14" t="s">
        <v>52</v>
      </c>
      <c r="D1420" t="s">
        <v>138</v>
      </c>
      <c r="E1420" s="16" t="s">
        <v>133</v>
      </c>
      <c r="F1420">
        <v>2028</v>
      </c>
      <c r="G1420" s="12">
        <v>163459</v>
      </c>
      <c r="H1420" s="13">
        <v>0.82</v>
      </c>
      <c r="I1420" s="13">
        <v>0.77625</v>
      </c>
      <c r="J1420" s="13"/>
      <c r="K1420" s="13"/>
      <c r="L1420" s="13"/>
      <c r="M1420" s="13"/>
    </row>
    <row r="1421" spans="2:13" x14ac:dyDescent="0.25">
      <c r="B1421" s="14" t="s">
        <v>186</v>
      </c>
      <c r="C1421" s="14" t="s">
        <v>52</v>
      </c>
      <c r="D1421" t="s">
        <v>138</v>
      </c>
      <c r="E1421" s="16" t="s">
        <v>133</v>
      </c>
      <c r="F1421">
        <v>2029</v>
      </c>
      <c r="G1421" s="12">
        <v>165633</v>
      </c>
      <c r="H1421" s="13">
        <v>0.82</v>
      </c>
      <c r="I1421" s="13">
        <v>0.77625</v>
      </c>
      <c r="J1421" s="13"/>
      <c r="K1421" s="13"/>
      <c r="L1421" s="13"/>
      <c r="M1421" s="13"/>
    </row>
    <row r="1422" spans="2:13" x14ac:dyDescent="0.25">
      <c r="B1422" s="14" t="s">
        <v>186</v>
      </c>
      <c r="C1422" s="14" t="s">
        <v>52</v>
      </c>
      <c r="D1422" t="s">
        <v>138</v>
      </c>
      <c r="E1422" s="16" t="s">
        <v>133</v>
      </c>
      <c r="F1422">
        <v>2030</v>
      </c>
      <c r="G1422" s="12">
        <v>168346</v>
      </c>
      <c r="H1422" s="13">
        <v>0.82</v>
      </c>
      <c r="I1422" s="13">
        <v>0.77625</v>
      </c>
      <c r="J1422" s="13"/>
      <c r="K1422" s="13"/>
      <c r="L1422" s="13"/>
      <c r="M1422" s="13"/>
    </row>
    <row r="1423" spans="2:13" x14ac:dyDescent="0.25">
      <c r="B1423" s="14" t="s">
        <v>186</v>
      </c>
      <c r="C1423" s="14" t="s">
        <v>139</v>
      </c>
      <c r="D1423" t="s">
        <v>46</v>
      </c>
      <c r="E1423" s="16" t="s">
        <v>133</v>
      </c>
      <c r="F1423">
        <v>2026</v>
      </c>
      <c r="G1423" s="12">
        <v>158595</v>
      </c>
      <c r="H1423" s="13">
        <v>0.92</v>
      </c>
      <c r="I1423" s="13">
        <v>0.88</v>
      </c>
      <c r="J1423" s="13">
        <v>0</v>
      </c>
      <c r="K1423" s="13"/>
      <c r="L1423" s="13">
        <v>0.04</v>
      </c>
      <c r="M1423" s="13">
        <v>0.25</v>
      </c>
    </row>
    <row r="1424" spans="2:13" x14ac:dyDescent="0.25">
      <c r="B1424" s="14" t="s">
        <v>186</v>
      </c>
      <c r="C1424" s="14" t="s">
        <v>139</v>
      </c>
      <c r="D1424" t="s">
        <v>46</v>
      </c>
      <c r="E1424" s="16" t="s">
        <v>133</v>
      </c>
      <c r="F1424">
        <v>2027</v>
      </c>
      <c r="G1424" s="12">
        <v>161335.37788479499</v>
      </c>
      <c r="H1424" s="13">
        <v>0.92659999999999998</v>
      </c>
      <c r="I1424" s="13">
        <v>0.88660000000000005</v>
      </c>
      <c r="J1424" s="13">
        <v>0</v>
      </c>
      <c r="K1424" s="13"/>
      <c r="L1424" s="13">
        <v>0.04</v>
      </c>
      <c r="M1424" s="13">
        <v>0.25</v>
      </c>
    </row>
    <row r="1425" spans="2:13" x14ac:dyDescent="0.25">
      <c r="B1425" s="14" t="s">
        <v>186</v>
      </c>
      <c r="C1425" s="14" t="s">
        <v>139</v>
      </c>
      <c r="D1425" t="s">
        <v>46</v>
      </c>
      <c r="E1425" s="16" t="s">
        <v>133</v>
      </c>
      <c r="F1425">
        <v>2028</v>
      </c>
      <c r="G1425" s="12">
        <v>163943.08454716601</v>
      </c>
      <c r="H1425" s="13">
        <v>0.93320000000000003</v>
      </c>
      <c r="I1425" s="13">
        <v>0.89319999999999999</v>
      </c>
      <c r="J1425" s="13">
        <v>0</v>
      </c>
      <c r="K1425" s="13"/>
      <c r="L1425" s="13">
        <v>0.04</v>
      </c>
      <c r="M1425" s="13">
        <v>0.25</v>
      </c>
    </row>
    <row r="1426" spans="2:13" x14ac:dyDescent="0.25">
      <c r="B1426" s="14" t="s">
        <v>186</v>
      </c>
      <c r="C1426" s="14" t="s">
        <v>139</v>
      </c>
      <c r="D1426" t="s">
        <v>46</v>
      </c>
      <c r="E1426" s="16" t="s">
        <v>133</v>
      </c>
      <c r="F1426">
        <v>2029</v>
      </c>
      <c r="G1426" s="12">
        <v>166123.19544537301</v>
      </c>
      <c r="H1426" s="13">
        <v>0.93979999999999997</v>
      </c>
      <c r="I1426" s="13">
        <v>0.89980000000000004</v>
      </c>
      <c r="J1426" s="13">
        <v>0</v>
      </c>
      <c r="K1426" s="13"/>
      <c r="L1426" s="13">
        <v>0.04</v>
      </c>
      <c r="M1426" s="13">
        <v>0.25</v>
      </c>
    </row>
    <row r="1427" spans="2:13" x14ac:dyDescent="0.25">
      <c r="B1427" s="15" t="s">
        <v>186</v>
      </c>
      <c r="C1427" s="14" t="s">
        <v>139</v>
      </c>
      <c r="D1427" t="s">
        <v>46</v>
      </c>
      <c r="E1427" s="16" t="s">
        <v>133</v>
      </c>
      <c r="F1427">
        <v>2030</v>
      </c>
      <c r="G1427" s="12">
        <v>168844.748359419</v>
      </c>
      <c r="H1427" s="13">
        <v>0.94640000000000002</v>
      </c>
      <c r="I1427" s="13">
        <v>0.90639999999999998</v>
      </c>
      <c r="J1427" s="13">
        <v>0</v>
      </c>
      <c r="K1427" s="13"/>
      <c r="L1427" s="13">
        <v>0.04</v>
      </c>
      <c r="M1427" s="13">
        <v>0.25</v>
      </c>
    </row>
    <row r="1428" spans="2:13" x14ac:dyDescent="0.25">
      <c r="B1428" s="14" t="s">
        <v>187</v>
      </c>
      <c r="C1428" s="14" t="s">
        <v>132</v>
      </c>
      <c r="D1428" t="s">
        <v>46</v>
      </c>
      <c r="E1428" s="16" t="s">
        <v>133</v>
      </c>
      <c r="F1428">
        <v>2026</v>
      </c>
      <c r="G1428" s="12">
        <v>804428</v>
      </c>
      <c r="H1428" s="13">
        <v>0.99</v>
      </c>
      <c r="I1428" s="13">
        <v>0.9859</v>
      </c>
      <c r="J1428" s="13">
        <v>0.98</v>
      </c>
      <c r="K1428" s="13">
        <v>0</v>
      </c>
      <c r="L1428" s="13">
        <v>7.0000000000000007E-2</v>
      </c>
      <c r="M1428" s="13">
        <v>0.25</v>
      </c>
    </row>
    <row r="1429" spans="2:13" x14ac:dyDescent="0.25">
      <c r="B1429" s="14" t="s">
        <v>187</v>
      </c>
      <c r="C1429" s="14" t="s">
        <v>132</v>
      </c>
      <c r="D1429" t="s">
        <v>46</v>
      </c>
      <c r="E1429" s="16" t="s">
        <v>133</v>
      </c>
      <c r="F1429">
        <v>2027</v>
      </c>
      <c r="G1429" s="12">
        <v>816901.81991262303</v>
      </c>
      <c r="H1429" s="13">
        <v>0.99</v>
      </c>
      <c r="I1429" s="13">
        <v>0.99</v>
      </c>
      <c r="J1429" s="13">
        <v>0.98</v>
      </c>
      <c r="K1429" s="13">
        <v>0</v>
      </c>
      <c r="L1429" s="13">
        <v>7.0000000000000007E-2</v>
      </c>
      <c r="M1429" s="13">
        <v>0.25</v>
      </c>
    </row>
    <row r="1430" spans="2:13" x14ac:dyDescent="0.25">
      <c r="B1430" s="14" t="s">
        <v>187</v>
      </c>
      <c r="C1430" s="14" t="s">
        <v>132</v>
      </c>
      <c r="D1430" t="s">
        <v>46</v>
      </c>
      <c r="E1430" s="16" t="s">
        <v>133</v>
      </c>
      <c r="F1430">
        <v>2028</v>
      </c>
      <c r="G1430" s="12">
        <v>827559.46879538603</v>
      </c>
      <c r="H1430" s="13">
        <v>0.99</v>
      </c>
      <c r="I1430" s="13">
        <v>0.99</v>
      </c>
      <c r="J1430" s="13">
        <v>0.98</v>
      </c>
      <c r="K1430" s="13">
        <v>0</v>
      </c>
      <c r="L1430" s="13">
        <v>7.0000000000000007E-2</v>
      </c>
      <c r="M1430" s="13">
        <v>0.25</v>
      </c>
    </row>
    <row r="1431" spans="2:13" x14ac:dyDescent="0.25">
      <c r="B1431" s="14" t="s">
        <v>187</v>
      </c>
      <c r="C1431" s="14" t="s">
        <v>132</v>
      </c>
      <c r="D1431" t="s">
        <v>46</v>
      </c>
      <c r="E1431" s="16" t="s">
        <v>133</v>
      </c>
      <c r="F1431">
        <v>2029</v>
      </c>
      <c r="G1431" s="12">
        <v>840303.63023179804</v>
      </c>
      <c r="H1431" s="13">
        <v>0.99</v>
      </c>
      <c r="I1431" s="13">
        <v>0.99</v>
      </c>
      <c r="J1431" s="13">
        <v>0.98</v>
      </c>
      <c r="K1431" s="13">
        <v>0</v>
      </c>
      <c r="L1431" s="13">
        <v>7.0000000000000007E-2</v>
      </c>
      <c r="M1431" s="13">
        <v>0.25</v>
      </c>
    </row>
    <row r="1432" spans="2:13" x14ac:dyDescent="0.25">
      <c r="B1432" s="14" t="s">
        <v>187</v>
      </c>
      <c r="C1432" s="14" t="s">
        <v>132</v>
      </c>
      <c r="D1432" t="s">
        <v>46</v>
      </c>
      <c r="E1432" s="16" t="s">
        <v>133</v>
      </c>
      <c r="F1432">
        <v>2030</v>
      </c>
      <c r="G1432" s="12">
        <v>846793.01773455495</v>
      </c>
      <c r="H1432" s="13">
        <v>0.99</v>
      </c>
      <c r="I1432" s="13">
        <v>0.99</v>
      </c>
      <c r="J1432" s="13">
        <v>0.98</v>
      </c>
      <c r="K1432" s="13">
        <v>0</v>
      </c>
      <c r="L1432" s="13">
        <v>7.0000000000000007E-2</v>
      </c>
      <c r="M1432" s="13">
        <v>0.25</v>
      </c>
    </row>
    <row r="1433" spans="2:13" x14ac:dyDescent="0.25">
      <c r="B1433" s="14" t="s">
        <v>187</v>
      </c>
      <c r="C1433" s="14" t="s">
        <v>70</v>
      </c>
      <c r="D1433" t="s">
        <v>46</v>
      </c>
      <c r="E1433" s="16" t="s">
        <v>133</v>
      </c>
      <c r="F1433">
        <v>2026</v>
      </c>
      <c r="G1433" s="12">
        <v>804428</v>
      </c>
      <c r="H1433" s="13">
        <v>0.92</v>
      </c>
      <c r="I1433" s="13">
        <v>0.9</v>
      </c>
      <c r="J1433" s="13">
        <v>0</v>
      </c>
      <c r="K1433" s="13">
        <v>0</v>
      </c>
      <c r="L1433" s="13">
        <v>7.0000000000000007E-2</v>
      </c>
      <c r="M1433" s="13">
        <v>0.25</v>
      </c>
    </row>
    <row r="1434" spans="2:13" x14ac:dyDescent="0.25">
      <c r="B1434" s="14" t="s">
        <v>187</v>
      </c>
      <c r="C1434" s="14" t="s">
        <v>70</v>
      </c>
      <c r="D1434" t="s">
        <v>46</v>
      </c>
      <c r="E1434" s="16" t="s">
        <v>133</v>
      </c>
      <c r="F1434">
        <v>2027</v>
      </c>
      <c r="G1434" s="12">
        <v>816901.81991262303</v>
      </c>
      <c r="H1434" s="13">
        <v>0.92659999999999998</v>
      </c>
      <c r="I1434" s="13">
        <v>0.90659999999999996</v>
      </c>
      <c r="J1434" s="13">
        <v>6.6E-3</v>
      </c>
      <c r="K1434" s="13">
        <v>0</v>
      </c>
      <c r="L1434" s="13">
        <v>7.0000000000000007E-2</v>
      </c>
      <c r="M1434" s="13">
        <v>0.25</v>
      </c>
    </row>
    <row r="1435" spans="2:13" x14ac:dyDescent="0.25">
      <c r="B1435" s="14" t="s">
        <v>187</v>
      </c>
      <c r="C1435" s="14" t="s">
        <v>70</v>
      </c>
      <c r="D1435" t="s">
        <v>46</v>
      </c>
      <c r="E1435" s="16" t="s">
        <v>133</v>
      </c>
      <c r="F1435">
        <v>2028</v>
      </c>
      <c r="G1435" s="12">
        <v>827559.46879538603</v>
      </c>
      <c r="H1435" s="13">
        <v>0.93320000000000003</v>
      </c>
      <c r="I1435" s="13">
        <v>0.91320000000000001</v>
      </c>
      <c r="J1435" s="13">
        <v>1.32E-2</v>
      </c>
      <c r="K1435" s="13">
        <v>0</v>
      </c>
      <c r="L1435" s="13">
        <v>7.0000000000000007E-2</v>
      </c>
      <c r="M1435" s="13">
        <v>0.25</v>
      </c>
    </row>
    <row r="1436" spans="2:13" x14ac:dyDescent="0.25">
      <c r="B1436" s="14" t="s">
        <v>187</v>
      </c>
      <c r="C1436" s="14" t="s">
        <v>70</v>
      </c>
      <c r="D1436" t="s">
        <v>46</v>
      </c>
      <c r="E1436" s="16" t="s">
        <v>133</v>
      </c>
      <c r="F1436">
        <v>2029</v>
      </c>
      <c r="G1436" s="12">
        <v>840303.63023179804</v>
      </c>
      <c r="H1436" s="13">
        <v>0.93979999999999997</v>
      </c>
      <c r="I1436" s="13">
        <v>0.91979999999999995</v>
      </c>
      <c r="J1436" s="13">
        <v>1.9800000000000002E-2</v>
      </c>
      <c r="K1436" s="13">
        <v>0</v>
      </c>
      <c r="L1436" s="13">
        <v>7.0000000000000007E-2</v>
      </c>
      <c r="M1436" s="13">
        <v>0.25</v>
      </c>
    </row>
    <row r="1437" spans="2:13" x14ac:dyDescent="0.25">
      <c r="B1437" s="14" t="s">
        <v>187</v>
      </c>
      <c r="C1437" s="14" t="s">
        <v>70</v>
      </c>
      <c r="D1437" t="s">
        <v>46</v>
      </c>
      <c r="E1437" s="16" t="s">
        <v>133</v>
      </c>
      <c r="F1437">
        <v>2030</v>
      </c>
      <c r="G1437" s="12">
        <v>846793.01773455495</v>
      </c>
      <c r="H1437" s="13">
        <v>0.94640000000000002</v>
      </c>
      <c r="I1437" s="13">
        <v>0.9264</v>
      </c>
      <c r="J1437" s="13">
        <v>2.64E-2</v>
      </c>
      <c r="K1437" s="13">
        <v>0</v>
      </c>
      <c r="L1437" s="13">
        <v>7.0000000000000007E-2</v>
      </c>
      <c r="M1437" s="13">
        <v>0.25</v>
      </c>
    </row>
    <row r="1438" spans="2:13" x14ac:dyDescent="0.25">
      <c r="B1438" s="14" t="s">
        <v>187</v>
      </c>
      <c r="C1438" s="14" t="s">
        <v>72</v>
      </c>
      <c r="D1438" t="s">
        <v>46</v>
      </c>
      <c r="E1438" s="16" t="s">
        <v>133</v>
      </c>
      <c r="F1438">
        <v>2026</v>
      </c>
      <c r="G1438" s="12">
        <v>804428</v>
      </c>
      <c r="H1438" s="13">
        <v>0.99</v>
      </c>
      <c r="I1438" s="13">
        <v>0.9859</v>
      </c>
      <c r="J1438" s="13">
        <v>0.98</v>
      </c>
      <c r="K1438" s="13"/>
      <c r="L1438" s="13">
        <v>7.0000000000000007E-2</v>
      </c>
      <c r="M1438" s="13">
        <v>0.25</v>
      </c>
    </row>
    <row r="1439" spans="2:13" x14ac:dyDescent="0.25">
      <c r="B1439" s="14" t="s">
        <v>187</v>
      </c>
      <c r="C1439" s="14" t="s">
        <v>72</v>
      </c>
      <c r="D1439" t="s">
        <v>46</v>
      </c>
      <c r="E1439" s="16" t="s">
        <v>133</v>
      </c>
      <c r="F1439">
        <v>2027</v>
      </c>
      <c r="G1439" s="12">
        <v>816901.81991262303</v>
      </c>
      <c r="H1439" s="13">
        <v>0.99</v>
      </c>
      <c r="I1439" s="13">
        <v>0.9859</v>
      </c>
      <c r="J1439" s="13">
        <v>0.98</v>
      </c>
      <c r="K1439" s="13"/>
      <c r="L1439" s="13">
        <v>7.0000000000000007E-2</v>
      </c>
      <c r="M1439" s="13">
        <v>0.25</v>
      </c>
    </row>
    <row r="1440" spans="2:13" x14ac:dyDescent="0.25">
      <c r="B1440" s="14" t="s">
        <v>187</v>
      </c>
      <c r="C1440" s="14" t="s">
        <v>72</v>
      </c>
      <c r="D1440" t="s">
        <v>46</v>
      </c>
      <c r="E1440" s="16" t="s">
        <v>133</v>
      </c>
      <c r="F1440">
        <v>2028</v>
      </c>
      <c r="G1440" s="12">
        <v>827559.46879538603</v>
      </c>
      <c r="H1440" s="13">
        <v>0.99</v>
      </c>
      <c r="I1440" s="13">
        <v>0.9859</v>
      </c>
      <c r="J1440" s="13">
        <v>0.98</v>
      </c>
      <c r="K1440" s="13"/>
      <c r="L1440" s="13">
        <v>7.0000000000000007E-2</v>
      </c>
      <c r="M1440" s="13">
        <v>0.25</v>
      </c>
    </row>
    <row r="1441" spans="2:13" x14ac:dyDescent="0.25">
      <c r="B1441" s="14" t="s">
        <v>187</v>
      </c>
      <c r="C1441" s="14" t="s">
        <v>72</v>
      </c>
      <c r="D1441" t="s">
        <v>46</v>
      </c>
      <c r="E1441" s="16" t="s">
        <v>133</v>
      </c>
      <c r="F1441">
        <v>2029</v>
      </c>
      <c r="G1441" s="12">
        <v>840303.63023179804</v>
      </c>
      <c r="H1441" s="13">
        <v>0.99</v>
      </c>
      <c r="I1441" s="13">
        <v>0.9859</v>
      </c>
      <c r="J1441" s="13">
        <v>0.98</v>
      </c>
      <c r="K1441" s="13"/>
      <c r="L1441" s="13">
        <v>0.08</v>
      </c>
      <c r="M1441" s="13">
        <v>0.25</v>
      </c>
    </row>
    <row r="1442" spans="2:13" x14ac:dyDescent="0.25">
      <c r="B1442" s="14" t="s">
        <v>187</v>
      </c>
      <c r="C1442" s="14" t="s">
        <v>72</v>
      </c>
      <c r="D1442" t="s">
        <v>46</v>
      </c>
      <c r="E1442" s="16" t="s">
        <v>133</v>
      </c>
      <c r="F1442">
        <v>2030</v>
      </c>
      <c r="G1442" s="12">
        <v>846793.01773455495</v>
      </c>
      <c r="H1442" s="13">
        <v>0.99</v>
      </c>
      <c r="I1442" s="13">
        <v>0.9859</v>
      </c>
      <c r="J1442" s="13">
        <v>0.98</v>
      </c>
      <c r="K1442" s="13"/>
      <c r="L1442" s="13">
        <v>0.08</v>
      </c>
      <c r="M1442" s="13">
        <v>0.25</v>
      </c>
    </row>
    <row r="1443" spans="2:13" x14ac:dyDescent="0.25">
      <c r="B1443" s="14" t="s">
        <v>187</v>
      </c>
      <c r="C1443" s="14" t="s">
        <v>102</v>
      </c>
      <c r="D1443" t="s">
        <v>46</v>
      </c>
      <c r="E1443" s="16" t="s">
        <v>133</v>
      </c>
      <c r="F1443">
        <v>2030</v>
      </c>
      <c r="G1443" s="12">
        <v>846793.01773455495</v>
      </c>
      <c r="H1443" s="13">
        <v>7.3904818299999994E-2</v>
      </c>
      <c r="I1443" s="13"/>
      <c r="J1443" s="13"/>
      <c r="K1443" s="13"/>
      <c r="L1443" s="13">
        <v>7.0000000000000007E-2</v>
      </c>
      <c r="M1443" s="13">
        <v>0.25</v>
      </c>
    </row>
    <row r="1444" spans="2:13" x14ac:dyDescent="0.25">
      <c r="B1444" s="14" t="s">
        <v>187</v>
      </c>
      <c r="C1444" s="14" t="s">
        <v>15</v>
      </c>
      <c r="D1444" t="s">
        <v>136</v>
      </c>
      <c r="E1444" s="16" t="s">
        <v>133</v>
      </c>
      <c r="F1444">
        <v>2026</v>
      </c>
      <c r="G1444" s="12">
        <v>0</v>
      </c>
      <c r="H1444" s="13">
        <v>0</v>
      </c>
      <c r="I1444" s="13"/>
      <c r="J1444" s="13"/>
      <c r="K1444" s="13"/>
      <c r="L1444" s="13">
        <v>0.05</v>
      </c>
      <c r="M1444" s="13">
        <v>0.25</v>
      </c>
    </row>
    <row r="1445" spans="2:13" x14ac:dyDescent="0.25">
      <c r="B1445" s="14" t="s">
        <v>187</v>
      </c>
      <c r="C1445" s="14" t="s">
        <v>15</v>
      </c>
      <c r="D1445" t="s">
        <v>46</v>
      </c>
      <c r="E1445" s="16" t="s">
        <v>133</v>
      </c>
      <c r="F1445">
        <v>2026</v>
      </c>
      <c r="G1445" s="12">
        <v>281672</v>
      </c>
      <c r="H1445" s="13">
        <v>0.55320000000000003</v>
      </c>
      <c r="I1445" s="13"/>
      <c r="J1445" s="13"/>
      <c r="K1445" s="13"/>
      <c r="L1445" s="13">
        <v>0.05</v>
      </c>
      <c r="M1445" s="13">
        <v>0.25</v>
      </c>
    </row>
    <row r="1446" spans="2:13" x14ac:dyDescent="0.25">
      <c r="B1446" s="14" t="s">
        <v>187</v>
      </c>
      <c r="C1446" s="14" t="s">
        <v>15</v>
      </c>
      <c r="D1446" t="s">
        <v>46</v>
      </c>
      <c r="E1446" s="16" t="s">
        <v>133</v>
      </c>
      <c r="F1446">
        <v>2027</v>
      </c>
      <c r="G1446" s="12">
        <v>284572</v>
      </c>
      <c r="H1446" s="13">
        <v>0.55979999999999996</v>
      </c>
      <c r="I1446" s="13"/>
      <c r="J1446" s="13"/>
      <c r="K1446" s="13"/>
      <c r="L1446" s="13">
        <v>0.05</v>
      </c>
      <c r="M1446" s="13">
        <v>0.25</v>
      </c>
    </row>
    <row r="1447" spans="2:13" x14ac:dyDescent="0.25">
      <c r="B1447" s="14" t="s">
        <v>187</v>
      </c>
      <c r="C1447" s="14" t="s">
        <v>15</v>
      </c>
      <c r="D1447" t="s">
        <v>46</v>
      </c>
      <c r="E1447" s="16" t="s">
        <v>133</v>
      </c>
      <c r="F1447">
        <v>2028</v>
      </c>
      <c r="G1447" s="12">
        <v>289465</v>
      </c>
      <c r="H1447" s="13">
        <v>0.56640000000000001</v>
      </c>
      <c r="I1447" s="13"/>
      <c r="J1447" s="13"/>
      <c r="K1447" s="13"/>
      <c r="L1447" s="13">
        <v>0.05</v>
      </c>
      <c r="M1447" s="13">
        <v>0.25</v>
      </c>
    </row>
    <row r="1448" spans="2:13" x14ac:dyDescent="0.25">
      <c r="B1448" s="14" t="s">
        <v>187</v>
      </c>
      <c r="C1448" s="14" t="s">
        <v>15</v>
      </c>
      <c r="D1448" t="s">
        <v>46</v>
      </c>
      <c r="E1448" s="16" t="s">
        <v>133</v>
      </c>
      <c r="F1448">
        <v>2029</v>
      </c>
      <c r="G1448" s="12">
        <v>294684</v>
      </c>
      <c r="H1448" s="13">
        <v>0.57299999999999995</v>
      </c>
      <c r="I1448" s="13"/>
      <c r="J1448" s="13"/>
      <c r="K1448" s="13"/>
      <c r="L1448" s="13">
        <v>0.05</v>
      </c>
      <c r="M1448" s="13">
        <v>0.25</v>
      </c>
    </row>
    <row r="1449" spans="2:13" x14ac:dyDescent="0.25">
      <c r="B1449" s="14" t="s">
        <v>187</v>
      </c>
      <c r="C1449" s="14" t="s">
        <v>15</v>
      </c>
      <c r="D1449" t="s">
        <v>46</v>
      </c>
      <c r="E1449" s="16" t="s">
        <v>133</v>
      </c>
      <c r="F1449">
        <v>2030</v>
      </c>
      <c r="G1449" s="12">
        <v>299265</v>
      </c>
      <c r="H1449" s="13">
        <v>0.5796</v>
      </c>
      <c r="I1449" s="13"/>
      <c r="J1449" s="13"/>
      <c r="K1449" s="13"/>
      <c r="L1449" s="13">
        <v>0.05</v>
      </c>
      <c r="M1449" s="13">
        <v>0.25</v>
      </c>
    </row>
    <row r="1450" spans="2:13" x14ac:dyDescent="0.25">
      <c r="B1450" s="14" t="s">
        <v>187</v>
      </c>
      <c r="C1450" s="14" t="s">
        <v>145</v>
      </c>
      <c r="D1450" t="s">
        <v>46</v>
      </c>
      <c r="E1450" s="16" t="s">
        <v>133</v>
      </c>
      <c r="F1450">
        <v>2026</v>
      </c>
      <c r="G1450" s="12">
        <v>283901</v>
      </c>
      <c r="H1450" s="13">
        <v>0.86</v>
      </c>
      <c r="I1450" s="13">
        <v>0.83534458560000002</v>
      </c>
      <c r="J1450" s="13">
        <v>0.82472577970000005</v>
      </c>
      <c r="K1450" s="13">
        <v>0.67683299500000005</v>
      </c>
      <c r="L1450" s="13"/>
      <c r="M1450" s="13">
        <v>0.25</v>
      </c>
    </row>
    <row r="1451" spans="2:13" x14ac:dyDescent="0.25">
      <c r="B1451" s="14" t="s">
        <v>187</v>
      </c>
      <c r="C1451" s="14" t="s">
        <v>145</v>
      </c>
      <c r="D1451" t="s">
        <v>46</v>
      </c>
      <c r="E1451" s="16" t="s">
        <v>133</v>
      </c>
      <c r="F1451">
        <v>2027</v>
      </c>
      <c r="G1451" s="12">
        <v>330674.85327868903</v>
      </c>
      <c r="H1451" s="13">
        <v>0.86</v>
      </c>
      <c r="I1451" s="13">
        <v>0.84034458560000003</v>
      </c>
      <c r="J1451" s="13">
        <v>0.82972577970000005</v>
      </c>
      <c r="K1451" s="13">
        <v>0.68183299500000005</v>
      </c>
      <c r="L1451" s="13"/>
      <c r="M1451" s="13">
        <v>0.25</v>
      </c>
    </row>
    <row r="1452" spans="2:13" x14ac:dyDescent="0.25">
      <c r="B1452" s="14" t="s">
        <v>187</v>
      </c>
      <c r="C1452" s="14" t="s">
        <v>145</v>
      </c>
      <c r="D1452" t="s">
        <v>46</v>
      </c>
      <c r="E1452" s="16" t="s">
        <v>133</v>
      </c>
      <c r="F1452">
        <v>2028</v>
      </c>
      <c r="G1452" s="12">
        <v>335634.97607786901</v>
      </c>
      <c r="H1452" s="13">
        <v>0.86</v>
      </c>
      <c r="I1452" s="13">
        <v>0.84534458560000003</v>
      </c>
      <c r="J1452" s="13">
        <v>0.83472577969999995</v>
      </c>
      <c r="K1452" s="13">
        <v>0.68683299499999995</v>
      </c>
      <c r="L1452" s="13"/>
      <c r="M1452" s="13">
        <v>0.25</v>
      </c>
    </row>
    <row r="1453" spans="2:13" x14ac:dyDescent="0.25">
      <c r="B1453" s="14" t="s">
        <v>187</v>
      </c>
      <c r="C1453" s="14" t="s">
        <v>145</v>
      </c>
      <c r="D1453" t="s">
        <v>46</v>
      </c>
      <c r="E1453" s="16" t="s">
        <v>133</v>
      </c>
      <c r="F1453">
        <v>2029</v>
      </c>
      <c r="G1453" s="12">
        <v>340669.50071903702</v>
      </c>
      <c r="H1453" s="13">
        <v>0.86</v>
      </c>
      <c r="I1453" s="13">
        <v>0.85034458560000004</v>
      </c>
      <c r="J1453" s="13">
        <v>0.83972577969999995</v>
      </c>
      <c r="K1453" s="13">
        <v>0.69183299499999995</v>
      </c>
      <c r="L1453" s="13"/>
      <c r="M1453" s="13">
        <v>0.25</v>
      </c>
    </row>
    <row r="1454" spans="2:13" x14ac:dyDescent="0.25">
      <c r="B1454" s="14" t="s">
        <v>187</v>
      </c>
      <c r="C1454" s="14" t="s">
        <v>145</v>
      </c>
      <c r="D1454" t="s">
        <v>46</v>
      </c>
      <c r="E1454" s="16" t="s">
        <v>133</v>
      </c>
      <c r="F1454">
        <v>2030</v>
      </c>
      <c r="G1454" s="12">
        <v>345779.54322982201</v>
      </c>
      <c r="H1454" s="13">
        <v>0.86</v>
      </c>
      <c r="I1454" s="13">
        <v>0.85534458560000004</v>
      </c>
      <c r="J1454" s="13">
        <v>0.84472577969999996</v>
      </c>
      <c r="K1454" s="13">
        <v>0.69683299499999996</v>
      </c>
      <c r="L1454" s="13"/>
      <c r="M1454" s="13">
        <v>0.25</v>
      </c>
    </row>
    <row r="1455" spans="2:13" x14ac:dyDescent="0.25">
      <c r="B1455" s="14" t="s">
        <v>187</v>
      </c>
      <c r="C1455" s="14" t="s">
        <v>52</v>
      </c>
      <c r="D1455" t="s">
        <v>141</v>
      </c>
      <c r="E1455" s="16" t="s">
        <v>133</v>
      </c>
      <c r="F1455">
        <v>2026</v>
      </c>
      <c r="G1455" s="12">
        <v>5850406</v>
      </c>
      <c r="H1455" s="13">
        <v>0.95</v>
      </c>
      <c r="I1455" s="13"/>
      <c r="J1455" s="13"/>
      <c r="K1455" s="13"/>
      <c r="L1455" s="13"/>
      <c r="M1455" s="13"/>
    </row>
    <row r="1456" spans="2:13" x14ac:dyDescent="0.25">
      <c r="B1456" s="14" t="s">
        <v>187</v>
      </c>
      <c r="C1456" s="14" t="s">
        <v>52</v>
      </c>
      <c r="D1456" t="s">
        <v>141</v>
      </c>
      <c r="E1456" s="16" t="s">
        <v>133</v>
      </c>
      <c r="F1456">
        <v>2029</v>
      </c>
      <c r="G1456" s="12">
        <v>3018134.25</v>
      </c>
      <c r="H1456" s="13">
        <v>1</v>
      </c>
      <c r="I1456" s="13"/>
      <c r="J1456" s="13"/>
      <c r="K1456" s="13"/>
      <c r="L1456" s="13"/>
      <c r="M1456" s="13"/>
    </row>
    <row r="1457" spans="2:13" x14ac:dyDescent="0.25">
      <c r="B1457" s="14" t="s">
        <v>187</v>
      </c>
      <c r="C1457" s="14" t="s">
        <v>52</v>
      </c>
      <c r="D1457" t="s">
        <v>138</v>
      </c>
      <c r="E1457" s="16" t="s">
        <v>133</v>
      </c>
      <c r="F1457">
        <v>2026</v>
      </c>
      <c r="G1457" s="12">
        <v>675461</v>
      </c>
      <c r="H1457" s="13">
        <v>0.9032</v>
      </c>
      <c r="I1457" s="13">
        <v>0.72781200000000001</v>
      </c>
      <c r="J1457" s="13"/>
      <c r="K1457" s="13"/>
      <c r="L1457" s="13"/>
      <c r="M1457" s="13"/>
    </row>
    <row r="1458" spans="2:13" x14ac:dyDescent="0.25">
      <c r="B1458" s="14" t="s">
        <v>187</v>
      </c>
      <c r="C1458" s="14" t="s">
        <v>52</v>
      </c>
      <c r="D1458" t="s">
        <v>138</v>
      </c>
      <c r="E1458" s="16" t="s">
        <v>133</v>
      </c>
      <c r="F1458">
        <v>2027</v>
      </c>
      <c r="G1458" s="12">
        <v>685935</v>
      </c>
      <c r="H1458" s="13">
        <v>0.90980000000000005</v>
      </c>
      <c r="I1458" s="13">
        <v>0.73464300000000005</v>
      </c>
      <c r="J1458" s="13"/>
      <c r="K1458" s="13"/>
      <c r="L1458" s="13"/>
      <c r="M1458" s="13"/>
    </row>
    <row r="1459" spans="2:13" x14ac:dyDescent="0.25">
      <c r="B1459" s="14" t="s">
        <v>187</v>
      </c>
      <c r="C1459" s="14" t="s">
        <v>52</v>
      </c>
      <c r="D1459" t="s">
        <v>138</v>
      </c>
      <c r="E1459" s="16" t="s">
        <v>133</v>
      </c>
      <c r="F1459">
        <v>2028</v>
      </c>
      <c r="G1459" s="12">
        <v>694884</v>
      </c>
      <c r="H1459" s="13">
        <v>0.91639999999999999</v>
      </c>
      <c r="I1459" s="13">
        <v>0.74147399999999997</v>
      </c>
      <c r="J1459" s="13"/>
      <c r="K1459" s="13"/>
      <c r="L1459" s="13"/>
      <c r="M1459" s="13"/>
    </row>
    <row r="1460" spans="2:13" x14ac:dyDescent="0.25">
      <c r="B1460" s="14" t="s">
        <v>187</v>
      </c>
      <c r="C1460" s="14" t="s">
        <v>52</v>
      </c>
      <c r="D1460" t="s">
        <v>138</v>
      </c>
      <c r="E1460" s="16" t="s">
        <v>133</v>
      </c>
      <c r="F1460">
        <v>2029</v>
      </c>
      <c r="G1460" s="12">
        <v>705585</v>
      </c>
      <c r="H1460" s="13">
        <v>0.92300000000000004</v>
      </c>
      <c r="I1460" s="13">
        <v>0.748305</v>
      </c>
      <c r="J1460" s="13"/>
      <c r="K1460" s="13"/>
      <c r="L1460" s="13"/>
      <c r="M1460" s="13"/>
    </row>
    <row r="1461" spans="2:13" x14ac:dyDescent="0.25">
      <c r="B1461" s="14" t="s">
        <v>187</v>
      </c>
      <c r="C1461" s="14" t="s">
        <v>52</v>
      </c>
      <c r="D1461" t="s">
        <v>138</v>
      </c>
      <c r="E1461" s="16" t="s">
        <v>133</v>
      </c>
      <c r="F1461">
        <v>2030</v>
      </c>
      <c r="G1461" s="12">
        <v>711034</v>
      </c>
      <c r="H1461" s="13">
        <v>0.92959999999999998</v>
      </c>
      <c r="I1461" s="13">
        <v>0.75513600000000003</v>
      </c>
      <c r="J1461" s="13"/>
      <c r="K1461" s="13"/>
      <c r="L1461" s="13"/>
      <c r="M1461" s="13"/>
    </row>
    <row r="1462" spans="2:13" x14ac:dyDescent="0.25">
      <c r="B1462" s="14" t="s">
        <v>187</v>
      </c>
      <c r="C1462" s="14" t="s">
        <v>109</v>
      </c>
      <c r="D1462" t="s">
        <v>151</v>
      </c>
      <c r="E1462" s="16" t="s">
        <v>133</v>
      </c>
      <c r="F1462">
        <v>2026</v>
      </c>
      <c r="G1462" s="12">
        <v>0</v>
      </c>
      <c r="H1462" s="13"/>
      <c r="I1462" s="13"/>
      <c r="J1462" s="13"/>
      <c r="K1462" s="13"/>
      <c r="L1462" s="13"/>
      <c r="M1462" s="13"/>
    </row>
    <row r="1463" spans="2:13" x14ac:dyDescent="0.25">
      <c r="B1463" s="14" t="s">
        <v>187</v>
      </c>
      <c r="C1463" s="14" t="s">
        <v>109</v>
      </c>
      <c r="D1463" t="s">
        <v>151</v>
      </c>
      <c r="E1463" s="16" t="s">
        <v>133</v>
      </c>
      <c r="F1463">
        <v>2027</v>
      </c>
      <c r="G1463" s="12">
        <v>0</v>
      </c>
      <c r="H1463" s="13"/>
      <c r="I1463" s="13"/>
      <c r="J1463" s="13"/>
      <c r="K1463" s="13"/>
      <c r="L1463" s="13"/>
      <c r="M1463" s="13"/>
    </row>
    <row r="1464" spans="2:13" x14ac:dyDescent="0.25">
      <c r="B1464" s="14" t="s">
        <v>187</v>
      </c>
      <c r="C1464" s="14" t="s">
        <v>109</v>
      </c>
      <c r="D1464" t="s">
        <v>151</v>
      </c>
      <c r="E1464" s="16" t="s">
        <v>133</v>
      </c>
      <c r="F1464">
        <v>2028</v>
      </c>
      <c r="G1464" s="12">
        <v>3073751.3513513501</v>
      </c>
      <c r="H1464" s="13">
        <v>1</v>
      </c>
      <c r="I1464" s="13">
        <v>0.85</v>
      </c>
      <c r="J1464" s="13"/>
      <c r="K1464" s="13"/>
      <c r="L1464" s="13"/>
      <c r="M1464" s="13"/>
    </row>
    <row r="1465" spans="2:13" x14ac:dyDescent="0.25">
      <c r="B1465" s="14" t="s">
        <v>187</v>
      </c>
      <c r="C1465" s="14" t="s">
        <v>109</v>
      </c>
      <c r="D1465" t="s">
        <v>151</v>
      </c>
      <c r="E1465" s="16" t="s">
        <v>133</v>
      </c>
      <c r="F1465">
        <v>2029</v>
      </c>
      <c r="G1465" s="12">
        <v>727019.45945945894</v>
      </c>
      <c r="H1465" s="13">
        <v>1</v>
      </c>
      <c r="I1465" s="13">
        <v>0.85</v>
      </c>
      <c r="J1465" s="13"/>
      <c r="K1465" s="13"/>
      <c r="L1465" s="13"/>
      <c r="M1465" s="13"/>
    </row>
    <row r="1466" spans="2:13" x14ac:dyDescent="0.25">
      <c r="B1466" s="14" t="s">
        <v>187</v>
      </c>
      <c r="C1466" s="14" t="s">
        <v>109</v>
      </c>
      <c r="D1466" t="s">
        <v>151</v>
      </c>
      <c r="E1466" s="16" t="s">
        <v>133</v>
      </c>
      <c r="F1466">
        <v>2030</v>
      </c>
      <c r="G1466" s="12">
        <v>0</v>
      </c>
      <c r="H1466" s="13"/>
      <c r="I1466" s="13"/>
      <c r="J1466" s="13"/>
      <c r="K1466" s="13"/>
      <c r="L1466" s="13"/>
      <c r="M1466" s="13"/>
    </row>
    <row r="1467" spans="2:13" x14ac:dyDescent="0.25">
      <c r="B1467" s="14" t="s">
        <v>187</v>
      </c>
      <c r="C1467" s="14" t="s">
        <v>139</v>
      </c>
      <c r="D1467" t="s">
        <v>46</v>
      </c>
      <c r="E1467" s="16" t="s">
        <v>133</v>
      </c>
      <c r="F1467">
        <v>2026</v>
      </c>
      <c r="G1467" s="12">
        <v>804428</v>
      </c>
      <c r="H1467" s="13">
        <v>0.99</v>
      </c>
      <c r="I1467" s="13">
        <v>0.98</v>
      </c>
      <c r="J1467" s="13">
        <v>0</v>
      </c>
      <c r="K1467" s="13"/>
      <c r="L1467" s="13">
        <v>0.04</v>
      </c>
      <c r="M1467" s="13">
        <v>0.25</v>
      </c>
    </row>
    <row r="1468" spans="2:13" x14ac:dyDescent="0.25">
      <c r="B1468" s="14" t="s">
        <v>187</v>
      </c>
      <c r="C1468" s="14" t="s">
        <v>139</v>
      </c>
      <c r="D1468" t="s">
        <v>46</v>
      </c>
      <c r="E1468" s="16" t="s">
        <v>133</v>
      </c>
      <c r="F1468">
        <v>2027</v>
      </c>
      <c r="G1468" s="12">
        <v>816901.81991262303</v>
      </c>
      <c r="H1468" s="13">
        <v>0.99</v>
      </c>
      <c r="I1468" s="13">
        <v>0.98</v>
      </c>
      <c r="J1468" s="13">
        <v>0</v>
      </c>
      <c r="K1468" s="13"/>
      <c r="L1468" s="13">
        <v>0.04</v>
      </c>
      <c r="M1468" s="13">
        <v>0.25</v>
      </c>
    </row>
    <row r="1469" spans="2:13" x14ac:dyDescent="0.25">
      <c r="B1469" s="14" t="s">
        <v>187</v>
      </c>
      <c r="C1469" s="14" t="s">
        <v>139</v>
      </c>
      <c r="D1469" t="s">
        <v>46</v>
      </c>
      <c r="E1469" s="16" t="s">
        <v>133</v>
      </c>
      <c r="F1469">
        <v>2028</v>
      </c>
      <c r="G1469" s="12">
        <v>827559.46879538603</v>
      </c>
      <c r="H1469" s="13">
        <v>0.99</v>
      </c>
      <c r="I1469" s="13">
        <v>0.98</v>
      </c>
      <c r="J1469" s="13">
        <v>0</v>
      </c>
      <c r="K1469" s="13"/>
      <c r="L1469" s="13">
        <v>0.04</v>
      </c>
      <c r="M1469" s="13">
        <v>0.25</v>
      </c>
    </row>
    <row r="1470" spans="2:13" x14ac:dyDescent="0.25">
      <c r="B1470" s="14" t="s">
        <v>187</v>
      </c>
      <c r="C1470" s="14" t="s">
        <v>139</v>
      </c>
      <c r="D1470" t="s">
        <v>46</v>
      </c>
      <c r="E1470" s="16" t="s">
        <v>133</v>
      </c>
      <c r="F1470">
        <v>2029</v>
      </c>
      <c r="G1470" s="12">
        <v>840303.63023179804</v>
      </c>
      <c r="H1470" s="13">
        <v>0.99</v>
      </c>
      <c r="I1470" s="13">
        <v>0.98</v>
      </c>
      <c r="J1470" s="13">
        <v>0</v>
      </c>
      <c r="K1470" s="13"/>
      <c r="L1470" s="13">
        <v>0.04</v>
      </c>
      <c r="M1470" s="13">
        <v>0.25</v>
      </c>
    </row>
    <row r="1471" spans="2:13" x14ac:dyDescent="0.25">
      <c r="B1471" s="14" t="s">
        <v>187</v>
      </c>
      <c r="C1471" s="14" t="s">
        <v>139</v>
      </c>
      <c r="D1471" t="s">
        <v>46</v>
      </c>
      <c r="E1471" s="16" t="s">
        <v>133</v>
      </c>
      <c r="F1471">
        <v>2030</v>
      </c>
      <c r="G1471" s="12">
        <v>846793.01773455495</v>
      </c>
      <c r="H1471" s="13">
        <v>0.99</v>
      </c>
      <c r="I1471" s="13">
        <v>0.98</v>
      </c>
      <c r="J1471" s="13">
        <v>0</v>
      </c>
      <c r="K1471" s="13"/>
      <c r="L1471" s="13">
        <v>0.04</v>
      </c>
      <c r="M1471" s="13">
        <v>0.25</v>
      </c>
    </row>
    <row r="1472" spans="2:13" x14ac:dyDescent="0.25">
      <c r="B1472" s="14" t="s">
        <v>187</v>
      </c>
      <c r="C1472" s="14" t="s">
        <v>101</v>
      </c>
      <c r="D1472" t="s">
        <v>46</v>
      </c>
      <c r="E1472" s="16" t="s">
        <v>133</v>
      </c>
      <c r="F1472">
        <v>2026</v>
      </c>
      <c r="G1472" s="12">
        <v>804428</v>
      </c>
      <c r="H1472" s="13">
        <v>0.95</v>
      </c>
      <c r="I1472" s="13"/>
      <c r="J1472" s="13"/>
      <c r="K1472" s="13"/>
      <c r="L1472" s="13">
        <v>0.1</v>
      </c>
      <c r="M1472" s="13">
        <v>0.25</v>
      </c>
    </row>
    <row r="1473" spans="2:13" x14ac:dyDescent="0.25">
      <c r="B1473" s="14" t="s">
        <v>187</v>
      </c>
      <c r="C1473" s="14" t="s">
        <v>101</v>
      </c>
      <c r="D1473" t="s">
        <v>46</v>
      </c>
      <c r="E1473" s="16" t="s">
        <v>133</v>
      </c>
      <c r="F1473">
        <v>2027</v>
      </c>
      <c r="G1473" s="12">
        <v>811641.66750068194</v>
      </c>
      <c r="H1473" s="13">
        <v>0.95660000000000001</v>
      </c>
      <c r="I1473" s="13"/>
      <c r="J1473" s="13"/>
      <c r="K1473" s="13"/>
      <c r="L1473" s="13">
        <v>0.1</v>
      </c>
      <c r="M1473" s="13">
        <v>0.25</v>
      </c>
    </row>
    <row r="1474" spans="2:13" x14ac:dyDescent="0.25">
      <c r="B1474" s="14" t="s">
        <v>187</v>
      </c>
      <c r="C1474" s="14" t="s">
        <v>101</v>
      </c>
      <c r="D1474" t="s">
        <v>46</v>
      </c>
      <c r="E1474" s="16" t="s">
        <v>133</v>
      </c>
      <c r="F1474">
        <v>2028</v>
      </c>
      <c r="G1474" s="12">
        <v>818920.02320069401</v>
      </c>
      <c r="H1474" s="13">
        <v>0.96319999999999995</v>
      </c>
      <c r="I1474" s="13"/>
      <c r="J1474" s="13"/>
      <c r="K1474" s="13"/>
      <c r="L1474" s="13">
        <v>0.1</v>
      </c>
      <c r="M1474" s="13">
        <v>0.25</v>
      </c>
    </row>
    <row r="1475" spans="2:13" x14ac:dyDescent="0.25">
      <c r="B1475" s="14" t="s">
        <v>187</v>
      </c>
      <c r="C1475" s="14" t="s">
        <v>101</v>
      </c>
      <c r="D1475" t="s">
        <v>46</v>
      </c>
      <c r="E1475" s="16" t="s">
        <v>133</v>
      </c>
      <c r="F1475">
        <v>2029</v>
      </c>
      <c r="G1475" s="12">
        <v>826263.64718820003</v>
      </c>
      <c r="H1475" s="13">
        <v>0.9698</v>
      </c>
      <c r="I1475" s="13"/>
      <c r="J1475" s="13"/>
      <c r="K1475" s="13"/>
      <c r="L1475" s="13">
        <v>0.1</v>
      </c>
      <c r="M1475" s="13">
        <v>0.25</v>
      </c>
    </row>
    <row r="1476" spans="2:13" x14ac:dyDescent="0.25">
      <c r="B1476" s="15" t="s">
        <v>187</v>
      </c>
      <c r="C1476" s="14" t="s">
        <v>101</v>
      </c>
      <c r="D1476" t="s">
        <v>46</v>
      </c>
      <c r="E1476" s="16" t="s">
        <v>133</v>
      </c>
      <c r="F1476">
        <v>2030</v>
      </c>
      <c r="G1476" s="12">
        <v>833673.12475327298</v>
      </c>
      <c r="H1476" s="13">
        <v>0.97640000000000005</v>
      </c>
      <c r="I1476" s="13"/>
      <c r="J1476" s="13"/>
      <c r="K1476" s="13"/>
      <c r="L1476" s="13">
        <v>0.1</v>
      </c>
      <c r="M1476" s="13">
        <v>0.25</v>
      </c>
    </row>
    <row r="1477" spans="2:13" x14ac:dyDescent="0.25">
      <c r="B1477" s="14" t="s">
        <v>188</v>
      </c>
      <c r="C1477" s="14" t="s">
        <v>132</v>
      </c>
      <c r="D1477" t="s">
        <v>46</v>
      </c>
      <c r="E1477" s="16" t="s">
        <v>133</v>
      </c>
      <c r="F1477">
        <v>2026</v>
      </c>
      <c r="G1477" s="12">
        <v>1101850</v>
      </c>
      <c r="H1477" s="13">
        <v>0.97</v>
      </c>
      <c r="I1477" s="13">
        <v>0.93310000000000004</v>
      </c>
      <c r="J1477" s="13">
        <v>0.88</v>
      </c>
      <c r="K1477" s="13">
        <v>0</v>
      </c>
      <c r="L1477" s="13">
        <v>7.0000000000000007E-2</v>
      </c>
      <c r="M1477" s="13">
        <v>0.25</v>
      </c>
    </row>
    <row r="1478" spans="2:13" x14ac:dyDescent="0.25">
      <c r="B1478" s="14" t="s">
        <v>188</v>
      </c>
      <c r="C1478" s="14" t="s">
        <v>132</v>
      </c>
      <c r="D1478" t="s">
        <v>46</v>
      </c>
      <c r="E1478" s="16" t="s">
        <v>133</v>
      </c>
      <c r="F1478">
        <v>2027</v>
      </c>
      <c r="G1478" s="12">
        <v>1117830</v>
      </c>
      <c r="H1478" s="13">
        <v>0.245</v>
      </c>
      <c r="I1478" s="13">
        <v>0.23577500000000001</v>
      </c>
      <c r="J1478" s="13">
        <v>0.2225</v>
      </c>
      <c r="K1478" s="13">
        <v>0</v>
      </c>
      <c r="L1478" s="13">
        <v>7.0000000000000007E-2</v>
      </c>
      <c r="M1478" s="13">
        <v>0.25</v>
      </c>
    </row>
    <row r="1479" spans="2:13" x14ac:dyDescent="0.25">
      <c r="B1479" s="14" t="s">
        <v>188</v>
      </c>
      <c r="C1479" s="14" t="s">
        <v>132</v>
      </c>
      <c r="D1479" t="s">
        <v>46</v>
      </c>
      <c r="E1479" s="16" t="s">
        <v>133</v>
      </c>
      <c r="F1479">
        <v>2028</v>
      </c>
      <c r="G1479" s="12">
        <v>1288074.4780215099</v>
      </c>
      <c r="H1479" s="13">
        <v>0</v>
      </c>
      <c r="I1479" s="13">
        <v>0</v>
      </c>
      <c r="J1479" s="13">
        <v>0</v>
      </c>
      <c r="K1479" s="13">
        <v>0</v>
      </c>
      <c r="L1479" s="13">
        <v>7.0000000000000007E-2</v>
      </c>
      <c r="M1479" s="13">
        <v>0.25</v>
      </c>
    </row>
    <row r="1480" spans="2:13" x14ac:dyDescent="0.25">
      <c r="B1480" s="14" t="s">
        <v>188</v>
      </c>
      <c r="C1480" s="14" t="s">
        <v>70</v>
      </c>
      <c r="D1480" t="s">
        <v>46</v>
      </c>
      <c r="E1480" s="16" t="s">
        <v>133</v>
      </c>
      <c r="F1480">
        <v>2026</v>
      </c>
      <c r="G1480" s="12">
        <v>1101850</v>
      </c>
      <c r="H1480" s="13">
        <v>0.84</v>
      </c>
      <c r="I1480" s="13">
        <v>0.82</v>
      </c>
      <c r="J1480" s="13">
        <v>0</v>
      </c>
      <c r="K1480" s="13">
        <v>0</v>
      </c>
      <c r="L1480" s="13">
        <v>7.0000000000000007E-2</v>
      </c>
      <c r="M1480" s="13">
        <v>0.25</v>
      </c>
    </row>
    <row r="1481" spans="2:13" x14ac:dyDescent="0.25">
      <c r="B1481" s="14" t="s">
        <v>188</v>
      </c>
      <c r="C1481" s="14" t="s">
        <v>70</v>
      </c>
      <c r="D1481" t="s">
        <v>46</v>
      </c>
      <c r="E1481" s="16" t="s">
        <v>133</v>
      </c>
      <c r="F1481">
        <v>2027</v>
      </c>
      <c r="G1481" s="12">
        <v>1117830</v>
      </c>
      <c r="H1481" s="13">
        <v>0.21249999999999999</v>
      </c>
      <c r="I1481" s="13">
        <v>0.20749999999999999</v>
      </c>
      <c r="J1481" s="13">
        <v>0</v>
      </c>
      <c r="K1481" s="13">
        <v>0</v>
      </c>
      <c r="L1481" s="13">
        <v>7.0000000000000007E-2</v>
      </c>
      <c r="M1481" s="13">
        <v>0.25</v>
      </c>
    </row>
    <row r="1482" spans="2:13" x14ac:dyDescent="0.25">
      <c r="B1482" s="14" t="s">
        <v>188</v>
      </c>
      <c r="C1482" s="14" t="s">
        <v>70</v>
      </c>
      <c r="D1482" t="s">
        <v>46</v>
      </c>
      <c r="E1482" s="16" t="s">
        <v>133</v>
      </c>
      <c r="F1482">
        <v>2028</v>
      </c>
      <c r="G1482" s="12">
        <v>1288074.4780215099</v>
      </c>
      <c r="H1482" s="13">
        <v>0</v>
      </c>
      <c r="I1482" s="13">
        <v>0</v>
      </c>
      <c r="J1482" s="13">
        <v>0</v>
      </c>
      <c r="K1482" s="13">
        <v>0</v>
      </c>
      <c r="L1482" s="13">
        <v>7.0000000000000007E-2</v>
      </c>
      <c r="M1482" s="13">
        <v>0.25</v>
      </c>
    </row>
    <row r="1483" spans="2:13" x14ac:dyDescent="0.25">
      <c r="B1483" s="14" t="s">
        <v>188</v>
      </c>
      <c r="C1483" s="14" t="s">
        <v>134</v>
      </c>
      <c r="D1483" t="s">
        <v>46</v>
      </c>
      <c r="E1483" s="16" t="s">
        <v>133</v>
      </c>
      <c r="F1483">
        <v>2026</v>
      </c>
      <c r="G1483" s="12">
        <v>1252294</v>
      </c>
      <c r="H1483" s="13">
        <v>0</v>
      </c>
      <c r="I1483" s="13">
        <v>0</v>
      </c>
      <c r="J1483" s="13">
        <v>0</v>
      </c>
      <c r="K1483" s="13">
        <v>0</v>
      </c>
      <c r="L1483" s="13">
        <v>7.0000000000000007E-2</v>
      </c>
      <c r="M1483" s="13">
        <v>0.25</v>
      </c>
    </row>
    <row r="1484" spans="2:13" x14ac:dyDescent="0.25">
      <c r="B1484" s="14" t="s">
        <v>188</v>
      </c>
      <c r="C1484" s="14" t="s">
        <v>134</v>
      </c>
      <c r="D1484" t="s">
        <v>46</v>
      </c>
      <c r="E1484" s="16" t="s">
        <v>133</v>
      </c>
      <c r="F1484">
        <v>2027</v>
      </c>
      <c r="G1484" s="12">
        <v>1117830</v>
      </c>
      <c r="H1484" s="13">
        <v>0.73245000000000005</v>
      </c>
      <c r="I1484" s="13">
        <v>0.70477500000000004</v>
      </c>
      <c r="J1484" s="13">
        <v>0.66495000000000004</v>
      </c>
      <c r="K1484" s="13">
        <v>0</v>
      </c>
      <c r="L1484" s="13">
        <v>7.0000000000000007E-2</v>
      </c>
      <c r="M1484" s="13">
        <v>0.25</v>
      </c>
    </row>
    <row r="1485" spans="2:13" x14ac:dyDescent="0.25">
      <c r="B1485" s="14" t="s">
        <v>188</v>
      </c>
      <c r="C1485" s="14" t="s">
        <v>134</v>
      </c>
      <c r="D1485" t="s">
        <v>46</v>
      </c>
      <c r="E1485" s="16" t="s">
        <v>133</v>
      </c>
      <c r="F1485">
        <v>2028</v>
      </c>
      <c r="G1485" s="12">
        <v>1133332</v>
      </c>
      <c r="H1485" s="13">
        <v>0.98319999999999996</v>
      </c>
      <c r="I1485" s="13">
        <v>0.94630000000000003</v>
      </c>
      <c r="J1485" s="13">
        <v>0.89319999999999999</v>
      </c>
      <c r="K1485" s="13">
        <v>0</v>
      </c>
      <c r="L1485" s="13">
        <v>7.0000000000000007E-2</v>
      </c>
      <c r="M1485" s="13">
        <v>0.25</v>
      </c>
    </row>
    <row r="1486" spans="2:13" x14ac:dyDescent="0.25">
      <c r="B1486" s="14" t="s">
        <v>188</v>
      </c>
      <c r="C1486" s="14" t="s">
        <v>134</v>
      </c>
      <c r="D1486" t="s">
        <v>46</v>
      </c>
      <c r="E1486" s="16" t="s">
        <v>133</v>
      </c>
      <c r="F1486">
        <v>2029</v>
      </c>
      <c r="G1486" s="12">
        <v>1308174.1462068299</v>
      </c>
      <c r="H1486" s="13">
        <v>0.68639438109999995</v>
      </c>
      <c r="I1486" s="13">
        <v>0.65223141900000003</v>
      </c>
      <c r="J1486" s="13">
        <v>0.60307008340000001</v>
      </c>
      <c r="K1486" s="13">
        <v>0</v>
      </c>
      <c r="L1486" s="13">
        <v>7.0000000000000007E-2</v>
      </c>
      <c r="M1486" s="13">
        <v>0.25</v>
      </c>
    </row>
    <row r="1487" spans="2:13" x14ac:dyDescent="0.25">
      <c r="B1487" s="14" t="s">
        <v>188</v>
      </c>
      <c r="C1487" s="14" t="s">
        <v>134</v>
      </c>
      <c r="D1487" t="s">
        <v>46</v>
      </c>
      <c r="E1487" s="16" t="s">
        <v>133</v>
      </c>
      <c r="F1487">
        <v>2030</v>
      </c>
      <c r="G1487" s="12">
        <v>1324959.6706303</v>
      </c>
      <c r="H1487" s="13">
        <v>0.6929943811</v>
      </c>
      <c r="I1487" s="13">
        <v>0.65883141899999997</v>
      </c>
      <c r="J1487" s="13">
        <v>0.60967008339999995</v>
      </c>
      <c r="K1487" s="13">
        <v>0</v>
      </c>
      <c r="L1487" s="13">
        <v>7.0000000000000007E-2</v>
      </c>
      <c r="M1487" s="13">
        <v>0.25</v>
      </c>
    </row>
    <row r="1488" spans="2:13" x14ac:dyDescent="0.25">
      <c r="B1488" s="14" t="s">
        <v>188</v>
      </c>
      <c r="C1488" s="14" t="s">
        <v>72</v>
      </c>
      <c r="D1488" t="s">
        <v>46</v>
      </c>
      <c r="E1488" s="16" t="s">
        <v>133</v>
      </c>
      <c r="F1488">
        <v>2026</v>
      </c>
      <c r="G1488" s="12">
        <v>1101850</v>
      </c>
      <c r="H1488" s="13">
        <v>0.97</v>
      </c>
      <c r="I1488" s="13">
        <v>0.93310000000000004</v>
      </c>
      <c r="J1488" s="13">
        <v>0.88</v>
      </c>
      <c r="K1488" s="13"/>
      <c r="L1488" s="13">
        <v>7.0000000000000007E-2</v>
      </c>
      <c r="M1488" s="13">
        <v>0.25</v>
      </c>
    </row>
    <row r="1489" spans="2:13" x14ac:dyDescent="0.25">
      <c r="B1489" s="14" t="s">
        <v>188</v>
      </c>
      <c r="C1489" s="14" t="s">
        <v>72</v>
      </c>
      <c r="D1489" t="s">
        <v>46</v>
      </c>
      <c r="E1489" s="16" t="s">
        <v>133</v>
      </c>
      <c r="F1489">
        <v>2027</v>
      </c>
      <c r="G1489" s="12">
        <v>1117830</v>
      </c>
      <c r="H1489" s="13">
        <v>0.98</v>
      </c>
      <c r="I1489" s="13">
        <v>0.94310000000000005</v>
      </c>
      <c r="J1489" s="13">
        <v>0.89</v>
      </c>
      <c r="K1489" s="13"/>
      <c r="L1489" s="13">
        <v>7.0000000000000007E-2</v>
      </c>
      <c r="M1489" s="13">
        <v>0.25</v>
      </c>
    </row>
    <row r="1490" spans="2:13" x14ac:dyDescent="0.25">
      <c r="B1490" s="14" t="s">
        <v>188</v>
      </c>
      <c r="C1490" s="14" t="s">
        <v>72</v>
      </c>
      <c r="D1490" t="s">
        <v>46</v>
      </c>
      <c r="E1490" s="16" t="s">
        <v>133</v>
      </c>
      <c r="F1490">
        <v>2028</v>
      </c>
      <c r="G1490" s="12">
        <v>1133332</v>
      </c>
      <c r="H1490" s="13">
        <v>0.99</v>
      </c>
      <c r="I1490" s="13">
        <v>0.95309999999999995</v>
      </c>
      <c r="J1490" s="13">
        <v>0.9</v>
      </c>
      <c r="K1490" s="13"/>
      <c r="L1490" s="13">
        <v>7.0000000000000007E-2</v>
      </c>
      <c r="M1490" s="13">
        <v>0.25</v>
      </c>
    </row>
    <row r="1491" spans="2:13" x14ac:dyDescent="0.25">
      <c r="B1491" s="14" t="s">
        <v>188</v>
      </c>
      <c r="C1491" s="14" t="s">
        <v>72</v>
      </c>
      <c r="D1491" t="s">
        <v>46</v>
      </c>
      <c r="E1491" s="16" t="s">
        <v>133</v>
      </c>
      <c r="F1491">
        <v>2029</v>
      </c>
      <c r="G1491" s="12">
        <v>1308174.1462068299</v>
      </c>
      <c r="H1491" s="13">
        <v>0.6196708219</v>
      </c>
      <c r="I1491" s="13">
        <v>0.58892744230000005</v>
      </c>
      <c r="J1491" s="13">
        <v>0.54468696920000004</v>
      </c>
      <c r="K1491" s="13"/>
      <c r="L1491" s="13">
        <v>7.0000000000000007E-2</v>
      </c>
      <c r="M1491" s="13">
        <v>0.25</v>
      </c>
    </row>
    <row r="1492" spans="2:13" x14ac:dyDescent="0.25">
      <c r="B1492" s="14" t="s">
        <v>188</v>
      </c>
      <c r="C1492" s="14" t="s">
        <v>72</v>
      </c>
      <c r="D1492" t="s">
        <v>46</v>
      </c>
      <c r="E1492" s="16" t="s">
        <v>133</v>
      </c>
      <c r="F1492">
        <v>2030</v>
      </c>
      <c r="G1492" s="12">
        <v>1324959.6706303</v>
      </c>
      <c r="H1492" s="13">
        <v>0.62627082190000005</v>
      </c>
      <c r="I1492" s="13">
        <v>0.59552744229999999</v>
      </c>
      <c r="J1492" s="13">
        <v>0.55128696919999998</v>
      </c>
      <c r="K1492" s="13"/>
      <c r="L1492" s="13">
        <v>7.0000000000000007E-2</v>
      </c>
      <c r="M1492" s="13">
        <v>0.25</v>
      </c>
    </row>
    <row r="1493" spans="2:13" x14ac:dyDescent="0.25">
      <c r="B1493" s="14" t="s">
        <v>188</v>
      </c>
      <c r="C1493" s="14" t="s">
        <v>181</v>
      </c>
      <c r="D1493" t="s">
        <v>46</v>
      </c>
      <c r="E1493" s="16" t="s">
        <v>133</v>
      </c>
      <c r="F1493">
        <v>2029</v>
      </c>
      <c r="G1493" s="12">
        <v>1308174.1462068299</v>
      </c>
      <c r="H1493" s="13">
        <v>0.31143504170000003</v>
      </c>
      <c r="I1493" s="13"/>
      <c r="J1493" s="13"/>
      <c r="K1493" s="13"/>
      <c r="L1493" s="13">
        <v>0.17</v>
      </c>
      <c r="M1493" s="13">
        <v>0.25</v>
      </c>
    </row>
    <row r="1494" spans="2:13" x14ac:dyDescent="0.25">
      <c r="B1494" s="14" t="s">
        <v>188</v>
      </c>
      <c r="C1494" s="14" t="s">
        <v>181</v>
      </c>
      <c r="D1494" t="s">
        <v>46</v>
      </c>
      <c r="E1494" s="16" t="s">
        <v>133</v>
      </c>
      <c r="F1494">
        <v>2030</v>
      </c>
      <c r="G1494" s="12">
        <v>1324959.6706303</v>
      </c>
      <c r="H1494" s="13">
        <v>0.62947008339999999</v>
      </c>
      <c r="I1494" s="13"/>
      <c r="J1494" s="13"/>
      <c r="K1494" s="13"/>
      <c r="L1494" s="13">
        <v>0.17</v>
      </c>
      <c r="M1494" s="13">
        <v>0.25</v>
      </c>
    </row>
    <row r="1495" spans="2:13" x14ac:dyDescent="0.25">
      <c r="B1495" s="14" t="s">
        <v>188</v>
      </c>
      <c r="C1495" s="14" t="s">
        <v>182</v>
      </c>
      <c r="D1495" t="s">
        <v>46</v>
      </c>
      <c r="E1495" s="16" t="s">
        <v>133</v>
      </c>
      <c r="F1495">
        <v>2029</v>
      </c>
      <c r="G1495" s="12">
        <v>1308174.1462068299</v>
      </c>
      <c r="H1495" s="13">
        <v>0.31143504170000003</v>
      </c>
      <c r="I1495" s="13"/>
      <c r="J1495" s="13"/>
      <c r="K1495" s="13"/>
      <c r="L1495" s="13">
        <v>0.17</v>
      </c>
      <c r="M1495" s="13">
        <v>0.25</v>
      </c>
    </row>
    <row r="1496" spans="2:13" x14ac:dyDescent="0.25">
      <c r="B1496" s="14" t="s">
        <v>188</v>
      </c>
      <c r="C1496" s="14" t="s">
        <v>182</v>
      </c>
      <c r="D1496" t="s">
        <v>46</v>
      </c>
      <c r="E1496" s="16" t="s">
        <v>133</v>
      </c>
      <c r="F1496">
        <v>2030</v>
      </c>
      <c r="G1496" s="12">
        <v>1324959.6706303</v>
      </c>
      <c r="H1496" s="13">
        <v>0.62947008339999999</v>
      </c>
      <c r="I1496" s="13"/>
      <c r="J1496" s="13"/>
      <c r="K1496" s="13"/>
      <c r="L1496" s="13">
        <v>0.17</v>
      </c>
      <c r="M1496" s="13">
        <v>0.25</v>
      </c>
    </row>
    <row r="1497" spans="2:13" x14ac:dyDescent="0.25">
      <c r="B1497" s="14" t="s">
        <v>188</v>
      </c>
      <c r="C1497" s="14" t="s">
        <v>102</v>
      </c>
      <c r="D1497" t="s">
        <v>46</v>
      </c>
      <c r="E1497" s="16" t="s">
        <v>133</v>
      </c>
      <c r="F1497">
        <v>2030</v>
      </c>
      <c r="G1497" s="12">
        <v>1324959.6706303</v>
      </c>
      <c r="H1497" s="13">
        <v>4.00142811E-2</v>
      </c>
      <c r="I1497" s="13"/>
      <c r="J1497" s="13"/>
      <c r="K1497" s="13"/>
      <c r="L1497" s="13">
        <v>7.0000000000000007E-2</v>
      </c>
      <c r="M1497" s="13">
        <v>0.25</v>
      </c>
    </row>
    <row r="1498" spans="2:13" x14ac:dyDescent="0.25">
      <c r="B1498" s="14" t="s">
        <v>188</v>
      </c>
      <c r="C1498" s="14" t="s">
        <v>15</v>
      </c>
      <c r="D1498" t="s">
        <v>136</v>
      </c>
      <c r="E1498" s="16" t="s">
        <v>133</v>
      </c>
      <c r="F1498">
        <v>2028</v>
      </c>
      <c r="G1498" s="12">
        <v>0</v>
      </c>
      <c r="H1498" s="13">
        <v>0</v>
      </c>
      <c r="I1498" s="13"/>
      <c r="J1498" s="13"/>
      <c r="K1498" s="13"/>
      <c r="L1498" s="13">
        <v>0.05</v>
      </c>
      <c r="M1498" s="13">
        <v>0.25</v>
      </c>
    </row>
    <row r="1499" spans="2:13" x14ac:dyDescent="0.25">
      <c r="B1499" s="14" t="s">
        <v>188</v>
      </c>
      <c r="C1499" s="14" t="s">
        <v>15</v>
      </c>
      <c r="D1499" t="s">
        <v>136</v>
      </c>
      <c r="E1499" s="16" t="s">
        <v>133</v>
      </c>
      <c r="F1499">
        <v>2029</v>
      </c>
      <c r="G1499" s="12">
        <v>2033694.5</v>
      </c>
      <c r="H1499" s="13">
        <v>0.8</v>
      </c>
      <c r="I1499" s="13"/>
      <c r="J1499" s="13"/>
      <c r="K1499" s="13"/>
      <c r="L1499" s="13">
        <v>0.05</v>
      </c>
      <c r="M1499" s="13">
        <v>0.25</v>
      </c>
    </row>
    <row r="1500" spans="2:13" x14ac:dyDescent="0.25">
      <c r="B1500" s="14" t="s">
        <v>188</v>
      </c>
      <c r="C1500" s="14" t="s">
        <v>15</v>
      </c>
      <c r="D1500" t="s">
        <v>136</v>
      </c>
      <c r="E1500" s="16" t="s">
        <v>133</v>
      </c>
      <c r="F1500">
        <v>2030</v>
      </c>
      <c r="G1500" s="12">
        <v>0</v>
      </c>
      <c r="H1500" s="13">
        <v>0</v>
      </c>
      <c r="I1500" s="13"/>
      <c r="J1500" s="13"/>
      <c r="K1500" s="13"/>
      <c r="L1500" s="13">
        <v>0.05</v>
      </c>
      <c r="M1500" s="13">
        <v>0.25</v>
      </c>
    </row>
    <row r="1501" spans="2:13" x14ac:dyDescent="0.25">
      <c r="B1501" s="14" t="s">
        <v>188</v>
      </c>
      <c r="C1501" s="14" t="s">
        <v>15</v>
      </c>
      <c r="D1501" t="s">
        <v>46</v>
      </c>
      <c r="E1501" s="16" t="s">
        <v>133</v>
      </c>
      <c r="F1501">
        <v>2028</v>
      </c>
      <c r="G1501" s="12">
        <v>423496</v>
      </c>
      <c r="H1501" s="13">
        <v>0</v>
      </c>
      <c r="I1501" s="13"/>
      <c r="J1501" s="13"/>
      <c r="K1501" s="13"/>
      <c r="L1501" s="13">
        <v>0.05</v>
      </c>
      <c r="M1501" s="13">
        <v>0.25</v>
      </c>
    </row>
    <row r="1502" spans="2:13" x14ac:dyDescent="0.25">
      <c r="B1502" s="14" t="s">
        <v>188</v>
      </c>
      <c r="C1502" s="14" t="s">
        <v>15</v>
      </c>
      <c r="D1502" t="s">
        <v>46</v>
      </c>
      <c r="E1502" s="16" t="s">
        <v>133</v>
      </c>
      <c r="F1502">
        <v>2029</v>
      </c>
      <c r="G1502" s="12">
        <v>430713.5</v>
      </c>
      <c r="H1502" s="13">
        <v>0.53977500580000004</v>
      </c>
      <c r="I1502" s="13"/>
      <c r="J1502" s="13"/>
      <c r="K1502" s="13"/>
      <c r="L1502" s="13">
        <v>0.05</v>
      </c>
      <c r="M1502" s="13">
        <v>0.25</v>
      </c>
    </row>
    <row r="1503" spans="2:13" x14ac:dyDescent="0.25">
      <c r="B1503" s="14" t="s">
        <v>188</v>
      </c>
      <c r="C1503" s="14" t="s">
        <v>15</v>
      </c>
      <c r="D1503" t="s">
        <v>46</v>
      </c>
      <c r="E1503" s="16" t="s">
        <v>133</v>
      </c>
      <c r="F1503">
        <v>2030</v>
      </c>
      <c r="G1503" s="12">
        <v>438371</v>
      </c>
      <c r="H1503" s="13">
        <v>0.53977500580000004</v>
      </c>
      <c r="I1503" s="13"/>
      <c r="J1503" s="13"/>
      <c r="K1503" s="13"/>
      <c r="L1503" s="13">
        <v>0.05</v>
      </c>
      <c r="M1503" s="13">
        <v>0.25</v>
      </c>
    </row>
    <row r="1504" spans="2:13" x14ac:dyDescent="0.25">
      <c r="B1504" s="14" t="s">
        <v>188</v>
      </c>
      <c r="C1504" s="14" t="s">
        <v>145</v>
      </c>
      <c r="D1504" t="s">
        <v>46</v>
      </c>
      <c r="E1504" s="16" t="s">
        <v>133</v>
      </c>
      <c r="F1504">
        <v>2026</v>
      </c>
      <c r="G1504" s="12">
        <v>293184.92369299202</v>
      </c>
      <c r="H1504" s="13">
        <v>0.82</v>
      </c>
      <c r="I1504" s="13">
        <v>0.71548387099999999</v>
      </c>
      <c r="J1504" s="13">
        <v>0.69769793790000001</v>
      </c>
      <c r="K1504" s="13">
        <v>0.53651506240000002</v>
      </c>
      <c r="L1504" s="13"/>
      <c r="M1504" s="13">
        <v>0.25</v>
      </c>
    </row>
    <row r="1505" spans="2:13" x14ac:dyDescent="0.25">
      <c r="B1505" s="14" t="s">
        <v>188</v>
      </c>
      <c r="C1505" s="14" t="s">
        <v>145</v>
      </c>
      <c r="D1505" t="s">
        <v>46</v>
      </c>
      <c r="E1505" s="16" t="s">
        <v>133</v>
      </c>
      <c r="F1505">
        <v>2027</v>
      </c>
      <c r="G1505" s="12">
        <v>297582.69754838699</v>
      </c>
      <c r="H1505" s="13">
        <v>0.82499999999999996</v>
      </c>
      <c r="I1505" s="13">
        <v>0.720483871</v>
      </c>
      <c r="J1505" s="13">
        <v>0.70269793790000001</v>
      </c>
      <c r="K1505" s="13">
        <v>0.54151506240000002</v>
      </c>
      <c r="L1505" s="13"/>
      <c r="M1505" s="13">
        <v>0.25</v>
      </c>
    </row>
    <row r="1506" spans="2:13" x14ac:dyDescent="0.25">
      <c r="B1506" s="14" t="s">
        <v>188</v>
      </c>
      <c r="C1506" s="14" t="s">
        <v>145</v>
      </c>
      <c r="D1506" t="s">
        <v>46</v>
      </c>
      <c r="E1506" s="16" t="s">
        <v>133</v>
      </c>
      <c r="F1506">
        <v>2028</v>
      </c>
      <c r="G1506" s="12">
        <v>722826.67008056596</v>
      </c>
      <c r="H1506" s="13">
        <v>0.83</v>
      </c>
      <c r="I1506" s="13">
        <v>0.725483871</v>
      </c>
      <c r="J1506" s="13">
        <v>0.70769793790000002</v>
      </c>
      <c r="K1506" s="13">
        <v>0.54651506240000003</v>
      </c>
      <c r="L1506" s="13"/>
      <c r="M1506" s="13">
        <v>0.25</v>
      </c>
    </row>
    <row r="1507" spans="2:13" x14ac:dyDescent="0.25">
      <c r="B1507" s="14" t="s">
        <v>188</v>
      </c>
      <c r="C1507" s="14" t="s">
        <v>145</v>
      </c>
      <c r="D1507" t="s">
        <v>46</v>
      </c>
      <c r="E1507" s="16" t="s">
        <v>133</v>
      </c>
      <c r="F1507">
        <v>2029</v>
      </c>
      <c r="G1507" s="12">
        <v>743850.35173339804</v>
      </c>
      <c r="H1507" s="13">
        <v>0.83499999999999996</v>
      </c>
      <c r="I1507" s="13">
        <v>0.73048387100000001</v>
      </c>
      <c r="J1507" s="13">
        <v>0.71269793790000002</v>
      </c>
      <c r="K1507" s="13">
        <v>0.55151506240000003</v>
      </c>
      <c r="L1507" s="13"/>
      <c r="M1507" s="13">
        <v>0.25</v>
      </c>
    </row>
    <row r="1508" spans="2:13" x14ac:dyDescent="0.25">
      <c r="B1508" s="14" t="s">
        <v>188</v>
      </c>
      <c r="C1508" s="14" t="s">
        <v>145</v>
      </c>
      <c r="D1508" t="s">
        <v>46</v>
      </c>
      <c r="E1508" s="16" t="s">
        <v>133</v>
      </c>
      <c r="F1508">
        <v>2030</v>
      </c>
      <c r="G1508" s="12">
        <v>763390.12114257796</v>
      </c>
      <c r="H1508" s="13">
        <v>0.84</v>
      </c>
      <c r="I1508" s="13">
        <v>0.73548387100000001</v>
      </c>
      <c r="J1508" s="13">
        <v>0.71769793790000003</v>
      </c>
      <c r="K1508" s="13">
        <v>0.55651506240000004</v>
      </c>
      <c r="L1508" s="13"/>
      <c r="M1508" s="13">
        <v>0.25</v>
      </c>
    </row>
    <row r="1509" spans="2:13" x14ac:dyDescent="0.25">
      <c r="B1509" s="14" t="s">
        <v>188</v>
      </c>
      <c r="C1509" s="14" t="s">
        <v>40</v>
      </c>
      <c r="D1509" t="s">
        <v>151</v>
      </c>
      <c r="E1509" s="16" t="s">
        <v>133</v>
      </c>
      <c r="F1509">
        <v>2026</v>
      </c>
      <c r="G1509" s="12"/>
      <c r="H1509" s="13"/>
      <c r="I1509" s="13"/>
      <c r="J1509" s="13"/>
      <c r="K1509" s="13"/>
      <c r="L1509" s="13"/>
      <c r="M1509" s="13"/>
    </row>
    <row r="1510" spans="2:13" x14ac:dyDescent="0.25">
      <c r="B1510" s="14" t="s">
        <v>188</v>
      </c>
      <c r="C1510" s="14" t="s">
        <v>40</v>
      </c>
      <c r="D1510" t="s">
        <v>46</v>
      </c>
      <c r="E1510" s="16" t="s">
        <v>133</v>
      </c>
      <c r="F1510">
        <v>2026</v>
      </c>
      <c r="G1510" s="12">
        <v>1286203</v>
      </c>
      <c r="H1510" s="13">
        <v>0.85</v>
      </c>
      <c r="I1510" s="13"/>
      <c r="J1510" s="13"/>
      <c r="K1510" s="13"/>
      <c r="L1510" s="13">
        <v>9.9099099100000004E-2</v>
      </c>
      <c r="M1510" s="13">
        <v>0.25</v>
      </c>
    </row>
    <row r="1511" spans="2:13" x14ac:dyDescent="0.25">
      <c r="B1511" s="14" t="s">
        <v>188</v>
      </c>
      <c r="C1511" s="14" t="s">
        <v>40</v>
      </c>
      <c r="D1511" t="s">
        <v>46</v>
      </c>
      <c r="E1511" s="16" t="s">
        <v>133</v>
      </c>
      <c r="F1511">
        <v>2027</v>
      </c>
      <c r="G1511" s="12">
        <v>1304857</v>
      </c>
      <c r="H1511" s="13">
        <v>0.85</v>
      </c>
      <c r="I1511" s="13"/>
      <c r="J1511" s="13"/>
      <c r="K1511" s="13"/>
      <c r="L1511" s="13">
        <v>9.9099099100000004E-2</v>
      </c>
      <c r="M1511" s="13">
        <v>0.25</v>
      </c>
    </row>
    <row r="1512" spans="2:13" x14ac:dyDescent="0.25">
      <c r="B1512" s="14" t="s">
        <v>188</v>
      </c>
      <c r="C1512" s="14" t="s">
        <v>40</v>
      </c>
      <c r="D1512" t="s">
        <v>46</v>
      </c>
      <c r="E1512" s="16" t="s">
        <v>133</v>
      </c>
      <c r="F1512">
        <v>2028</v>
      </c>
      <c r="G1512" s="12">
        <v>1322953</v>
      </c>
      <c r="H1512" s="13">
        <v>0.85</v>
      </c>
      <c r="I1512" s="13"/>
      <c r="J1512" s="13"/>
      <c r="K1512" s="13"/>
      <c r="L1512" s="13">
        <v>9.9099099100000004E-2</v>
      </c>
      <c r="M1512" s="13">
        <v>0.25</v>
      </c>
    </row>
    <row r="1513" spans="2:13" x14ac:dyDescent="0.25">
      <c r="B1513" s="14" t="s">
        <v>188</v>
      </c>
      <c r="C1513" s="14" t="s">
        <v>40</v>
      </c>
      <c r="D1513" t="s">
        <v>46</v>
      </c>
      <c r="E1513" s="16" t="s">
        <v>133</v>
      </c>
      <c r="F1513">
        <v>2029</v>
      </c>
      <c r="G1513" s="12">
        <v>1343597</v>
      </c>
      <c r="H1513" s="13">
        <v>0.83979999999999999</v>
      </c>
      <c r="I1513" s="13"/>
      <c r="J1513" s="13"/>
      <c r="K1513" s="13"/>
      <c r="L1513" s="13">
        <v>0.1</v>
      </c>
      <c r="M1513" s="13">
        <v>0.25</v>
      </c>
    </row>
    <row r="1514" spans="2:13" x14ac:dyDescent="0.25">
      <c r="B1514" s="14" t="s">
        <v>188</v>
      </c>
      <c r="C1514" s="14" t="s">
        <v>40</v>
      </c>
      <c r="D1514" t="s">
        <v>46</v>
      </c>
      <c r="E1514" s="16" t="s">
        <v>133</v>
      </c>
      <c r="F1514">
        <v>2030</v>
      </c>
      <c r="G1514" s="12">
        <v>1360837</v>
      </c>
      <c r="H1514" s="13">
        <v>0.84640000000000004</v>
      </c>
      <c r="I1514" s="13"/>
      <c r="J1514" s="13"/>
      <c r="K1514" s="13"/>
      <c r="L1514" s="13">
        <v>0.1</v>
      </c>
      <c r="M1514" s="13">
        <v>0.25</v>
      </c>
    </row>
    <row r="1515" spans="2:13" x14ac:dyDescent="0.25">
      <c r="B1515" s="14" t="s">
        <v>188</v>
      </c>
      <c r="C1515" s="14" t="s">
        <v>52</v>
      </c>
      <c r="D1515" t="s">
        <v>137</v>
      </c>
      <c r="E1515" s="16" t="s">
        <v>133</v>
      </c>
      <c r="F1515">
        <v>2028</v>
      </c>
      <c r="G1515" s="12">
        <v>10115561.590909099</v>
      </c>
      <c r="H1515" s="13">
        <v>0.85</v>
      </c>
      <c r="I1515" s="13"/>
      <c r="J1515" s="13"/>
      <c r="K1515" s="13"/>
      <c r="L1515" s="13"/>
      <c r="M1515" s="13"/>
    </row>
    <row r="1516" spans="2:13" x14ac:dyDescent="0.25">
      <c r="B1516" s="14" t="s">
        <v>188</v>
      </c>
      <c r="C1516" s="14" t="s">
        <v>52</v>
      </c>
      <c r="D1516" t="s">
        <v>138</v>
      </c>
      <c r="E1516" s="16" t="s">
        <v>133</v>
      </c>
      <c r="F1516">
        <v>2028</v>
      </c>
      <c r="G1516" s="12">
        <v>1133332</v>
      </c>
      <c r="H1516" s="13">
        <v>0.83640000000000003</v>
      </c>
      <c r="I1516" s="13">
        <v>0.82427399999999995</v>
      </c>
      <c r="J1516" s="13"/>
      <c r="K1516" s="13"/>
      <c r="L1516" s="13"/>
      <c r="M1516" s="13"/>
    </row>
    <row r="1517" spans="2:13" x14ac:dyDescent="0.25">
      <c r="B1517" s="14" t="s">
        <v>188</v>
      </c>
      <c r="C1517" s="14" t="s">
        <v>52</v>
      </c>
      <c r="D1517" t="s">
        <v>138</v>
      </c>
      <c r="E1517" s="16" t="s">
        <v>133</v>
      </c>
      <c r="F1517">
        <v>2029</v>
      </c>
      <c r="G1517" s="12">
        <v>1151017</v>
      </c>
      <c r="H1517" s="13">
        <v>0.84299999999999997</v>
      </c>
      <c r="I1517" s="13">
        <v>0.83110499999999998</v>
      </c>
      <c r="J1517" s="13"/>
      <c r="K1517" s="13"/>
      <c r="L1517" s="13"/>
      <c r="M1517" s="13"/>
    </row>
    <row r="1518" spans="2:13" x14ac:dyDescent="0.25">
      <c r="B1518" s="14" t="s">
        <v>188</v>
      </c>
      <c r="C1518" s="14" t="s">
        <v>52</v>
      </c>
      <c r="D1518" t="s">
        <v>138</v>
      </c>
      <c r="E1518" s="16" t="s">
        <v>133</v>
      </c>
      <c r="F1518">
        <v>2030</v>
      </c>
      <c r="G1518" s="12">
        <v>1165786</v>
      </c>
      <c r="H1518" s="13">
        <v>0.84960000000000002</v>
      </c>
      <c r="I1518" s="13">
        <v>0.83793600000000001</v>
      </c>
      <c r="J1518" s="13"/>
      <c r="K1518" s="13"/>
      <c r="L1518" s="13"/>
      <c r="M1518" s="13"/>
    </row>
    <row r="1519" spans="2:13" x14ac:dyDescent="0.25">
      <c r="B1519" s="14" t="s">
        <v>188</v>
      </c>
      <c r="C1519" s="14" t="s">
        <v>139</v>
      </c>
      <c r="D1519" t="s">
        <v>46</v>
      </c>
      <c r="E1519" s="16" t="s">
        <v>133</v>
      </c>
      <c r="F1519">
        <v>2026</v>
      </c>
      <c r="G1519" s="12">
        <v>1101850</v>
      </c>
      <c r="H1519" s="13">
        <v>0.97</v>
      </c>
      <c r="I1519" s="13">
        <v>0.92</v>
      </c>
      <c r="J1519" s="13">
        <v>0</v>
      </c>
      <c r="K1519" s="13"/>
      <c r="L1519" s="13">
        <v>0.04</v>
      </c>
      <c r="M1519" s="13">
        <v>0.25</v>
      </c>
    </row>
    <row r="1520" spans="2:13" x14ac:dyDescent="0.25">
      <c r="B1520" s="14" t="s">
        <v>188</v>
      </c>
      <c r="C1520" s="14" t="s">
        <v>139</v>
      </c>
      <c r="D1520" t="s">
        <v>46</v>
      </c>
      <c r="E1520" s="16" t="s">
        <v>133</v>
      </c>
      <c r="F1520">
        <v>2027</v>
      </c>
      <c r="G1520" s="12">
        <v>1117830</v>
      </c>
      <c r="H1520" s="13">
        <v>0.98</v>
      </c>
      <c r="I1520" s="13">
        <v>0.93</v>
      </c>
      <c r="J1520" s="13">
        <v>0</v>
      </c>
      <c r="K1520" s="13"/>
      <c r="L1520" s="13">
        <v>0.04</v>
      </c>
      <c r="M1520" s="13">
        <v>0.25</v>
      </c>
    </row>
    <row r="1521" spans="2:13" x14ac:dyDescent="0.25">
      <c r="B1521" s="14" t="s">
        <v>188</v>
      </c>
      <c r="C1521" s="14" t="s">
        <v>139</v>
      </c>
      <c r="D1521" t="s">
        <v>46</v>
      </c>
      <c r="E1521" s="16" t="s">
        <v>133</v>
      </c>
      <c r="F1521">
        <v>2028</v>
      </c>
      <c r="G1521" s="12">
        <v>1133332</v>
      </c>
      <c r="H1521" s="13">
        <v>0.99</v>
      </c>
      <c r="I1521" s="13">
        <v>0.94</v>
      </c>
      <c r="J1521" s="13">
        <v>0</v>
      </c>
      <c r="K1521" s="13"/>
      <c r="L1521" s="13">
        <v>0.04</v>
      </c>
      <c r="M1521" s="13">
        <v>0.25</v>
      </c>
    </row>
    <row r="1522" spans="2:13" x14ac:dyDescent="0.25">
      <c r="B1522" s="14" t="s">
        <v>188</v>
      </c>
      <c r="C1522" s="14" t="s">
        <v>139</v>
      </c>
      <c r="D1522" t="s">
        <v>46</v>
      </c>
      <c r="E1522" s="16" t="s">
        <v>133</v>
      </c>
      <c r="F1522">
        <v>2029</v>
      </c>
      <c r="G1522" s="12">
        <v>1308174.1462068299</v>
      </c>
      <c r="H1522" s="13">
        <v>0.65716120389999999</v>
      </c>
      <c r="I1522" s="13">
        <v>0.61732612860000002</v>
      </c>
      <c r="J1522" s="13">
        <v>0</v>
      </c>
      <c r="K1522" s="13"/>
      <c r="L1522" s="13">
        <v>0.04</v>
      </c>
      <c r="M1522" s="13">
        <v>0.25</v>
      </c>
    </row>
    <row r="1523" spans="2:13" x14ac:dyDescent="0.25">
      <c r="B1523" s="14" t="s">
        <v>188</v>
      </c>
      <c r="C1523" s="14" t="s">
        <v>139</v>
      </c>
      <c r="D1523" t="s">
        <v>46</v>
      </c>
      <c r="E1523" s="16" t="s">
        <v>133</v>
      </c>
      <c r="F1523">
        <v>2030</v>
      </c>
      <c r="G1523" s="12">
        <v>1324959.6706303</v>
      </c>
      <c r="H1523" s="13">
        <v>0.66376120390000004</v>
      </c>
      <c r="I1523" s="13">
        <v>0.62392612859999996</v>
      </c>
      <c r="J1523" s="13">
        <v>0</v>
      </c>
      <c r="K1523" s="13"/>
      <c r="L1523" s="13">
        <v>0.04</v>
      </c>
      <c r="M1523" s="13">
        <v>0.25</v>
      </c>
    </row>
    <row r="1524" spans="2:13" x14ac:dyDescent="0.25">
      <c r="B1524" s="14" t="s">
        <v>188</v>
      </c>
      <c r="C1524" s="14" t="s">
        <v>101</v>
      </c>
      <c r="D1524" t="s">
        <v>137</v>
      </c>
      <c r="E1524" s="16" t="s">
        <v>133</v>
      </c>
      <c r="F1524">
        <v>2026</v>
      </c>
      <c r="G1524" s="12"/>
      <c r="H1524" s="13">
        <v>1</v>
      </c>
      <c r="I1524" s="13"/>
      <c r="J1524" s="13"/>
      <c r="K1524" s="13"/>
      <c r="L1524" s="13">
        <v>0.1</v>
      </c>
      <c r="M1524" s="13"/>
    </row>
    <row r="1525" spans="2:13" x14ac:dyDescent="0.25">
      <c r="B1525" s="14" t="s">
        <v>188</v>
      </c>
      <c r="C1525" s="14" t="s">
        <v>101</v>
      </c>
      <c r="D1525" t="s">
        <v>46</v>
      </c>
      <c r="E1525" s="16" t="s">
        <v>133</v>
      </c>
      <c r="F1525">
        <v>2026</v>
      </c>
      <c r="G1525" s="12">
        <v>1286203</v>
      </c>
      <c r="H1525" s="13">
        <v>0.92</v>
      </c>
      <c r="I1525" s="13"/>
      <c r="J1525" s="13"/>
      <c r="K1525" s="13"/>
      <c r="L1525" s="13">
        <v>0.1</v>
      </c>
      <c r="M1525" s="13">
        <v>0.25</v>
      </c>
    </row>
    <row r="1526" spans="2:13" x14ac:dyDescent="0.25">
      <c r="B1526" s="14" t="s">
        <v>188</v>
      </c>
      <c r="C1526" s="14" t="s">
        <v>101</v>
      </c>
      <c r="D1526" t="s">
        <v>46</v>
      </c>
      <c r="E1526" s="16" t="s">
        <v>133</v>
      </c>
      <c r="F1526">
        <v>2027</v>
      </c>
      <c r="G1526" s="12">
        <v>1304857</v>
      </c>
      <c r="H1526" s="13">
        <v>0.92</v>
      </c>
      <c r="I1526" s="13"/>
      <c r="J1526" s="13"/>
      <c r="K1526" s="13"/>
      <c r="L1526" s="13">
        <v>0.1</v>
      </c>
      <c r="M1526" s="13">
        <v>0.25</v>
      </c>
    </row>
    <row r="1527" spans="2:13" x14ac:dyDescent="0.25">
      <c r="B1527" s="14" t="s">
        <v>188</v>
      </c>
      <c r="C1527" s="14" t="s">
        <v>101</v>
      </c>
      <c r="D1527" t="s">
        <v>46</v>
      </c>
      <c r="E1527" s="16" t="s">
        <v>133</v>
      </c>
      <c r="F1527">
        <v>2028</v>
      </c>
      <c r="G1527" s="12">
        <v>1322953</v>
      </c>
      <c r="H1527" s="13">
        <v>0.92</v>
      </c>
      <c r="I1527" s="13"/>
      <c r="J1527" s="13"/>
      <c r="K1527" s="13"/>
      <c r="L1527" s="13">
        <v>0.1</v>
      </c>
      <c r="M1527" s="13">
        <v>0.25</v>
      </c>
    </row>
    <row r="1528" spans="2:13" x14ac:dyDescent="0.25">
      <c r="B1528" s="14" t="s">
        <v>188</v>
      </c>
      <c r="C1528" s="14" t="s">
        <v>101</v>
      </c>
      <c r="D1528" t="s">
        <v>46</v>
      </c>
      <c r="E1528" s="16" t="s">
        <v>133</v>
      </c>
      <c r="F1528">
        <v>2029</v>
      </c>
      <c r="G1528" s="12">
        <v>1327406.2948457401</v>
      </c>
      <c r="H1528" s="13">
        <v>0.93979999999999997</v>
      </c>
      <c r="I1528" s="13"/>
      <c r="J1528" s="13"/>
      <c r="K1528" s="13"/>
      <c r="L1528" s="13">
        <v>0.1</v>
      </c>
      <c r="M1528" s="13">
        <v>0.25</v>
      </c>
    </row>
    <row r="1529" spans="2:13" x14ac:dyDescent="0.25">
      <c r="B1529" s="14" t="s">
        <v>188</v>
      </c>
      <c r="C1529" s="14" t="s">
        <v>101</v>
      </c>
      <c r="D1529" t="s">
        <v>46</v>
      </c>
      <c r="E1529" s="16" t="s">
        <v>133</v>
      </c>
      <c r="F1529">
        <v>2030</v>
      </c>
      <c r="G1529" s="12">
        <v>1341431.9858873801</v>
      </c>
      <c r="H1529" s="13">
        <v>0.94640000000000002</v>
      </c>
      <c r="I1529" s="13"/>
      <c r="J1529" s="13"/>
      <c r="K1529" s="13"/>
      <c r="L1529" s="13">
        <v>0.1</v>
      </c>
      <c r="M1529" s="13">
        <v>0.25</v>
      </c>
    </row>
    <row r="1530" spans="2:13" x14ac:dyDescent="0.25">
      <c r="B1530" s="14" t="s">
        <v>188</v>
      </c>
      <c r="C1530" s="14" t="s">
        <v>74</v>
      </c>
      <c r="D1530" t="s">
        <v>14</v>
      </c>
      <c r="E1530" s="16" t="s">
        <v>133</v>
      </c>
      <c r="F1530">
        <v>2026</v>
      </c>
      <c r="G1530" s="12">
        <v>6547500</v>
      </c>
      <c r="H1530" s="13">
        <v>0.9</v>
      </c>
      <c r="I1530" s="13"/>
      <c r="J1530" s="13"/>
      <c r="K1530" s="13"/>
      <c r="L1530" s="13">
        <v>0.1</v>
      </c>
      <c r="M1530" s="13">
        <v>0</v>
      </c>
    </row>
    <row r="1531" spans="2:13" x14ac:dyDescent="0.25">
      <c r="B1531" s="14" t="s">
        <v>188</v>
      </c>
      <c r="C1531" s="14" t="s">
        <v>74</v>
      </c>
      <c r="D1531" t="s">
        <v>46</v>
      </c>
      <c r="E1531" s="16" t="s">
        <v>133</v>
      </c>
      <c r="F1531">
        <v>2026</v>
      </c>
      <c r="G1531" s="12">
        <v>1252294</v>
      </c>
      <c r="H1531" s="13">
        <v>0.82</v>
      </c>
      <c r="I1531" s="13"/>
      <c r="J1531" s="13"/>
      <c r="K1531" s="13"/>
      <c r="L1531" s="13">
        <v>0.2</v>
      </c>
      <c r="M1531" s="13">
        <v>0.25</v>
      </c>
    </row>
    <row r="1532" spans="2:13" x14ac:dyDescent="0.25">
      <c r="B1532" s="14" t="s">
        <v>188</v>
      </c>
      <c r="C1532" s="14" t="s">
        <v>74</v>
      </c>
      <c r="D1532" t="s">
        <v>46</v>
      </c>
      <c r="E1532" s="16" t="s">
        <v>133</v>
      </c>
      <c r="F1532">
        <v>2027</v>
      </c>
      <c r="G1532" s="12">
        <v>1287619</v>
      </c>
      <c r="H1532" s="13">
        <v>0.83</v>
      </c>
      <c r="I1532" s="13"/>
      <c r="J1532" s="13"/>
      <c r="K1532" s="13"/>
      <c r="L1532" s="13">
        <v>0.2</v>
      </c>
      <c r="M1532" s="13">
        <v>0.25</v>
      </c>
    </row>
    <row r="1533" spans="2:13" x14ac:dyDescent="0.25">
      <c r="B1533" s="14" t="s">
        <v>188</v>
      </c>
      <c r="C1533" s="14" t="s">
        <v>74</v>
      </c>
      <c r="D1533" t="s">
        <v>46</v>
      </c>
      <c r="E1533" s="16" t="s">
        <v>133</v>
      </c>
      <c r="F1533">
        <v>2028</v>
      </c>
      <c r="G1533" s="12">
        <v>1305476</v>
      </c>
      <c r="H1533" s="13">
        <v>0.83</v>
      </c>
      <c r="I1533" s="13"/>
      <c r="J1533" s="13"/>
      <c r="K1533" s="13"/>
      <c r="L1533" s="13">
        <v>0.2</v>
      </c>
      <c r="M1533" s="13">
        <v>0.25</v>
      </c>
    </row>
    <row r="1534" spans="2:13" x14ac:dyDescent="0.25">
      <c r="B1534" s="14" t="s">
        <v>188</v>
      </c>
      <c r="C1534" s="14" t="s">
        <v>74</v>
      </c>
      <c r="D1534" t="s">
        <v>46</v>
      </c>
      <c r="E1534" s="16" t="s">
        <v>133</v>
      </c>
      <c r="F1534">
        <v>2029</v>
      </c>
      <c r="G1534" s="12">
        <v>1325847</v>
      </c>
      <c r="H1534" s="13">
        <v>0.83</v>
      </c>
      <c r="I1534" s="13"/>
      <c r="J1534" s="13"/>
      <c r="K1534" s="13"/>
      <c r="L1534" s="13">
        <v>0.2</v>
      </c>
      <c r="M1534" s="13">
        <v>0.25</v>
      </c>
    </row>
    <row r="1535" spans="2:13" x14ac:dyDescent="0.25">
      <c r="B1535" s="15" t="s">
        <v>188</v>
      </c>
      <c r="C1535" s="14" t="s">
        <v>74</v>
      </c>
      <c r="D1535" t="s">
        <v>46</v>
      </c>
      <c r="E1535" s="16" t="s">
        <v>133</v>
      </c>
      <c r="F1535">
        <v>2030</v>
      </c>
      <c r="G1535" s="12">
        <v>1342859</v>
      </c>
      <c r="H1535" s="13">
        <v>0.83</v>
      </c>
      <c r="I1535" s="13"/>
      <c r="J1535" s="13"/>
      <c r="K1535" s="13"/>
      <c r="L1535" s="13">
        <v>0.2</v>
      </c>
      <c r="M1535" s="13">
        <v>0.25</v>
      </c>
    </row>
    <row r="1536" spans="2:13" x14ac:dyDescent="0.25">
      <c r="B1536" s="14" t="s">
        <v>189</v>
      </c>
      <c r="C1536" s="14" t="s">
        <v>132</v>
      </c>
      <c r="D1536" t="s">
        <v>46</v>
      </c>
      <c r="E1536" s="16" t="s">
        <v>133</v>
      </c>
      <c r="F1536">
        <v>2026</v>
      </c>
      <c r="G1536" s="12">
        <v>7907795</v>
      </c>
      <c r="H1536" s="13">
        <v>0.78</v>
      </c>
      <c r="I1536" s="13">
        <v>0.73899999999999999</v>
      </c>
      <c r="J1536" s="13">
        <v>0.68</v>
      </c>
      <c r="K1536" s="13">
        <v>0</v>
      </c>
      <c r="L1536" s="13">
        <v>0.12</v>
      </c>
      <c r="M1536" s="13">
        <v>0.25</v>
      </c>
    </row>
    <row r="1537" spans="2:13" x14ac:dyDescent="0.25">
      <c r="B1537" s="14" t="s">
        <v>189</v>
      </c>
      <c r="C1537" s="14" t="s">
        <v>132</v>
      </c>
      <c r="D1537" t="s">
        <v>46</v>
      </c>
      <c r="E1537" s="16" t="s">
        <v>133</v>
      </c>
      <c r="F1537">
        <v>2027</v>
      </c>
      <c r="G1537" s="12">
        <v>7964934.4023683704</v>
      </c>
      <c r="H1537" s="13">
        <v>0.78659999999999997</v>
      </c>
      <c r="I1537" s="13">
        <v>0.74560000000000004</v>
      </c>
      <c r="J1537" s="13">
        <v>0.68659999999999999</v>
      </c>
      <c r="K1537" s="13">
        <v>0</v>
      </c>
      <c r="L1537" s="13">
        <v>0.12</v>
      </c>
      <c r="M1537" s="13">
        <v>0.25</v>
      </c>
    </row>
    <row r="1538" spans="2:13" x14ac:dyDescent="0.25">
      <c r="B1538" s="14" t="s">
        <v>189</v>
      </c>
      <c r="C1538" s="14" t="s">
        <v>132</v>
      </c>
      <c r="D1538" t="s">
        <v>46</v>
      </c>
      <c r="E1538" s="16" t="s">
        <v>133</v>
      </c>
      <c r="F1538">
        <v>2028</v>
      </c>
      <c r="G1538" s="12">
        <v>8030901.39389023</v>
      </c>
      <c r="H1538" s="13">
        <v>0.79320000000000002</v>
      </c>
      <c r="I1538" s="13">
        <v>0.75219999999999998</v>
      </c>
      <c r="J1538" s="13">
        <v>0.69320000000000004</v>
      </c>
      <c r="K1538" s="13">
        <v>0</v>
      </c>
      <c r="L1538" s="13">
        <v>0.12</v>
      </c>
      <c r="M1538" s="13">
        <v>0.25</v>
      </c>
    </row>
    <row r="1539" spans="2:13" x14ac:dyDescent="0.25">
      <c r="B1539" s="14" t="s">
        <v>189</v>
      </c>
      <c r="C1539" s="14" t="s">
        <v>132</v>
      </c>
      <c r="D1539" t="s">
        <v>46</v>
      </c>
      <c r="E1539" s="16" t="s">
        <v>133</v>
      </c>
      <c r="F1539">
        <v>2029</v>
      </c>
      <c r="G1539" s="12">
        <v>8111304.0010246104</v>
      </c>
      <c r="H1539" s="13">
        <v>0.79979999999999996</v>
      </c>
      <c r="I1539" s="13">
        <v>0.75880000000000003</v>
      </c>
      <c r="J1539" s="13">
        <v>0.69979999999999998</v>
      </c>
      <c r="K1539" s="13">
        <v>0</v>
      </c>
      <c r="L1539" s="13">
        <v>0.12</v>
      </c>
      <c r="M1539" s="13">
        <v>0.25</v>
      </c>
    </row>
    <row r="1540" spans="2:13" x14ac:dyDescent="0.25">
      <c r="B1540" s="14" t="s">
        <v>189</v>
      </c>
      <c r="C1540" s="14" t="s">
        <v>132</v>
      </c>
      <c r="D1540" t="s">
        <v>46</v>
      </c>
      <c r="E1540" s="16" t="s">
        <v>133</v>
      </c>
      <c r="F1540">
        <v>2030</v>
      </c>
      <c r="G1540" s="12">
        <v>8159691.4669379201</v>
      </c>
      <c r="H1540" s="13">
        <v>0.80640000000000001</v>
      </c>
      <c r="I1540" s="13">
        <v>0.76539999999999997</v>
      </c>
      <c r="J1540" s="13">
        <v>0.70640000000000003</v>
      </c>
      <c r="K1540" s="13">
        <v>0</v>
      </c>
      <c r="L1540" s="13">
        <v>0.12</v>
      </c>
      <c r="M1540" s="13">
        <v>0.25</v>
      </c>
    </row>
    <row r="1541" spans="2:13" x14ac:dyDescent="0.25">
      <c r="B1541" s="14" t="s">
        <v>189</v>
      </c>
      <c r="C1541" s="14" t="s">
        <v>70</v>
      </c>
      <c r="D1541" t="s">
        <v>46</v>
      </c>
      <c r="E1541" s="16" t="s">
        <v>133</v>
      </c>
      <c r="F1541">
        <v>2026</v>
      </c>
      <c r="G1541" s="12">
        <v>7907795</v>
      </c>
      <c r="H1541" s="13">
        <v>0.78</v>
      </c>
      <c r="I1541" s="13">
        <v>0.68</v>
      </c>
      <c r="J1541" s="13">
        <v>0</v>
      </c>
      <c r="K1541" s="13">
        <v>0</v>
      </c>
      <c r="L1541" s="13">
        <v>0.12</v>
      </c>
      <c r="M1541" s="13">
        <v>0.25</v>
      </c>
    </row>
    <row r="1542" spans="2:13" x14ac:dyDescent="0.25">
      <c r="B1542" s="14" t="s">
        <v>189</v>
      </c>
      <c r="C1542" s="14" t="s">
        <v>70</v>
      </c>
      <c r="D1542" t="s">
        <v>46</v>
      </c>
      <c r="E1542" s="16" t="s">
        <v>133</v>
      </c>
      <c r="F1542">
        <v>2027</v>
      </c>
      <c r="G1542" s="12">
        <v>7964934.4023683704</v>
      </c>
      <c r="H1542" s="13">
        <v>0.78659999999999997</v>
      </c>
      <c r="I1542" s="13">
        <v>0.68659999999999999</v>
      </c>
      <c r="J1542" s="13">
        <v>6.6E-3</v>
      </c>
      <c r="K1542" s="13">
        <v>0</v>
      </c>
      <c r="L1542" s="13">
        <v>0.12</v>
      </c>
      <c r="M1542" s="13">
        <v>0.25</v>
      </c>
    </row>
    <row r="1543" spans="2:13" x14ac:dyDescent="0.25">
      <c r="B1543" s="14" t="s">
        <v>189</v>
      </c>
      <c r="C1543" s="14" t="s">
        <v>70</v>
      </c>
      <c r="D1543" t="s">
        <v>46</v>
      </c>
      <c r="E1543" s="16" t="s">
        <v>133</v>
      </c>
      <c r="F1543">
        <v>2028</v>
      </c>
      <c r="G1543" s="12">
        <v>8030901.39389023</v>
      </c>
      <c r="H1543" s="13">
        <v>0.79320000000000002</v>
      </c>
      <c r="I1543" s="13">
        <v>0.69320000000000004</v>
      </c>
      <c r="J1543" s="13">
        <v>1.32E-2</v>
      </c>
      <c r="K1543" s="13">
        <v>0</v>
      </c>
      <c r="L1543" s="13">
        <v>0.12</v>
      </c>
      <c r="M1543" s="13">
        <v>0.25</v>
      </c>
    </row>
    <row r="1544" spans="2:13" x14ac:dyDescent="0.25">
      <c r="B1544" s="14" t="s">
        <v>189</v>
      </c>
      <c r="C1544" s="14" t="s">
        <v>70</v>
      </c>
      <c r="D1544" t="s">
        <v>46</v>
      </c>
      <c r="E1544" s="16" t="s">
        <v>133</v>
      </c>
      <c r="F1544">
        <v>2029</v>
      </c>
      <c r="G1544" s="12">
        <v>8111304.0010246104</v>
      </c>
      <c r="H1544" s="13">
        <v>0.79979999999999996</v>
      </c>
      <c r="I1544" s="13">
        <v>0.69979999999999998</v>
      </c>
      <c r="J1544" s="13">
        <v>1.9800000000000002E-2</v>
      </c>
      <c r="K1544" s="13">
        <v>0</v>
      </c>
      <c r="L1544" s="13">
        <v>0.12</v>
      </c>
      <c r="M1544" s="13">
        <v>0.25</v>
      </c>
    </row>
    <row r="1545" spans="2:13" x14ac:dyDescent="0.25">
      <c r="B1545" s="14" t="s">
        <v>189</v>
      </c>
      <c r="C1545" s="14" t="s">
        <v>70</v>
      </c>
      <c r="D1545" t="s">
        <v>46</v>
      </c>
      <c r="E1545" s="16" t="s">
        <v>133</v>
      </c>
      <c r="F1545">
        <v>2030</v>
      </c>
      <c r="G1545" s="12">
        <v>8159691.4669379201</v>
      </c>
      <c r="H1545" s="13">
        <v>0.80640000000000001</v>
      </c>
      <c r="I1545" s="13">
        <v>0.70640000000000003</v>
      </c>
      <c r="J1545" s="13">
        <v>2.64E-2</v>
      </c>
      <c r="K1545" s="13">
        <v>0</v>
      </c>
      <c r="L1545" s="13">
        <v>0.12</v>
      </c>
      <c r="M1545" s="13">
        <v>0.25</v>
      </c>
    </row>
    <row r="1546" spans="2:13" x14ac:dyDescent="0.25">
      <c r="B1546" s="14" t="s">
        <v>189</v>
      </c>
      <c r="C1546" s="14" t="s">
        <v>72</v>
      </c>
      <c r="D1546" t="s">
        <v>46</v>
      </c>
      <c r="E1546" s="16" t="s">
        <v>133</v>
      </c>
      <c r="F1546">
        <v>2026</v>
      </c>
      <c r="G1546" s="12">
        <v>7907795</v>
      </c>
      <c r="H1546" s="13">
        <v>0.78</v>
      </c>
      <c r="I1546" s="13">
        <v>0.73899999999999999</v>
      </c>
      <c r="J1546" s="13">
        <v>0.68</v>
      </c>
      <c r="K1546" s="13"/>
      <c r="L1546" s="13">
        <v>0.09</v>
      </c>
      <c r="M1546" s="13">
        <v>0.25</v>
      </c>
    </row>
    <row r="1547" spans="2:13" x14ac:dyDescent="0.25">
      <c r="B1547" s="14" t="s">
        <v>189</v>
      </c>
      <c r="C1547" s="14" t="s">
        <v>72</v>
      </c>
      <c r="D1547" t="s">
        <v>46</v>
      </c>
      <c r="E1547" s="16" t="s">
        <v>133</v>
      </c>
      <c r="F1547">
        <v>2027</v>
      </c>
      <c r="G1547" s="12">
        <v>7964934.4023683704</v>
      </c>
      <c r="H1547" s="13">
        <v>0.78659999999999997</v>
      </c>
      <c r="I1547" s="13">
        <v>0.74560000000000004</v>
      </c>
      <c r="J1547" s="13">
        <v>0.68659999999999999</v>
      </c>
      <c r="K1547" s="13"/>
      <c r="L1547" s="13">
        <v>0.09</v>
      </c>
      <c r="M1547" s="13">
        <v>0.25</v>
      </c>
    </row>
    <row r="1548" spans="2:13" x14ac:dyDescent="0.25">
      <c r="B1548" s="14" t="s">
        <v>189</v>
      </c>
      <c r="C1548" s="14" t="s">
        <v>72</v>
      </c>
      <c r="D1548" t="s">
        <v>46</v>
      </c>
      <c r="E1548" s="16" t="s">
        <v>133</v>
      </c>
      <c r="F1548">
        <v>2028</v>
      </c>
      <c r="G1548" s="12">
        <v>8030901.39389023</v>
      </c>
      <c r="H1548" s="13">
        <v>0.79320000000000002</v>
      </c>
      <c r="I1548" s="13">
        <v>0.75219999999999998</v>
      </c>
      <c r="J1548" s="13">
        <v>0.69320000000000004</v>
      </c>
      <c r="K1548" s="13"/>
      <c r="L1548" s="13">
        <v>0.09</v>
      </c>
      <c r="M1548" s="13">
        <v>0.25</v>
      </c>
    </row>
    <row r="1549" spans="2:13" x14ac:dyDescent="0.25">
      <c r="B1549" s="14" t="s">
        <v>189</v>
      </c>
      <c r="C1549" s="14" t="s">
        <v>72</v>
      </c>
      <c r="D1549" t="s">
        <v>46</v>
      </c>
      <c r="E1549" s="16" t="s">
        <v>133</v>
      </c>
      <c r="F1549">
        <v>2029</v>
      </c>
      <c r="G1549" s="12">
        <v>8111304.0010246104</v>
      </c>
      <c r="H1549" s="13">
        <v>0.79979999999999996</v>
      </c>
      <c r="I1549" s="13">
        <v>0.75880000000000003</v>
      </c>
      <c r="J1549" s="13">
        <v>0.69979999999999998</v>
      </c>
      <c r="K1549" s="13"/>
      <c r="L1549" s="13">
        <v>0.09</v>
      </c>
      <c r="M1549" s="13">
        <v>0.25</v>
      </c>
    </row>
    <row r="1550" spans="2:13" x14ac:dyDescent="0.25">
      <c r="B1550" s="14" t="s">
        <v>189</v>
      </c>
      <c r="C1550" s="14" t="s">
        <v>72</v>
      </c>
      <c r="D1550" t="s">
        <v>46</v>
      </c>
      <c r="E1550" s="16" t="s">
        <v>133</v>
      </c>
      <c r="F1550">
        <v>2030</v>
      </c>
      <c r="G1550" s="12">
        <v>8159691.4669379201</v>
      </c>
      <c r="H1550" s="13">
        <v>0.80640000000000001</v>
      </c>
      <c r="I1550" s="13">
        <v>0.76539999999999997</v>
      </c>
      <c r="J1550" s="13">
        <v>0.70640000000000003</v>
      </c>
      <c r="K1550" s="13"/>
      <c r="L1550" s="13">
        <v>0.09</v>
      </c>
      <c r="M1550" s="13">
        <v>0.25</v>
      </c>
    </row>
    <row r="1551" spans="2:13" x14ac:dyDescent="0.25">
      <c r="B1551" s="14" t="s">
        <v>189</v>
      </c>
      <c r="C1551" s="14" t="s">
        <v>15</v>
      </c>
      <c r="D1551" t="s">
        <v>46</v>
      </c>
      <c r="E1551" s="16" t="s">
        <v>133</v>
      </c>
      <c r="F1551">
        <v>2026</v>
      </c>
      <c r="G1551" s="12">
        <v>3157528</v>
      </c>
      <c r="H1551" s="13">
        <v>0.63333333329999997</v>
      </c>
      <c r="I1551" s="13"/>
      <c r="J1551" s="13"/>
      <c r="K1551" s="13"/>
      <c r="L1551" s="13">
        <v>0.05</v>
      </c>
      <c r="M1551" s="13">
        <v>0.25</v>
      </c>
    </row>
    <row r="1552" spans="2:13" x14ac:dyDescent="0.25">
      <c r="B1552" s="14" t="s">
        <v>189</v>
      </c>
      <c r="C1552" s="14" t="s">
        <v>15</v>
      </c>
      <c r="D1552" t="s">
        <v>46</v>
      </c>
      <c r="E1552" s="16" t="s">
        <v>133</v>
      </c>
      <c r="F1552">
        <v>2027</v>
      </c>
      <c r="G1552" s="12">
        <v>3236467</v>
      </c>
      <c r="H1552" s="13">
        <v>0.65</v>
      </c>
      <c r="I1552" s="13"/>
      <c r="J1552" s="13"/>
      <c r="K1552" s="13"/>
      <c r="L1552" s="13">
        <v>0.05</v>
      </c>
      <c r="M1552" s="13">
        <v>0.25</v>
      </c>
    </row>
    <row r="1553" spans="2:13" x14ac:dyDescent="0.25">
      <c r="B1553" s="14" t="s">
        <v>189</v>
      </c>
      <c r="C1553" s="14" t="s">
        <v>15</v>
      </c>
      <c r="D1553" t="s">
        <v>46</v>
      </c>
      <c r="E1553" s="16" t="s">
        <v>133</v>
      </c>
      <c r="F1553">
        <v>2028</v>
      </c>
      <c r="G1553" s="12">
        <v>3229965</v>
      </c>
      <c r="H1553" s="13">
        <v>0.66666666669999997</v>
      </c>
      <c r="I1553" s="13"/>
      <c r="J1553" s="13"/>
      <c r="K1553" s="13"/>
      <c r="L1553" s="13">
        <v>0.05</v>
      </c>
      <c r="M1553" s="13">
        <v>0.25</v>
      </c>
    </row>
    <row r="1554" spans="2:13" x14ac:dyDescent="0.25">
      <c r="B1554" s="14" t="s">
        <v>189</v>
      </c>
      <c r="C1554" s="14" t="s">
        <v>15</v>
      </c>
      <c r="D1554" t="s">
        <v>46</v>
      </c>
      <c r="E1554" s="16" t="s">
        <v>133</v>
      </c>
      <c r="F1554">
        <v>2029</v>
      </c>
      <c r="G1554" s="12">
        <v>3220517</v>
      </c>
      <c r="H1554" s="13">
        <v>0.68333333330000001</v>
      </c>
      <c r="I1554" s="13"/>
      <c r="J1554" s="13"/>
      <c r="K1554" s="13"/>
      <c r="L1554" s="13">
        <v>0.05</v>
      </c>
      <c r="M1554" s="13">
        <v>0.25</v>
      </c>
    </row>
    <row r="1555" spans="2:13" x14ac:dyDescent="0.25">
      <c r="B1555" s="14" t="s">
        <v>189</v>
      </c>
      <c r="C1555" s="14" t="s">
        <v>15</v>
      </c>
      <c r="D1555" t="s">
        <v>46</v>
      </c>
      <c r="E1555" s="16" t="s">
        <v>133</v>
      </c>
      <c r="F1555">
        <v>2030</v>
      </c>
      <c r="G1555" s="12">
        <v>3246011</v>
      </c>
      <c r="H1555" s="13">
        <v>0.7</v>
      </c>
      <c r="I1555" s="13"/>
      <c r="J1555" s="13"/>
      <c r="K1555" s="13"/>
      <c r="L1555" s="13">
        <v>0.05</v>
      </c>
      <c r="M1555" s="13">
        <v>0.25</v>
      </c>
    </row>
    <row r="1556" spans="2:13" x14ac:dyDescent="0.25">
      <c r="B1556" s="14" t="s">
        <v>189</v>
      </c>
      <c r="C1556" s="14" t="s">
        <v>145</v>
      </c>
      <c r="D1556" t="s">
        <v>46</v>
      </c>
      <c r="E1556" s="16" t="s">
        <v>133</v>
      </c>
      <c r="F1556">
        <v>2026</v>
      </c>
      <c r="G1556" s="12">
        <v>292764.78000000003</v>
      </c>
      <c r="H1556" s="13">
        <v>0.63</v>
      </c>
      <c r="I1556" s="13">
        <v>0.54388888889999998</v>
      </c>
      <c r="J1556" s="13">
        <v>0.63</v>
      </c>
      <c r="K1556" s="13">
        <v>0.57499999999999996</v>
      </c>
      <c r="L1556" s="13"/>
      <c r="M1556" s="13">
        <v>0.25</v>
      </c>
    </row>
    <row r="1557" spans="2:13" x14ac:dyDescent="0.25">
      <c r="B1557" s="14" t="s">
        <v>189</v>
      </c>
      <c r="C1557" s="14" t="s">
        <v>145</v>
      </c>
      <c r="D1557" t="s">
        <v>46</v>
      </c>
      <c r="E1557" s="16" t="s">
        <v>133</v>
      </c>
      <c r="F1557">
        <v>2027</v>
      </c>
      <c r="G1557" s="12">
        <v>749482.92</v>
      </c>
      <c r="H1557" s="13">
        <v>0.63500000000000001</v>
      </c>
      <c r="I1557" s="13">
        <v>0.54888888889999998</v>
      </c>
      <c r="J1557" s="13">
        <v>0.63500000000000001</v>
      </c>
      <c r="K1557" s="13">
        <v>0.57999999999999996</v>
      </c>
      <c r="L1557" s="13"/>
      <c r="M1557" s="13">
        <v>0.25</v>
      </c>
    </row>
    <row r="1558" spans="2:13" x14ac:dyDescent="0.25">
      <c r="B1558" s="14" t="s">
        <v>189</v>
      </c>
      <c r="C1558" s="14" t="s">
        <v>145</v>
      </c>
      <c r="D1558" t="s">
        <v>46</v>
      </c>
      <c r="E1558" s="16" t="s">
        <v>133</v>
      </c>
      <c r="F1558">
        <v>2028</v>
      </c>
      <c r="G1558" s="12">
        <v>1186603.02</v>
      </c>
      <c r="H1558" s="13">
        <v>0.64</v>
      </c>
      <c r="I1558" s="13">
        <v>0.55388888889999999</v>
      </c>
      <c r="J1558" s="13">
        <v>0.64</v>
      </c>
      <c r="K1558" s="13">
        <v>0.58499999999999996</v>
      </c>
      <c r="L1558" s="13"/>
      <c r="M1558" s="13">
        <v>0.25</v>
      </c>
    </row>
    <row r="1559" spans="2:13" x14ac:dyDescent="0.25">
      <c r="B1559" s="14" t="s">
        <v>189</v>
      </c>
      <c r="C1559" s="14" t="s">
        <v>145</v>
      </c>
      <c r="D1559" t="s">
        <v>46</v>
      </c>
      <c r="E1559" s="16" t="s">
        <v>133</v>
      </c>
      <c r="F1559">
        <v>2029</v>
      </c>
      <c r="G1559" s="12">
        <v>1705325.2919999999</v>
      </c>
      <c r="H1559" s="13">
        <v>0.64500000000000002</v>
      </c>
      <c r="I1559" s="13">
        <v>0.55888888889999999</v>
      </c>
      <c r="J1559" s="13">
        <v>0.64500000000000002</v>
      </c>
      <c r="K1559" s="13">
        <v>0.59</v>
      </c>
      <c r="L1559" s="13"/>
      <c r="M1559" s="13">
        <v>0.25</v>
      </c>
    </row>
    <row r="1560" spans="2:13" x14ac:dyDescent="0.25">
      <c r="B1560" s="14" t="s">
        <v>189</v>
      </c>
      <c r="C1560" s="14" t="s">
        <v>145</v>
      </c>
      <c r="D1560" t="s">
        <v>46</v>
      </c>
      <c r="E1560" s="16" t="s">
        <v>133</v>
      </c>
      <c r="F1560">
        <v>2030</v>
      </c>
      <c r="G1560" s="12">
        <v>2056434.84</v>
      </c>
      <c r="H1560" s="13">
        <v>0.65</v>
      </c>
      <c r="I1560" s="13">
        <v>0.5638888889</v>
      </c>
      <c r="J1560" s="13">
        <v>0.65</v>
      </c>
      <c r="K1560" s="13">
        <v>0.59499999999999997</v>
      </c>
      <c r="L1560" s="13"/>
      <c r="M1560" s="13">
        <v>0.25</v>
      </c>
    </row>
    <row r="1561" spans="2:13" x14ac:dyDescent="0.25">
      <c r="B1561" s="14" t="s">
        <v>189</v>
      </c>
      <c r="C1561" s="14" t="s">
        <v>38</v>
      </c>
      <c r="D1561" t="s">
        <v>46</v>
      </c>
      <c r="E1561" s="16" t="s">
        <v>133</v>
      </c>
      <c r="F1561">
        <v>2026</v>
      </c>
      <c r="G1561" s="12">
        <v>7907795</v>
      </c>
      <c r="H1561" s="13">
        <v>0.68</v>
      </c>
      <c r="I1561" s="13"/>
      <c r="J1561" s="13"/>
      <c r="K1561" s="13"/>
      <c r="L1561" s="13">
        <v>0.2</v>
      </c>
      <c r="M1561" s="13">
        <v>0.25</v>
      </c>
    </row>
    <row r="1562" spans="2:13" x14ac:dyDescent="0.25">
      <c r="B1562" s="14" t="s">
        <v>189</v>
      </c>
      <c r="C1562" s="14" t="s">
        <v>38</v>
      </c>
      <c r="D1562" t="s">
        <v>46</v>
      </c>
      <c r="E1562" s="16" t="s">
        <v>133</v>
      </c>
      <c r="F1562">
        <v>2027</v>
      </c>
      <c r="G1562" s="12">
        <v>8031941</v>
      </c>
      <c r="H1562" s="13">
        <v>0.7</v>
      </c>
      <c r="I1562" s="13"/>
      <c r="J1562" s="13"/>
      <c r="K1562" s="13"/>
      <c r="L1562" s="13">
        <v>0.2</v>
      </c>
      <c r="M1562" s="13">
        <v>0.25</v>
      </c>
    </row>
    <row r="1563" spans="2:13" x14ac:dyDescent="0.25">
      <c r="B1563" s="14" t="s">
        <v>189</v>
      </c>
      <c r="C1563" s="14" t="s">
        <v>38</v>
      </c>
      <c r="D1563" t="s">
        <v>46</v>
      </c>
      <c r="E1563" s="16" t="s">
        <v>133</v>
      </c>
      <c r="F1563">
        <v>2028</v>
      </c>
      <c r="G1563" s="12">
        <v>8098463</v>
      </c>
      <c r="H1563" s="13">
        <v>0.7</v>
      </c>
      <c r="I1563" s="13"/>
      <c r="J1563" s="13"/>
      <c r="K1563" s="13"/>
      <c r="L1563" s="13">
        <v>0.2</v>
      </c>
      <c r="M1563" s="13">
        <v>0.25</v>
      </c>
    </row>
    <row r="1564" spans="2:13" x14ac:dyDescent="0.25">
      <c r="B1564" s="14" t="s">
        <v>189</v>
      </c>
      <c r="C1564" s="14" t="s">
        <v>38</v>
      </c>
      <c r="D1564" t="s">
        <v>46</v>
      </c>
      <c r="E1564" s="16" t="s">
        <v>133</v>
      </c>
      <c r="F1564">
        <v>2029</v>
      </c>
      <c r="G1564" s="12">
        <v>8179542</v>
      </c>
      <c r="H1564" s="13">
        <v>0.7</v>
      </c>
      <c r="I1564" s="13"/>
      <c r="J1564" s="13"/>
      <c r="K1564" s="13"/>
      <c r="L1564" s="13">
        <v>0.2</v>
      </c>
      <c r="M1564" s="13">
        <v>0.25</v>
      </c>
    </row>
    <row r="1565" spans="2:13" x14ac:dyDescent="0.25">
      <c r="B1565" s="14" t="s">
        <v>189</v>
      </c>
      <c r="C1565" s="14" t="s">
        <v>38</v>
      </c>
      <c r="D1565" t="s">
        <v>46</v>
      </c>
      <c r="E1565" s="16" t="s">
        <v>133</v>
      </c>
      <c r="F1565">
        <v>2030</v>
      </c>
      <c r="G1565" s="12">
        <v>8228336</v>
      </c>
      <c r="H1565" s="13">
        <v>0.7</v>
      </c>
      <c r="I1565" s="13"/>
      <c r="J1565" s="13"/>
      <c r="K1565" s="13"/>
      <c r="L1565" s="13">
        <v>0.2</v>
      </c>
      <c r="M1565" s="13">
        <v>0.25</v>
      </c>
    </row>
    <row r="1566" spans="2:13" x14ac:dyDescent="0.25">
      <c r="B1566" s="14" t="s">
        <v>189</v>
      </c>
      <c r="C1566" s="14" t="s">
        <v>52</v>
      </c>
      <c r="D1566" t="s">
        <v>137</v>
      </c>
      <c r="E1566" s="16" t="s">
        <v>133</v>
      </c>
      <c r="F1566">
        <v>2026</v>
      </c>
      <c r="G1566" s="12">
        <v>7316932</v>
      </c>
      <c r="H1566" s="13">
        <v>0.58320000000000005</v>
      </c>
      <c r="I1566" s="13">
        <v>0</v>
      </c>
      <c r="J1566" s="13"/>
      <c r="K1566" s="13"/>
      <c r="L1566" s="13"/>
      <c r="M1566" s="13"/>
    </row>
    <row r="1567" spans="2:13" x14ac:dyDescent="0.25">
      <c r="B1567" s="14" t="s">
        <v>189</v>
      </c>
      <c r="C1567" s="14" t="s">
        <v>52</v>
      </c>
      <c r="D1567" t="s">
        <v>141</v>
      </c>
      <c r="E1567" s="16" t="s">
        <v>133</v>
      </c>
      <c r="F1567">
        <v>2027</v>
      </c>
      <c r="G1567" s="12">
        <v>24848947.578976698</v>
      </c>
      <c r="H1567" s="13">
        <v>0.85</v>
      </c>
      <c r="I1567" s="13"/>
      <c r="J1567" s="13"/>
      <c r="K1567" s="13"/>
      <c r="L1567" s="13"/>
      <c r="M1567" s="13"/>
    </row>
    <row r="1568" spans="2:13" x14ac:dyDescent="0.25">
      <c r="B1568" s="14" t="s">
        <v>189</v>
      </c>
      <c r="C1568" s="14" t="s">
        <v>52</v>
      </c>
      <c r="D1568" t="s">
        <v>141</v>
      </c>
      <c r="E1568" s="16" t="s">
        <v>133</v>
      </c>
      <c r="F1568">
        <v>2029</v>
      </c>
      <c r="G1568" s="12">
        <v>31761541.125</v>
      </c>
      <c r="H1568" s="13">
        <v>0.85</v>
      </c>
      <c r="I1568" s="13"/>
      <c r="J1568" s="13"/>
      <c r="K1568" s="13"/>
      <c r="L1568" s="13"/>
      <c r="M1568" s="13"/>
    </row>
    <row r="1569" spans="2:13" x14ac:dyDescent="0.25">
      <c r="B1569" s="14" t="s">
        <v>189</v>
      </c>
      <c r="C1569" s="14" t="s">
        <v>52</v>
      </c>
      <c r="D1569" t="s">
        <v>138</v>
      </c>
      <c r="E1569" s="16" t="s">
        <v>133</v>
      </c>
      <c r="F1569">
        <v>2026</v>
      </c>
      <c r="G1569" s="12">
        <v>7907795</v>
      </c>
      <c r="H1569" s="13">
        <v>0.68</v>
      </c>
      <c r="I1569" s="13">
        <v>0.65205000000000002</v>
      </c>
      <c r="J1569" s="13"/>
      <c r="K1569" s="13"/>
      <c r="L1569" s="13"/>
      <c r="M1569" s="13"/>
    </row>
    <row r="1570" spans="2:13" x14ac:dyDescent="0.25">
      <c r="B1570" s="14" t="s">
        <v>189</v>
      </c>
      <c r="C1570" s="14" t="s">
        <v>52</v>
      </c>
      <c r="D1570" t="s">
        <v>138</v>
      </c>
      <c r="E1570" s="16" t="s">
        <v>133</v>
      </c>
      <c r="F1570">
        <v>2027</v>
      </c>
      <c r="G1570" s="12">
        <v>8031941</v>
      </c>
      <c r="H1570" s="13">
        <v>0.7</v>
      </c>
      <c r="I1570" s="13">
        <v>0.67274999999999996</v>
      </c>
      <c r="J1570" s="13"/>
      <c r="K1570" s="13"/>
      <c r="L1570" s="13"/>
      <c r="M1570" s="13"/>
    </row>
    <row r="1571" spans="2:13" x14ac:dyDescent="0.25">
      <c r="B1571" s="14" t="s">
        <v>189</v>
      </c>
      <c r="C1571" s="14" t="s">
        <v>52</v>
      </c>
      <c r="D1571" t="s">
        <v>138</v>
      </c>
      <c r="E1571" s="16" t="s">
        <v>133</v>
      </c>
      <c r="F1571">
        <v>2028</v>
      </c>
      <c r="G1571" s="12">
        <v>8098463</v>
      </c>
      <c r="H1571" s="13">
        <v>0.7</v>
      </c>
      <c r="I1571" s="13">
        <v>0.67274999999999996</v>
      </c>
      <c r="J1571" s="13"/>
      <c r="K1571" s="13"/>
      <c r="L1571" s="13"/>
      <c r="M1571" s="13"/>
    </row>
    <row r="1572" spans="2:13" x14ac:dyDescent="0.25">
      <c r="B1572" s="14" t="s">
        <v>189</v>
      </c>
      <c r="C1572" s="14" t="s">
        <v>52</v>
      </c>
      <c r="D1572" t="s">
        <v>138</v>
      </c>
      <c r="E1572" s="16" t="s">
        <v>133</v>
      </c>
      <c r="F1572">
        <v>2029</v>
      </c>
      <c r="G1572" s="12">
        <v>8179542</v>
      </c>
      <c r="H1572" s="13">
        <v>0.7</v>
      </c>
      <c r="I1572" s="13">
        <v>0.67274999999999996</v>
      </c>
      <c r="J1572" s="13"/>
      <c r="K1572" s="13"/>
      <c r="L1572" s="13"/>
      <c r="M1572" s="13"/>
    </row>
    <row r="1573" spans="2:13" x14ac:dyDescent="0.25">
      <c r="B1573" s="14" t="s">
        <v>189</v>
      </c>
      <c r="C1573" s="14" t="s">
        <v>52</v>
      </c>
      <c r="D1573" t="s">
        <v>138</v>
      </c>
      <c r="E1573" s="16" t="s">
        <v>133</v>
      </c>
      <c r="F1573">
        <v>2030</v>
      </c>
      <c r="G1573" s="12">
        <v>8228336</v>
      </c>
      <c r="H1573" s="13">
        <v>0.7</v>
      </c>
      <c r="I1573" s="13">
        <v>0.67274999999999996</v>
      </c>
      <c r="J1573" s="13"/>
      <c r="K1573" s="13"/>
      <c r="L1573" s="13"/>
      <c r="M1573" s="13"/>
    </row>
    <row r="1574" spans="2:13" x14ac:dyDescent="0.25">
      <c r="B1574" s="14" t="s">
        <v>189</v>
      </c>
      <c r="C1574" s="14" t="s">
        <v>109</v>
      </c>
      <c r="D1574" t="s">
        <v>151</v>
      </c>
      <c r="E1574" s="16" t="s">
        <v>133</v>
      </c>
      <c r="F1574">
        <v>2026</v>
      </c>
      <c r="G1574" s="12">
        <v>0</v>
      </c>
      <c r="H1574" s="13"/>
      <c r="I1574" s="13"/>
      <c r="J1574" s="13"/>
      <c r="K1574" s="13"/>
      <c r="L1574" s="13"/>
      <c r="M1574" s="13"/>
    </row>
    <row r="1575" spans="2:13" x14ac:dyDescent="0.25">
      <c r="B1575" s="14" t="s">
        <v>189</v>
      </c>
      <c r="C1575" s="14" t="s">
        <v>109</v>
      </c>
      <c r="D1575" t="s">
        <v>151</v>
      </c>
      <c r="E1575" s="16" t="s">
        <v>133</v>
      </c>
      <c r="F1575">
        <v>2027</v>
      </c>
      <c r="G1575" s="12">
        <v>0</v>
      </c>
      <c r="H1575" s="13"/>
      <c r="I1575" s="13"/>
      <c r="J1575" s="13"/>
      <c r="K1575" s="13"/>
      <c r="L1575" s="13"/>
      <c r="M1575" s="13"/>
    </row>
    <row r="1576" spans="2:13" x14ac:dyDescent="0.25">
      <c r="B1576" s="14" t="s">
        <v>189</v>
      </c>
      <c r="C1576" s="14" t="s">
        <v>109</v>
      </c>
      <c r="D1576" t="s">
        <v>151</v>
      </c>
      <c r="E1576" s="16" t="s">
        <v>133</v>
      </c>
      <c r="F1576">
        <v>2028</v>
      </c>
      <c r="G1576" s="12">
        <v>3621621.6216216199</v>
      </c>
      <c r="H1576" s="13">
        <v>1</v>
      </c>
      <c r="I1576" s="13">
        <v>0.85</v>
      </c>
      <c r="J1576" s="13"/>
      <c r="K1576" s="13"/>
      <c r="L1576" s="13"/>
      <c r="M1576" s="13"/>
    </row>
    <row r="1577" spans="2:13" x14ac:dyDescent="0.25">
      <c r="B1577" s="14" t="s">
        <v>189</v>
      </c>
      <c r="C1577" s="14" t="s">
        <v>109</v>
      </c>
      <c r="D1577" t="s">
        <v>151</v>
      </c>
      <c r="E1577" s="16" t="s">
        <v>133</v>
      </c>
      <c r="F1577">
        <v>2029</v>
      </c>
      <c r="G1577" s="12">
        <v>4324324.3243243201</v>
      </c>
      <c r="H1577" s="13">
        <v>1</v>
      </c>
      <c r="I1577" s="13">
        <v>0.85</v>
      </c>
      <c r="J1577" s="13"/>
      <c r="K1577" s="13"/>
      <c r="L1577" s="13"/>
      <c r="M1577" s="13"/>
    </row>
    <row r="1578" spans="2:13" x14ac:dyDescent="0.25">
      <c r="B1578" s="14" t="s">
        <v>189</v>
      </c>
      <c r="C1578" s="14" t="s">
        <v>109</v>
      </c>
      <c r="D1578" t="s">
        <v>151</v>
      </c>
      <c r="E1578" s="16" t="s">
        <v>133</v>
      </c>
      <c r="F1578">
        <v>2030</v>
      </c>
      <c r="G1578" s="12">
        <v>4324324.3243243201</v>
      </c>
      <c r="H1578" s="13">
        <v>1</v>
      </c>
      <c r="I1578" s="13">
        <v>0.85</v>
      </c>
      <c r="J1578" s="13"/>
      <c r="K1578" s="13"/>
      <c r="L1578" s="13"/>
      <c r="M1578" s="13"/>
    </row>
    <row r="1579" spans="2:13" x14ac:dyDescent="0.25">
      <c r="B1579" s="14" t="s">
        <v>189</v>
      </c>
      <c r="C1579" s="14" t="s">
        <v>139</v>
      </c>
      <c r="D1579" t="s">
        <v>46</v>
      </c>
      <c r="E1579" s="16" t="s">
        <v>133</v>
      </c>
      <c r="F1579">
        <v>2026</v>
      </c>
      <c r="G1579" s="12">
        <v>7907795</v>
      </c>
      <c r="H1579" s="13">
        <v>0.78</v>
      </c>
      <c r="I1579" s="13">
        <v>0.73899999999999999</v>
      </c>
      <c r="J1579" s="13">
        <v>0.68</v>
      </c>
      <c r="K1579" s="13"/>
      <c r="L1579" s="13">
        <v>0.12</v>
      </c>
      <c r="M1579" s="13">
        <v>0.25</v>
      </c>
    </row>
    <row r="1580" spans="2:13" x14ac:dyDescent="0.25">
      <c r="B1580" s="14" t="s">
        <v>189</v>
      </c>
      <c r="C1580" s="14" t="s">
        <v>139</v>
      </c>
      <c r="D1580" t="s">
        <v>46</v>
      </c>
      <c r="E1580" s="16" t="s">
        <v>133</v>
      </c>
      <c r="F1580">
        <v>2027</v>
      </c>
      <c r="G1580" s="12">
        <v>7964934.4023683704</v>
      </c>
      <c r="H1580" s="13">
        <v>0.78659999999999997</v>
      </c>
      <c r="I1580" s="13">
        <v>0.74560000000000004</v>
      </c>
      <c r="J1580" s="13">
        <v>0.68659999999999999</v>
      </c>
      <c r="K1580" s="13"/>
      <c r="L1580" s="13">
        <v>0.12</v>
      </c>
      <c r="M1580" s="13">
        <v>0.25</v>
      </c>
    </row>
    <row r="1581" spans="2:13" x14ac:dyDescent="0.25">
      <c r="B1581" s="14" t="s">
        <v>189</v>
      </c>
      <c r="C1581" s="14" t="s">
        <v>139</v>
      </c>
      <c r="D1581" t="s">
        <v>46</v>
      </c>
      <c r="E1581" s="16" t="s">
        <v>133</v>
      </c>
      <c r="F1581">
        <v>2028</v>
      </c>
      <c r="G1581" s="12">
        <v>8030901.39389023</v>
      </c>
      <c r="H1581" s="13">
        <v>0.79320000000000002</v>
      </c>
      <c r="I1581" s="13">
        <v>0.75219999999999998</v>
      </c>
      <c r="J1581" s="13">
        <v>0.69320000000000004</v>
      </c>
      <c r="K1581" s="13"/>
      <c r="L1581" s="13">
        <v>0.12</v>
      </c>
      <c r="M1581" s="13">
        <v>0.25</v>
      </c>
    </row>
    <row r="1582" spans="2:13" x14ac:dyDescent="0.25">
      <c r="B1582" s="14" t="s">
        <v>189</v>
      </c>
      <c r="C1582" s="14" t="s">
        <v>139</v>
      </c>
      <c r="D1582" t="s">
        <v>46</v>
      </c>
      <c r="E1582" s="16" t="s">
        <v>133</v>
      </c>
      <c r="F1582">
        <v>2029</v>
      </c>
      <c r="G1582" s="12">
        <v>8111304.0010246104</v>
      </c>
      <c r="H1582" s="13">
        <v>0.79979999999999996</v>
      </c>
      <c r="I1582" s="13">
        <v>0.75880000000000003</v>
      </c>
      <c r="J1582" s="13">
        <v>0.69979999999999998</v>
      </c>
      <c r="K1582" s="13"/>
      <c r="L1582" s="13">
        <v>0.12</v>
      </c>
      <c r="M1582" s="13">
        <v>0.25</v>
      </c>
    </row>
    <row r="1583" spans="2:13" x14ac:dyDescent="0.25">
      <c r="B1583" s="14" t="s">
        <v>189</v>
      </c>
      <c r="C1583" s="14" t="s">
        <v>139</v>
      </c>
      <c r="D1583" t="s">
        <v>46</v>
      </c>
      <c r="E1583" s="16" t="s">
        <v>133</v>
      </c>
      <c r="F1583">
        <v>2030</v>
      </c>
      <c r="G1583" s="12">
        <v>8159691.4669379201</v>
      </c>
      <c r="H1583" s="13">
        <v>0.80640000000000001</v>
      </c>
      <c r="I1583" s="13">
        <v>0.76539999999999997</v>
      </c>
      <c r="J1583" s="13">
        <v>0.70640000000000003</v>
      </c>
      <c r="K1583" s="13"/>
      <c r="L1583" s="13">
        <v>0.12</v>
      </c>
      <c r="M1583" s="13">
        <v>0.25</v>
      </c>
    </row>
    <row r="1584" spans="2:13" x14ac:dyDescent="0.25">
      <c r="B1584" s="14" t="s">
        <v>189</v>
      </c>
      <c r="C1584" s="14" t="s">
        <v>74</v>
      </c>
      <c r="D1584" t="s">
        <v>46</v>
      </c>
      <c r="E1584" s="16" t="s">
        <v>133</v>
      </c>
      <c r="F1584">
        <v>2026</v>
      </c>
      <c r="G1584" s="12">
        <v>7316932</v>
      </c>
      <c r="H1584" s="13">
        <v>0.623</v>
      </c>
      <c r="I1584" s="13"/>
      <c r="J1584" s="13"/>
      <c r="K1584" s="13"/>
      <c r="L1584" s="13">
        <v>0.2</v>
      </c>
      <c r="M1584" s="13">
        <v>0.25</v>
      </c>
    </row>
    <row r="1585" spans="2:13" x14ac:dyDescent="0.25">
      <c r="B1585" s="14" t="s">
        <v>189</v>
      </c>
      <c r="C1585" s="14" t="s">
        <v>74</v>
      </c>
      <c r="D1585" t="s">
        <v>46</v>
      </c>
      <c r="E1585" s="16" t="s">
        <v>133</v>
      </c>
      <c r="F1585">
        <v>2027</v>
      </c>
      <c r="G1585" s="12">
        <v>7369802</v>
      </c>
      <c r="H1585" s="13">
        <v>0.62960000000000005</v>
      </c>
      <c r="I1585" s="13"/>
      <c r="J1585" s="13"/>
      <c r="K1585" s="13"/>
      <c r="L1585" s="13">
        <v>0.2</v>
      </c>
      <c r="M1585" s="13">
        <v>0.25</v>
      </c>
    </row>
    <row r="1586" spans="2:13" x14ac:dyDescent="0.25">
      <c r="B1586" s="14" t="s">
        <v>189</v>
      </c>
      <c r="C1586" s="14" t="s">
        <v>74</v>
      </c>
      <c r="D1586" t="s">
        <v>46</v>
      </c>
      <c r="E1586" s="16" t="s">
        <v>133</v>
      </c>
      <c r="F1586">
        <v>2028</v>
      </c>
      <c r="G1586" s="12">
        <v>7430840</v>
      </c>
      <c r="H1586" s="13">
        <v>0.63619999999999999</v>
      </c>
      <c r="I1586" s="13"/>
      <c r="J1586" s="13"/>
      <c r="K1586" s="13"/>
      <c r="L1586" s="13">
        <v>0.2</v>
      </c>
      <c r="M1586" s="13">
        <v>0.25</v>
      </c>
    </row>
    <row r="1587" spans="2:13" x14ac:dyDescent="0.25">
      <c r="B1587" s="14" t="s">
        <v>189</v>
      </c>
      <c r="C1587" s="14" t="s">
        <v>74</v>
      </c>
      <c r="D1587" t="s">
        <v>46</v>
      </c>
      <c r="E1587" s="16" t="s">
        <v>133</v>
      </c>
      <c r="F1587">
        <v>2029</v>
      </c>
      <c r="G1587" s="12">
        <v>7505235</v>
      </c>
      <c r="H1587" s="13">
        <v>0.64280000000000004</v>
      </c>
      <c r="I1587" s="13"/>
      <c r="J1587" s="13"/>
      <c r="K1587" s="13"/>
      <c r="L1587" s="13">
        <v>0.2</v>
      </c>
      <c r="M1587" s="13">
        <v>0.25</v>
      </c>
    </row>
    <row r="1588" spans="2:13" x14ac:dyDescent="0.25">
      <c r="B1588" s="15" t="s">
        <v>189</v>
      </c>
      <c r="C1588" s="14" t="s">
        <v>74</v>
      </c>
      <c r="D1588" t="s">
        <v>46</v>
      </c>
      <c r="E1588" s="16" t="s">
        <v>133</v>
      </c>
      <c r="F1588">
        <v>2030</v>
      </c>
      <c r="G1588" s="12">
        <v>7550007</v>
      </c>
      <c r="H1588" s="13">
        <v>0.64939999999999998</v>
      </c>
      <c r="I1588" s="13"/>
      <c r="J1588" s="13"/>
      <c r="K1588" s="13"/>
      <c r="L1588" s="13">
        <v>0.2</v>
      </c>
      <c r="M1588" s="13">
        <v>0.25</v>
      </c>
    </row>
    <row r="1589" spans="2:13" x14ac:dyDescent="0.25">
      <c r="B1589" s="14" t="s">
        <v>190</v>
      </c>
      <c r="C1589" s="14" t="s">
        <v>70</v>
      </c>
      <c r="D1589" t="s">
        <v>46</v>
      </c>
      <c r="E1589" s="16" t="s">
        <v>133</v>
      </c>
      <c r="F1589">
        <v>2026</v>
      </c>
      <c r="G1589" s="12">
        <v>130040</v>
      </c>
      <c r="H1589" s="13">
        <v>0.99</v>
      </c>
      <c r="I1589" s="13">
        <v>0.99</v>
      </c>
      <c r="J1589" s="13">
        <v>0</v>
      </c>
      <c r="K1589" s="13">
        <v>0</v>
      </c>
      <c r="L1589" s="13">
        <v>7.0000000000000007E-2</v>
      </c>
      <c r="M1589" s="13">
        <v>0.25</v>
      </c>
    </row>
    <row r="1590" spans="2:13" x14ac:dyDescent="0.25">
      <c r="B1590" s="14" t="s">
        <v>190</v>
      </c>
      <c r="C1590" s="14" t="s">
        <v>70</v>
      </c>
      <c r="D1590" t="s">
        <v>46</v>
      </c>
      <c r="E1590" s="16" t="s">
        <v>133</v>
      </c>
      <c r="F1590">
        <v>2027</v>
      </c>
      <c r="G1590" s="12">
        <v>129502</v>
      </c>
      <c r="H1590" s="13">
        <v>0.99</v>
      </c>
      <c r="I1590" s="13">
        <v>0.99</v>
      </c>
      <c r="J1590" s="13">
        <v>6.6E-3</v>
      </c>
      <c r="K1590" s="13">
        <v>0</v>
      </c>
      <c r="L1590" s="13">
        <v>7.0000000000000007E-2</v>
      </c>
      <c r="M1590" s="13">
        <v>0.25</v>
      </c>
    </row>
    <row r="1591" spans="2:13" x14ac:dyDescent="0.25">
      <c r="B1591" s="14" t="s">
        <v>190</v>
      </c>
      <c r="C1591" s="14" t="s">
        <v>70</v>
      </c>
      <c r="D1591" t="s">
        <v>46</v>
      </c>
      <c r="E1591" s="16" t="s">
        <v>133</v>
      </c>
      <c r="F1591">
        <v>2028</v>
      </c>
      <c r="G1591" s="12">
        <v>128797</v>
      </c>
      <c r="H1591" s="13">
        <v>0.99</v>
      </c>
      <c r="I1591" s="13">
        <v>0.99</v>
      </c>
      <c r="J1591" s="13">
        <v>1.32E-2</v>
      </c>
      <c r="K1591" s="13">
        <v>0</v>
      </c>
      <c r="L1591" s="13">
        <v>7.0000000000000007E-2</v>
      </c>
      <c r="M1591" s="13">
        <v>0.25</v>
      </c>
    </row>
    <row r="1592" spans="2:13" x14ac:dyDescent="0.25">
      <c r="B1592" s="14" t="s">
        <v>190</v>
      </c>
      <c r="C1592" s="14" t="s">
        <v>70</v>
      </c>
      <c r="D1592" t="s">
        <v>46</v>
      </c>
      <c r="E1592" s="16" t="s">
        <v>133</v>
      </c>
      <c r="F1592">
        <v>2029</v>
      </c>
      <c r="G1592" s="12">
        <v>128101</v>
      </c>
      <c r="H1592" s="13">
        <v>0.99</v>
      </c>
      <c r="I1592" s="13">
        <v>0.99</v>
      </c>
      <c r="J1592" s="13">
        <v>1.9800000000000002E-2</v>
      </c>
      <c r="K1592" s="13">
        <v>0</v>
      </c>
      <c r="L1592" s="13">
        <v>7.0000000000000007E-2</v>
      </c>
      <c r="M1592" s="13">
        <v>0.25</v>
      </c>
    </row>
    <row r="1593" spans="2:13" x14ac:dyDescent="0.25">
      <c r="B1593" s="15" t="s">
        <v>190</v>
      </c>
      <c r="C1593" s="14" t="s">
        <v>70</v>
      </c>
      <c r="D1593" t="s">
        <v>46</v>
      </c>
      <c r="E1593" s="16" t="s">
        <v>133</v>
      </c>
      <c r="F1593">
        <v>2030</v>
      </c>
      <c r="G1593" s="12">
        <v>127467</v>
      </c>
      <c r="H1593" s="13">
        <v>0.99</v>
      </c>
      <c r="I1593" s="13">
        <v>0.99</v>
      </c>
      <c r="J1593" s="13">
        <v>2.64E-2</v>
      </c>
      <c r="K1593" s="13">
        <v>0</v>
      </c>
      <c r="L1593" s="13">
        <v>7.0000000000000007E-2</v>
      </c>
      <c r="M1593" s="13">
        <v>0.25</v>
      </c>
    </row>
    <row r="1594" spans="2:13" x14ac:dyDescent="0.25">
      <c r="B1594" s="14" t="s">
        <v>191</v>
      </c>
      <c r="C1594" s="14" t="s">
        <v>132</v>
      </c>
      <c r="D1594" t="s">
        <v>46</v>
      </c>
      <c r="E1594" s="16" t="s">
        <v>133</v>
      </c>
      <c r="F1594">
        <v>2026</v>
      </c>
      <c r="G1594" s="12">
        <v>521114</v>
      </c>
      <c r="H1594" s="13">
        <v>0.99</v>
      </c>
      <c r="I1594" s="13">
        <v>0.97770000000000001</v>
      </c>
      <c r="J1594" s="13">
        <v>0.96</v>
      </c>
      <c r="K1594" s="13">
        <v>0</v>
      </c>
      <c r="L1594" s="13">
        <v>0.2</v>
      </c>
      <c r="M1594" s="13">
        <v>0.25</v>
      </c>
    </row>
    <row r="1595" spans="2:13" x14ac:dyDescent="0.25">
      <c r="B1595" s="14" t="s">
        <v>191</v>
      </c>
      <c r="C1595" s="14" t="s">
        <v>132</v>
      </c>
      <c r="D1595" t="s">
        <v>46</v>
      </c>
      <c r="E1595" s="16" t="s">
        <v>133</v>
      </c>
      <c r="F1595">
        <v>2027</v>
      </c>
      <c r="G1595" s="12">
        <v>513564.429040786</v>
      </c>
      <c r="H1595" s="13">
        <v>0.99</v>
      </c>
      <c r="I1595" s="13">
        <v>0.98429999999999995</v>
      </c>
      <c r="J1595" s="13">
        <v>0.96660000000000001</v>
      </c>
      <c r="K1595" s="13">
        <v>0</v>
      </c>
      <c r="L1595" s="13">
        <v>0.2</v>
      </c>
      <c r="M1595" s="13">
        <v>0.25</v>
      </c>
    </row>
    <row r="1596" spans="2:13" x14ac:dyDescent="0.25">
      <c r="B1596" s="14" t="s">
        <v>191</v>
      </c>
      <c r="C1596" s="14" t="s">
        <v>132</v>
      </c>
      <c r="D1596" t="s">
        <v>46</v>
      </c>
      <c r="E1596" s="16" t="s">
        <v>133</v>
      </c>
      <c r="F1596">
        <v>2028</v>
      </c>
      <c r="G1596" s="12">
        <v>507989.03030883003</v>
      </c>
      <c r="H1596" s="13">
        <v>0.99</v>
      </c>
      <c r="I1596" s="13">
        <v>0.99</v>
      </c>
      <c r="J1596" s="13">
        <v>0.97</v>
      </c>
      <c r="K1596" s="13">
        <v>0</v>
      </c>
      <c r="L1596" s="13">
        <v>0.2</v>
      </c>
      <c r="M1596" s="13">
        <v>0.25</v>
      </c>
    </row>
    <row r="1597" spans="2:13" x14ac:dyDescent="0.25">
      <c r="B1597" s="14" t="s">
        <v>191</v>
      </c>
      <c r="C1597" s="14" t="s">
        <v>132</v>
      </c>
      <c r="D1597" t="s">
        <v>46</v>
      </c>
      <c r="E1597" s="16" t="s">
        <v>133</v>
      </c>
      <c r="F1597">
        <v>2029</v>
      </c>
      <c r="G1597" s="12">
        <v>504034.819072065</v>
      </c>
      <c r="H1597" s="13">
        <v>0.99</v>
      </c>
      <c r="I1597" s="13">
        <v>0.99</v>
      </c>
      <c r="J1597" s="13">
        <v>0.97</v>
      </c>
      <c r="K1597" s="13">
        <v>0</v>
      </c>
      <c r="L1597" s="13">
        <v>0.2</v>
      </c>
      <c r="M1597" s="13">
        <v>0.25</v>
      </c>
    </row>
    <row r="1598" spans="2:13" x14ac:dyDescent="0.25">
      <c r="B1598" s="14" t="s">
        <v>191</v>
      </c>
      <c r="C1598" s="14" t="s">
        <v>132</v>
      </c>
      <c r="D1598" t="s">
        <v>46</v>
      </c>
      <c r="E1598" s="16" t="s">
        <v>133</v>
      </c>
      <c r="F1598">
        <v>2030</v>
      </c>
      <c r="G1598" s="12">
        <v>499290.54782558099</v>
      </c>
      <c r="H1598" s="13">
        <v>0.99</v>
      </c>
      <c r="I1598" s="13">
        <v>0.99</v>
      </c>
      <c r="J1598" s="13">
        <v>0.97</v>
      </c>
      <c r="K1598" s="13">
        <v>0</v>
      </c>
      <c r="L1598" s="13">
        <v>0.2</v>
      </c>
      <c r="M1598" s="13">
        <v>0.25</v>
      </c>
    </row>
    <row r="1599" spans="2:13" x14ac:dyDescent="0.25">
      <c r="B1599" s="14" t="s">
        <v>191</v>
      </c>
      <c r="C1599" s="14" t="s">
        <v>70</v>
      </c>
      <c r="D1599" t="s">
        <v>46</v>
      </c>
      <c r="E1599" s="16" t="s">
        <v>133</v>
      </c>
      <c r="F1599">
        <v>2026</v>
      </c>
      <c r="G1599" s="12">
        <v>521114</v>
      </c>
      <c r="H1599" s="13">
        <v>0.99</v>
      </c>
      <c r="I1599" s="13">
        <v>0.96</v>
      </c>
      <c r="J1599" s="13">
        <v>0</v>
      </c>
      <c r="K1599" s="13">
        <v>0</v>
      </c>
      <c r="L1599" s="13">
        <v>0.27</v>
      </c>
      <c r="M1599" s="13">
        <v>0.25</v>
      </c>
    </row>
    <row r="1600" spans="2:13" x14ac:dyDescent="0.25">
      <c r="B1600" s="14" t="s">
        <v>191</v>
      </c>
      <c r="C1600" s="14" t="s">
        <v>70</v>
      </c>
      <c r="D1600" t="s">
        <v>46</v>
      </c>
      <c r="E1600" s="16" t="s">
        <v>133</v>
      </c>
      <c r="F1600">
        <v>2027</v>
      </c>
      <c r="G1600" s="12">
        <v>513564.429040786</v>
      </c>
      <c r="H1600" s="13">
        <v>0.99</v>
      </c>
      <c r="I1600" s="13">
        <v>0.96660000000000001</v>
      </c>
      <c r="J1600" s="13">
        <v>6.6E-3</v>
      </c>
      <c r="K1600" s="13">
        <v>0</v>
      </c>
      <c r="L1600" s="13">
        <v>0.27</v>
      </c>
      <c r="M1600" s="13">
        <v>0.25</v>
      </c>
    </row>
    <row r="1601" spans="2:13" x14ac:dyDescent="0.25">
      <c r="B1601" s="14" t="s">
        <v>191</v>
      </c>
      <c r="C1601" s="14" t="s">
        <v>70</v>
      </c>
      <c r="D1601" t="s">
        <v>46</v>
      </c>
      <c r="E1601" s="16" t="s">
        <v>133</v>
      </c>
      <c r="F1601">
        <v>2028</v>
      </c>
      <c r="G1601" s="12">
        <v>507989.03030883003</v>
      </c>
      <c r="H1601" s="13">
        <v>0.99</v>
      </c>
      <c r="I1601" s="13">
        <v>0.97319999999999995</v>
      </c>
      <c r="J1601" s="13">
        <v>1.32E-2</v>
      </c>
      <c r="K1601" s="13">
        <v>0</v>
      </c>
      <c r="L1601" s="13">
        <v>0.27</v>
      </c>
      <c r="M1601" s="13">
        <v>0.25</v>
      </c>
    </row>
    <row r="1602" spans="2:13" x14ac:dyDescent="0.25">
      <c r="B1602" s="14" t="s">
        <v>191</v>
      </c>
      <c r="C1602" s="14" t="s">
        <v>70</v>
      </c>
      <c r="D1602" t="s">
        <v>46</v>
      </c>
      <c r="E1602" s="16" t="s">
        <v>133</v>
      </c>
      <c r="F1602">
        <v>2029</v>
      </c>
      <c r="G1602" s="12">
        <v>504034.819072065</v>
      </c>
      <c r="H1602" s="13">
        <v>0.99</v>
      </c>
      <c r="I1602" s="13">
        <v>0.9798</v>
      </c>
      <c r="J1602" s="13">
        <v>1.9800000000000002E-2</v>
      </c>
      <c r="K1602" s="13">
        <v>0</v>
      </c>
      <c r="L1602" s="13">
        <v>0.27</v>
      </c>
      <c r="M1602" s="13">
        <v>0.25</v>
      </c>
    </row>
    <row r="1603" spans="2:13" x14ac:dyDescent="0.25">
      <c r="B1603" s="14" t="s">
        <v>191</v>
      </c>
      <c r="C1603" s="14" t="s">
        <v>70</v>
      </c>
      <c r="D1603" t="s">
        <v>46</v>
      </c>
      <c r="E1603" s="16" t="s">
        <v>133</v>
      </c>
      <c r="F1603">
        <v>2030</v>
      </c>
      <c r="G1603" s="12">
        <v>499290.54782558099</v>
      </c>
      <c r="H1603" s="13">
        <v>0.99</v>
      </c>
      <c r="I1603" s="13">
        <v>0.98640000000000005</v>
      </c>
      <c r="J1603" s="13">
        <v>2.64E-2</v>
      </c>
      <c r="K1603" s="13">
        <v>0</v>
      </c>
      <c r="L1603" s="13">
        <v>0.27</v>
      </c>
      <c r="M1603" s="13">
        <v>0.25</v>
      </c>
    </row>
    <row r="1604" spans="2:13" x14ac:dyDescent="0.25">
      <c r="B1604" s="14" t="s">
        <v>191</v>
      </c>
      <c r="C1604" s="14" t="s">
        <v>72</v>
      </c>
      <c r="D1604" t="s">
        <v>46</v>
      </c>
      <c r="E1604" s="16" t="s">
        <v>133</v>
      </c>
      <c r="F1604">
        <v>2026</v>
      </c>
      <c r="G1604" s="12">
        <v>521114</v>
      </c>
      <c r="H1604" s="13">
        <v>0.99</v>
      </c>
      <c r="I1604" s="13">
        <v>0.97770000000000001</v>
      </c>
      <c r="J1604" s="13">
        <v>0.96</v>
      </c>
      <c r="K1604" s="13"/>
      <c r="L1604" s="13">
        <v>0.1</v>
      </c>
      <c r="M1604" s="13">
        <v>0.25</v>
      </c>
    </row>
    <row r="1605" spans="2:13" x14ac:dyDescent="0.25">
      <c r="B1605" s="14" t="s">
        <v>191</v>
      </c>
      <c r="C1605" s="14" t="s">
        <v>72</v>
      </c>
      <c r="D1605" t="s">
        <v>46</v>
      </c>
      <c r="E1605" s="16" t="s">
        <v>133</v>
      </c>
      <c r="F1605">
        <v>2027</v>
      </c>
      <c r="G1605" s="12">
        <v>513564.429040786</v>
      </c>
      <c r="H1605" s="13">
        <v>0.99</v>
      </c>
      <c r="I1605" s="13">
        <v>0.980406</v>
      </c>
      <c r="J1605" s="13">
        <v>0.96660000000000001</v>
      </c>
      <c r="K1605" s="13"/>
      <c r="L1605" s="13">
        <v>0.1</v>
      </c>
      <c r="M1605" s="13">
        <v>0.25</v>
      </c>
    </row>
    <row r="1606" spans="2:13" x14ac:dyDescent="0.25">
      <c r="B1606" s="14" t="s">
        <v>191</v>
      </c>
      <c r="C1606" s="14" t="s">
        <v>72</v>
      </c>
      <c r="D1606" t="s">
        <v>46</v>
      </c>
      <c r="E1606" s="16" t="s">
        <v>133</v>
      </c>
      <c r="F1606">
        <v>2028</v>
      </c>
      <c r="G1606" s="12">
        <v>507989.03030883003</v>
      </c>
      <c r="H1606" s="13">
        <v>0.99</v>
      </c>
      <c r="I1606" s="13">
        <v>0.98180000000000001</v>
      </c>
      <c r="J1606" s="13">
        <v>0.97</v>
      </c>
      <c r="K1606" s="13"/>
      <c r="L1606" s="13">
        <v>0.08</v>
      </c>
      <c r="M1606" s="13">
        <v>0.25</v>
      </c>
    </row>
    <row r="1607" spans="2:13" x14ac:dyDescent="0.25">
      <c r="B1607" s="14" t="s">
        <v>191</v>
      </c>
      <c r="C1607" s="14" t="s">
        <v>72</v>
      </c>
      <c r="D1607" t="s">
        <v>46</v>
      </c>
      <c r="E1607" s="16" t="s">
        <v>133</v>
      </c>
      <c r="F1607">
        <v>2029</v>
      </c>
      <c r="G1607" s="12">
        <v>504034.819072065</v>
      </c>
      <c r="H1607" s="13">
        <v>0.99</v>
      </c>
      <c r="I1607" s="13">
        <v>0.98180000000000001</v>
      </c>
      <c r="J1607" s="13">
        <v>0.97</v>
      </c>
      <c r="K1607" s="13"/>
      <c r="L1607" s="13">
        <v>0.08</v>
      </c>
      <c r="M1607" s="13">
        <v>0.25</v>
      </c>
    </row>
    <row r="1608" spans="2:13" x14ac:dyDescent="0.25">
      <c r="B1608" s="14" t="s">
        <v>191</v>
      </c>
      <c r="C1608" s="14" t="s">
        <v>72</v>
      </c>
      <c r="D1608" t="s">
        <v>46</v>
      </c>
      <c r="E1608" s="16" t="s">
        <v>133</v>
      </c>
      <c r="F1608">
        <v>2030</v>
      </c>
      <c r="G1608" s="12">
        <v>499290.54782558099</v>
      </c>
      <c r="H1608" s="13">
        <v>0.99</v>
      </c>
      <c r="I1608" s="13">
        <v>0.98180000000000001</v>
      </c>
      <c r="J1608" s="13">
        <v>0.97</v>
      </c>
      <c r="K1608" s="13"/>
      <c r="L1608" s="13">
        <v>0.08</v>
      </c>
      <c r="M1608" s="13">
        <v>0.25</v>
      </c>
    </row>
    <row r="1609" spans="2:13" x14ac:dyDescent="0.25">
      <c r="B1609" s="14" t="s">
        <v>191</v>
      </c>
      <c r="C1609" s="14" t="s">
        <v>102</v>
      </c>
      <c r="D1609" t="s">
        <v>46</v>
      </c>
      <c r="E1609" s="16" t="s">
        <v>133</v>
      </c>
      <c r="F1609">
        <v>2027</v>
      </c>
      <c r="G1609" s="12">
        <v>513564.429040786</v>
      </c>
      <c r="H1609" s="13">
        <v>6.2093413100000001E-2</v>
      </c>
      <c r="I1609" s="13"/>
      <c r="J1609" s="13"/>
      <c r="K1609" s="13"/>
      <c r="L1609" s="13">
        <v>7.0000000000000007E-2</v>
      </c>
      <c r="M1609" s="13">
        <v>0.25</v>
      </c>
    </row>
    <row r="1610" spans="2:13" x14ac:dyDescent="0.25">
      <c r="B1610" s="14" t="s">
        <v>191</v>
      </c>
      <c r="C1610" s="14" t="s">
        <v>102</v>
      </c>
      <c r="D1610" t="s">
        <v>46</v>
      </c>
      <c r="E1610" s="16" t="s">
        <v>133</v>
      </c>
      <c r="F1610">
        <v>2028</v>
      </c>
      <c r="G1610" s="12">
        <v>507989.03030883003</v>
      </c>
      <c r="H1610" s="13">
        <v>0.7517209574</v>
      </c>
      <c r="I1610" s="13"/>
      <c r="J1610" s="13"/>
      <c r="K1610" s="13"/>
      <c r="L1610" s="13">
        <v>7.0000000000000007E-2</v>
      </c>
      <c r="M1610" s="13">
        <v>0.25</v>
      </c>
    </row>
    <row r="1611" spans="2:13" x14ac:dyDescent="0.25">
      <c r="B1611" s="14" t="s">
        <v>191</v>
      </c>
      <c r="C1611" s="14" t="s">
        <v>102</v>
      </c>
      <c r="D1611" t="s">
        <v>46</v>
      </c>
      <c r="E1611" s="16" t="s">
        <v>133</v>
      </c>
      <c r="F1611">
        <v>2029</v>
      </c>
      <c r="G1611" s="12">
        <v>504034.819072065</v>
      </c>
      <c r="H1611" s="13">
        <v>0.75832095740000005</v>
      </c>
      <c r="I1611" s="13"/>
      <c r="J1611" s="13"/>
      <c r="K1611" s="13"/>
      <c r="L1611" s="13">
        <v>7.0000000000000007E-2</v>
      </c>
      <c r="M1611" s="13">
        <v>0.25</v>
      </c>
    </row>
    <row r="1612" spans="2:13" x14ac:dyDescent="0.25">
      <c r="B1612" s="14" t="s">
        <v>191</v>
      </c>
      <c r="C1612" s="14" t="s">
        <v>102</v>
      </c>
      <c r="D1612" t="s">
        <v>46</v>
      </c>
      <c r="E1612" s="16" t="s">
        <v>133</v>
      </c>
      <c r="F1612">
        <v>2030</v>
      </c>
      <c r="G1612" s="12">
        <v>499290.54782558099</v>
      </c>
      <c r="H1612" s="13">
        <v>0.76492095739999999</v>
      </c>
      <c r="I1612" s="13"/>
      <c r="J1612" s="13"/>
      <c r="K1612" s="13"/>
      <c r="L1612" s="13">
        <v>7.0000000000000007E-2</v>
      </c>
      <c r="M1612" s="13">
        <v>0.25</v>
      </c>
    </row>
    <row r="1613" spans="2:13" x14ac:dyDescent="0.25">
      <c r="B1613" s="14" t="s">
        <v>191</v>
      </c>
      <c r="C1613" s="14" t="s">
        <v>15</v>
      </c>
      <c r="D1613" t="s">
        <v>136</v>
      </c>
      <c r="E1613" s="16" t="s">
        <v>133</v>
      </c>
      <c r="F1613">
        <v>2026</v>
      </c>
      <c r="G1613" s="12">
        <v>0</v>
      </c>
      <c r="H1613" s="13">
        <v>0</v>
      </c>
      <c r="I1613" s="13"/>
      <c r="J1613" s="13"/>
      <c r="K1613" s="13"/>
      <c r="L1613" s="13">
        <v>0.05</v>
      </c>
      <c r="M1613" s="13">
        <v>0.25</v>
      </c>
    </row>
    <row r="1614" spans="2:13" x14ac:dyDescent="0.25">
      <c r="B1614" s="14" t="s">
        <v>191</v>
      </c>
      <c r="C1614" s="14" t="s">
        <v>15</v>
      </c>
      <c r="D1614" t="s">
        <v>46</v>
      </c>
      <c r="E1614" s="16" t="s">
        <v>133</v>
      </c>
      <c r="F1614">
        <v>2026</v>
      </c>
      <c r="G1614" s="12">
        <v>365824</v>
      </c>
      <c r="H1614" s="13">
        <v>0.9278484293</v>
      </c>
      <c r="I1614" s="13"/>
      <c r="J1614" s="13"/>
      <c r="K1614" s="13"/>
      <c r="L1614" s="13">
        <v>0.05</v>
      </c>
      <c r="M1614" s="13">
        <v>0.25</v>
      </c>
    </row>
    <row r="1615" spans="2:13" x14ac:dyDescent="0.25">
      <c r="B1615" s="14" t="s">
        <v>191</v>
      </c>
      <c r="C1615" s="14" t="s">
        <v>15</v>
      </c>
      <c r="D1615" t="s">
        <v>46</v>
      </c>
      <c r="E1615" s="16" t="s">
        <v>133</v>
      </c>
      <c r="F1615">
        <v>2027</v>
      </c>
      <c r="G1615" s="12">
        <v>365824</v>
      </c>
      <c r="H1615" s="13">
        <v>0.9278484293</v>
      </c>
      <c r="I1615" s="13"/>
      <c r="J1615" s="13"/>
      <c r="K1615" s="13"/>
      <c r="L1615" s="13">
        <v>0.05</v>
      </c>
      <c r="M1615" s="13">
        <v>0.25</v>
      </c>
    </row>
    <row r="1616" spans="2:13" x14ac:dyDescent="0.25">
      <c r="B1616" s="14" t="s">
        <v>191</v>
      </c>
      <c r="C1616" s="14" t="s">
        <v>15</v>
      </c>
      <c r="D1616" t="s">
        <v>46</v>
      </c>
      <c r="E1616" s="16" t="s">
        <v>133</v>
      </c>
      <c r="F1616">
        <v>2028</v>
      </c>
      <c r="G1616" s="12">
        <v>362855</v>
      </c>
      <c r="H1616" s="13">
        <v>0.9278484293</v>
      </c>
      <c r="I1616" s="13"/>
      <c r="J1616" s="13"/>
      <c r="K1616" s="13"/>
      <c r="L1616" s="13">
        <v>0.05</v>
      </c>
      <c r="M1616" s="13">
        <v>0.25</v>
      </c>
    </row>
    <row r="1617" spans="2:13" x14ac:dyDescent="0.25">
      <c r="B1617" s="14" t="s">
        <v>191</v>
      </c>
      <c r="C1617" s="14" t="s">
        <v>15</v>
      </c>
      <c r="D1617" t="s">
        <v>46</v>
      </c>
      <c r="E1617" s="16" t="s">
        <v>133</v>
      </c>
      <c r="F1617">
        <v>2029</v>
      </c>
      <c r="G1617" s="12">
        <v>365002</v>
      </c>
      <c r="H1617" s="13">
        <v>0.9278484293</v>
      </c>
      <c r="I1617" s="13"/>
      <c r="J1617" s="13"/>
      <c r="K1617" s="13"/>
      <c r="L1617" s="13">
        <v>0.05</v>
      </c>
      <c r="M1617" s="13">
        <v>0.25</v>
      </c>
    </row>
    <row r="1618" spans="2:13" x14ac:dyDescent="0.25">
      <c r="B1618" s="14" t="s">
        <v>191</v>
      </c>
      <c r="C1618" s="14" t="s">
        <v>15</v>
      </c>
      <c r="D1618" t="s">
        <v>46</v>
      </c>
      <c r="E1618" s="16" t="s">
        <v>133</v>
      </c>
      <c r="F1618">
        <v>2030</v>
      </c>
      <c r="G1618" s="12">
        <v>368049</v>
      </c>
      <c r="H1618" s="13">
        <v>0.9278484293</v>
      </c>
      <c r="I1618" s="13"/>
      <c r="J1618" s="13"/>
      <c r="K1618" s="13"/>
      <c r="L1618" s="13">
        <v>0.05</v>
      </c>
      <c r="M1618" s="13">
        <v>0.25</v>
      </c>
    </row>
    <row r="1619" spans="2:13" x14ac:dyDescent="0.25">
      <c r="B1619" s="14" t="s">
        <v>191</v>
      </c>
      <c r="C1619" s="14" t="s">
        <v>52</v>
      </c>
      <c r="D1619" t="s">
        <v>141</v>
      </c>
      <c r="E1619" s="16" t="s">
        <v>133</v>
      </c>
      <c r="F1619">
        <v>2028</v>
      </c>
      <c r="G1619" s="12">
        <v>2347722.5625</v>
      </c>
      <c r="H1619" s="13">
        <v>1</v>
      </c>
      <c r="I1619" s="13"/>
      <c r="J1619" s="13"/>
      <c r="K1619" s="13"/>
      <c r="L1619" s="13"/>
      <c r="M1619" s="13"/>
    </row>
    <row r="1620" spans="2:13" x14ac:dyDescent="0.25">
      <c r="B1620" s="14" t="s">
        <v>191</v>
      </c>
      <c r="C1620" s="14" t="s">
        <v>52</v>
      </c>
      <c r="D1620" t="s">
        <v>138</v>
      </c>
      <c r="E1620" s="16" t="s">
        <v>133</v>
      </c>
      <c r="F1620">
        <v>2026</v>
      </c>
      <c r="G1620" s="12">
        <v>532947</v>
      </c>
      <c r="H1620" s="13">
        <v>0.98319999999999996</v>
      </c>
      <c r="I1620" s="13">
        <v>0.94320000000000004</v>
      </c>
      <c r="J1620" s="13"/>
      <c r="K1620" s="13"/>
      <c r="L1620" s="13"/>
      <c r="M1620" s="13"/>
    </row>
    <row r="1621" spans="2:13" x14ac:dyDescent="0.25">
      <c r="B1621" s="14" t="s">
        <v>191</v>
      </c>
      <c r="C1621" s="14" t="s">
        <v>52</v>
      </c>
      <c r="D1621" t="s">
        <v>138</v>
      </c>
      <c r="E1621" s="16" t="s">
        <v>133</v>
      </c>
      <c r="F1621">
        <v>2027</v>
      </c>
      <c r="G1621" s="12">
        <v>525226</v>
      </c>
      <c r="H1621" s="13">
        <v>0.98980000000000001</v>
      </c>
      <c r="I1621" s="13">
        <v>0.983043</v>
      </c>
      <c r="J1621" s="13"/>
      <c r="K1621" s="13"/>
      <c r="L1621" s="13"/>
      <c r="M1621" s="13"/>
    </row>
    <row r="1622" spans="2:13" x14ac:dyDescent="0.25">
      <c r="B1622" s="14" t="s">
        <v>191</v>
      </c>
      <c r="C1622" s="14" t="s">
        <v>52</v>
      </c>
      <c r="D1622" t="s">
        <v>138</v>
      </c>
      <c r="E1622" s="16" t="s">
        <v>133</v>
      </c>
      <c r="F1622">
        <v>2028</v>
      </c>
      <c r="G1622" s="12">
        <v>519524</v>
      </c>
      <c r="H1622" s="13">
        <v>0.98980000000000001</v>
      </c>
      <c r="I1622" s="13">
        <v>0.98987400000000003</v>
      </c>
      <c r="J1622" s="13"/>
      <c r="K1622" s="13"/>
      <c r="L1622" s="13"/>
      <c r="M1622" s="13"/>
    </row>
    <row r="1623" spans="2:13" x14ac:dyDescent="0.25">
      <c r="B1623" s="14" t="s">
        <v>191</v>
      </c>
      <c r="C1623" s="14" t="s">
        <v>52</v>
      </c>
      <c r="D1623" t="s">
        <v>138</v>
      </c>
      <c r="E1623" s="16" t="s">
        <v>133</v>
      </c>
      <c r="F1623">
        <v>2029</v>
      </c>
      <c r="G1623" s="12">
        <v>515480</v>
      </c>
      <c r="H1623" s="13">
        <v>0.99</v>
      </c>
      <c r="I1623" s="13">
        <v>0.99670499999999995</v>
      </c>
      <c r="J1623" s="13"/>
      <c r="K1623" s="13"/>
      <c r="L1623" s="13"/>
      <c r="M1623" s="13"/>
    </row>
    <row r="1624" spans="2:13" x14ac:dyDescent="0.25">
      <c r="B1624" s="14" t="s">
        <v>191</v>
      </c>
      <c r="C1624" s="14" t="s">
        <v>52</v>
      </c>
      <c r="D1624" t="s">
        <v>138</v>
      </c>
      <c r="E1624" s="16" t="s">
        <v>133</v>
      </c>
      <c r="F1624">
        <v>2030</v>
      </c>
      <c r="G1624" s="12">
        <v>510628</v>
      </c>
      <c r="H1624" s="13">
        <v>0.99</v>
      </c>
      <c r="I1624" s="13">
        <v>1.003536</v>
      </c>
      <c r="J1624" s="13"/>
      <c r="K1624" s="13"/>
      <c r="L1624" s="13"/>
      <c r="M1624" s="13"/>
    </row>
    <row r="1625" spans="2:13" x14ac:dyDescent="0.25">
      <c r="B1625" s="14" t="s">
        <v>191</v>
      </c>
      <c r="C1625" s="14" t="s">
        <v>139</v>
      </c>
      <c r="D1625" t="s">
        <v>46</v>
      </c>
      <c r="E1625" s="16" t="s">
        <v>133</v>
      </c>
      <c r="F1625">
        <v>2026</v>
      </c>
      <c r="G1625" s="12">
        <v>521114</v>
      </c>
      <c r="H1625" s="13">
        <v>0.99</v>
      </c>
      <c r="I1625" s="13">
        <v>0.97499999999999998</v>
      </c>
      <c r="J1625" s="13">
        <v>0</v>
      </c>
      <c r="K1625" s="13"/>
      <c r="L1625" s="13">
        <v>0.04</v>
      </c>
      <c r="M1625" s="13">
        <v>0.25</v>
      </c>
    </row>
    <row r="1626" spans="2:13" x14ac:dyDescent="0.25">
      <c r="B1626" s="14" t="s">
        <v>191</v>
      </c>
      <c r="C1626" s="14" t="s">
        <v>139</v>
      </c>
      <c r="D1626" t="s">
        <v>46</v>
      </c>
      <c r="E1626" s="16" t="s">
        <v>133</v>
      </c>
      <c r="F1626">
        <v>2027</v>
      </c>
      <c r="G1626" s="12">
        <v>513564.429040786</v>
      </c>
      <c r="H1626" s="13">
        <v>0.99</v>
      </c>
      <c r="I1626" s="13">
        <v>0.97499999999999998</v>
      </c>
      <c r="J1626" s="13">
        <v>0</v>
      </c>
      <c r="K1626" s="13"/>
      <c r="L1626" s="13">
        <v>0.04</v>
      </c>
      <c r="M1626" s="13">
        <v>0.25</v>
      </c>
    </row>
    <row r="1627" spans="2:13" x14ac:dyDescent="0.25">
      <c r="B1627" s="14" t="s">
        <v>191</v>
      </c>
      <c r="C1627" s="14" t="s">
        <v>139</v>
      </c>
      <c r="D1627" t="s">
        <v>46</v>
      </c>
      <c r="E1627" s="16" t="s">
        <v>133</v>
      </c>
      <c r="F1627">
        <v>2028</v>
      </c>
      <c r="G1627" s="12">
        <v>507989.03030883003</v>
      </c>
      <c r="H1627" s="13">
        <v>0.99</v>
      </c>
      <c r="I1627" s="13">
        <v>0.97499999999999998</v>
      </c>
      <c r="J1627" s="13">
        <v>0</v>
      </c>
      <c r="K1627" s="13"/>
      <c r="L1627" s="13">
        <v>0.04</v>
      </c>
      <c r="M1627" s="13">
        <v>0.25</v>
      </c>
    </row>
    <row r="1628" spans="2:13" x14ac:dyDescent="0.25">
      <c r="B1628" s="14" t="s">
        <v>191</v>
      </c>
      <c r="C1628" s="14" t="s">
        <v>139</v>
      </c>
      <c r="D1628" t="s">
        <v>46</v>
      </c>
      <c r="E1628" s="16" t="s">
        <v>133</v>
      </c>
      <c r="F1628">
        <v>2029</v>
      </c>
      <c r="G1628" s="12">
        <v>504034.819072065</v>
      </c>
      <c r="H1628" s="13">
        <v>0.99</v>
      </c>
      <c r="I1628" s="13">
        <v>0.97499999999999998</v>
      </c>
      <c r="J1628" s="13">
        <v>0</v>
      </c>
      <c r="K1628" s="13"/>
      <c r="L1628" s="13">
        <v>0.04</v>
      </c>
      <c r="M1628" s="13">
        <v>0.25</v>
      </c>
    </row>
    <row r="1629" spans="2:13" x14ac:dyDescent="0.25">
      <c r="B1629" s="14" t="s">
        <v>191</v>
      </c>
      <c r="C1629" s="14" t="s">
        <v>139</v>
      </c>
      <c r="D1629" t="s">
        <v>46</v>
      </c>
      <c r="E1629" s="16" t="s">
        <v>133</v>
      </c>
      <c r="F1629">
        <v>2030</v>
      </c>
      <c r="G1629" s="12">
        <v>499290.54782558099</v>
      </c>
      <c r="H1629" s="13">
        <v>0.99</v>
      </c>
      <c r="I1629" s="13">
        <v>0.97499999999999998</v>
      </c>
      <c r="J1629" s="13">
        <v>0</v>
      </c>
      <c r="K1629" s="13"/>
      <c r="L1629" s="13">
        <v>0.04</v>
      </c>
      <c r="M1629" s="13">
        <v>0.25</v>
      </c>
    </row>
    <row r="1630" spans="2:13" x14ac:dyDescent="0.25">
      <c r="B1630" s="14" t="s">
        <v>191</v>
      </c>
      <c r="C1630" s="14" t="s">
        <v>101</v>
      </c>
      <c r="D1630" t="s">
        <v>46</v>
      </c>
      <c r="E1630" s="16" t="s">
        <v>133</v>
      </c>
      <c r="F1630">
        <v>2026</v>
      </c>
      <c r="G1630" s="12">
        <v>521114</v>
      </c>
      <c r="H1630" s="13">
        <v>0.95</v>
      </c>
      <c r="I1630" s="13"/>
      <c r="J1630" s="13"/>
      <c r="K1630" s="13"/>
      <c r="L1630" s="13">
        <v>0.1</v>
      </c>
      <c r="M1630" s="13">
        <v>0.25</v>
      </c>
    </row>
    <row r="1631" spans="2:13" x14ac:dyDescent="0.25">
      <c r="B1631" s="14" t="s">
        <v>191</v>
      </c>
      <c r="C1631" s="14" t="s">
        <v>101</v>
      </c>
      <c r="D1631" t="s">
        <v>46</v>
      </c>
      <c r="E1631" s="16" t="s">
        <v>133</v>
      </c>
      <c r="F1631">
        <v>2027</v>
      </c>
      <c r="G1631" s="12">
        <v>515474.00679348101</v>
      </c>
      <c r="H1631" s="13">
        <v>0.95660000000000001</v>
      </c>
      <c r="I1631" s="13"/>
      <c r="J1631" s="13"/>
      <c r="K1631" s="13"/>
      <c r="L1631" s="13">
        <v>0.1</v>
      </c>
      <c r="M1631" s="13">
        <v>0.25</v>
      </c>
    </row>
    <row r="1632" spans="2:13" x14ac:dyDescent="0.25">
      <c r="B1632" s="14" t="s">
        <v>191</v>
      </c>
      <c r="C1632" s="14" t="s">
        <v>101</v>
      </c>
      <c r="D1632" t="s">
        <v>46</v>
      </c>
      <c r="E1632" s="16" t="s">
        <v>133</v>
      </c>
      <c r="F1632">
        <v>2028</v>
      </c>
      <c r="G1632" s="12">
        <v>509895.05497784802</v>
      </c>
      <c r="H1632" s="13">
        <v>0.96319999999999995</v>
      </c>
      <c r="I1632" s="13"/>
      <c r="J1632" s="13"/>
      <c r="K1632" s="13"/>
      <c r="L1632" s="13">
        <v>0.1</v>
      </c>
      <c r="M1632" s="13">
        <v>0.25</v>
      </c>
    </row>
    <row r="1633" spans="2:13" x14ac:dyDescent="0.25">
      <c r="B1633" s="14" t="s">
        <v>191</v>
      </c>
      <c r="C1633" s="14" t="s">
        <v>101</v>
      </c>
      <c r="D1633" t="s">
        <v>46</v>
      </c>
      <c r="E1633" s="16" t="s">
        <v>133</v>
      </c>
      <c r="F1633">
        <v>2029</v>
      </c>
      <c r="G1633" s="12">
        <v>504376.483904892</v>
      </c>
      <c r="H1633" s="13">
        <v>0.9698</v>
      </c>
      <c r="I1633" s="13"/>
      <c r="J1633" s="13"/>
      <c r="K1633" s="13"/>
      <c r="L1633" s="13">
        <v>0.1</v>
      </c>
      <c r="M1633" s="13">
        <v>0.25</v>
      </c>
    </row>
    <row r="1634" spans="2:13" x14ac:dyDescent="0.25">
      <c r="B1634" s="15" t="s">
        <v>191</v>
      </c>
      <c r="C1634" s="14" t="s">
        <v>101</v>
      </c>
      <c r="D1634" t="s">
        <v>46</v>
      </c>
      <c r="E1634" s="16" t="s">
        <v>133</v>
      </c>
      <c r="F1634">
        <v>2030</v>
      </c>
      <c r="G1634" s="12">
        <v>498917.64007657103</v>
      </c>
      <c r="H1634" s="13">
        <v>0.97640000000000005</v>
      </c>
      <c r="I1634" s="13"/>
      <c r="J1634" s="13"/>
      <c r="K1634" s="13"/>
      <c r="L1634" s="13">
        <v>0.1</v>
      </c>
      <c r="M1634" s="13">
        <v>0.25</v>
      </c>
    </row>
    <row r="1635" spans="2:13" x14ac:dyDescent="0.25">
      <c r="B1635" s="14" t="s">
        <v>192</v>
      </c>
      <c r="C1635" s="14" t="s">
        <v>132</v>
      </c>
      <c r="D1635" t="s">
        <v>46</v>
      </c>
      <c r="E1635" s="16" t="s">
        <v>133</v>
      </c>
      <c r="F1635">
        <v>2026</v>
      </c>
      <c r="G1635" s="12">
        <v>7606676</v>
      </c>
      <c r="H1635" s="13">
        <v>0.89</v>
      </c>
      <c r="I1635" s="13">
        <v>0.85719999999999996</v>
      </c>
      <c r="J1635" s="13">
        <v>0.81</v>
      </c>
      <c r="K1635" s="13">
        <v>0</v>
      </c>
      <c r="L1635" s="13">
        <v>0.06</v>
      </c>
      <c r="M1635" s="13">
        <v>0.25</v>
      </c>
    </row>
    <row r="1636" spans="2:13" x14ac:dyDescent="0.25">
      <c r="B1636" s="14" t="s">
        <v>192</v>
      </c>
      <c r="C1636" s="14" t="s">
        <v>132</v>
      </c>
      <c r="D1636" t="s">
        <v>46</v>
      </c>
      <c r="E1636" s="16" t="s">
        <v>133</v>
      </c>
      <c r="F1636">
        <v>2027</v>
      </c>
      <c r="G1636" s="12">
        <v>7646347.2354552904</v>
      </c>
      <c r="H1636" s="13">
        <v>0.89659999999999995</v>
      </c>
      <c r="I1636" s="13">
        <v>0.86380000000000001</v>
      </c>
      <c r="J1636" s="13">
        <v>0.81659999999999999</v>
      </c>
      <c r="K1636" s="13">
        <v>0</v>
      </c>
      <c r="L1636" s="13">
        <v>0.06</v>
      </c>
      <c r="M1636" s="13">
        <v>0.25</v>
      </c>
    </row>
    <row r="1637" spans="2:13" x14ac:dyDescent="0.25">
      <c r="B1637" s="14" t="s">
        <v>192</v>
      </c>
      <c r="C1637" s="14" t="s">
        <v>132</v>
      </c>
      <c r="D1637" t="s">
        <v>46</v>
      </c>
      <c r="E1637" s="16" t="s">
        <v>133</v>
      </c>
      <c r="F1637">
        <v>2028</v>
      </c>
      <c r="G1637" s="12">
        <v>7708334.5387364002</v>
      </c>
      <c r="H1637" s="13">
        <v>0.6774</v>
      </c>
      <c r="I1637" s="13">
        <v>0.65280000000000005</v>
      </c>
      <c r="J1637" s="13">
        <v>0.61739999999999995</v>
      </c>
      <c r="K1637" s="13">
        <v>0</v>
      </c>
      <c r="L1637" s="13">
        <v>0.06</v>
      </c>
      <c r="M1637" s="13">
        <v>0.25</v>
      </c>
    </row>
    <row r="1638" spans="2:13" x14ac:dyDescent="0.25">
      <c r="B1638" s="14" t="s">
        <v>192</v>
      </c>
      <c r="C1638" s="14" t="s">
        <v>132</v>
      </c>
      <c r="D1638" t="s">
        <v>46</v>
      </c>
      <c r="E1638" s="16" t="s">
        <v>133</v>
      </c>
      <c r="F1638">
        <v>2029</v>
      </c>
      <c r="G1638" s="12">
        <v>7782929.3711372204</v>
      </c>
      <c r="H1638" s="13">
        <v>0</v>
      </c>
      <c r="I1638" s="13">
        <v>0</v>
      </c>
      <c r="J1638" s="13">
        <v>0</v>
      </c>
      <c r="K1638" s="13">
        <v>0</v>
      </c>
      <c r="L1638" s="13">
        <v>0.06</v>
      </c>
      <c r="M1638" s="13">
        <v>0.25</v>
      </c>
    </row>
    <row r="1639" spans="2:13" x14ac:dyDescent="0.25">
      <c r="B1639" s="14" t="s">
        <v>192</v>
      </c>
      <c r="C1639" s="14" t="s">
        <v>70</v>
      </c>
      <c r="D1639" t="s">
        <v>46</v>
      </c>
      <c r="E1639" s="16" t="s">
        <v>133</v>
      </c>
      <c r="F1639">
        <v>2026</v>
      </c>
      <c r="G1639" s="12">
        <v>7606676</v>
      </c>
      <c r="H1639" s="13">
        <v>0.84899999999999998</v>
      </c>
      <c r="I1639" s="13">
        <v>0.80900000000000005</v>
      </c>
      <c r="J1639" s="13">
        <v>0</v>
      </c>
      <c r="K1639" s="13">
        <v>0</v>
      </c>
      <c r="L1639" s="13">
        <v>0.2</v>
      </c>
      <c r="M1639" s="13">
        <v>0.25</v>
      </c>
    </row>
    <row r="1640" spans="2:13" x14ac:dyDescent="0.25">
      <c r="B1640" s="14" t="s">
        <v>192</v>
      </c>
      <c r="C1640" s="14" t="s">
        <v>70</v>
      </c>
      <c r="D1640" t="s">
        <v>46</v>
      </c>
      <c r="E1640" s="16" t="s">
        <v>133</v>
      </c>
      <c r="F1640">
        <v>2027</v>
      </c>
      <c r="G1640" s="12">
        <v>7646347.2354552904</v>
      </c>
      <c r="H1640" s="13">
        <v>0.85560000000000003</v>
      </c>
      <c r="I1640" s="13">
        <v>0.81559999999999999</v>
      </c>
      <c r="J1640" s="13">
        <v>6.6E-3</v>
      </c>
      <c r="K1640" s="13">
        <v>0</v>
      </c>
      <c r="L1640" s="13">
        <v>0.2</v>
      </c>
      <c r="M1640" s="13">
        <v>0.25</v>
      </c>
    </row>
    <row r="1641" spans="2:13" x14ac:dyDescent="0.25">
      <c r="B1641" s="14" t="s">
        <v>192</v>
      </c>
      <c r="C1641" s="14" t="s">
        <v>70</v>
      </c>
      <c r="D1641" t="s">
        <v>46</v>
      </c>
      <c r="E1641" s="16" t="s">
        <v>133</v>
      </c>
      <c r="F1641">
        <v>2028</v>
      </c>
      <c r="G1641" s="12">
        <v>7708334.5387364002</v>
      </c>
      <c r="H1641" s="13">
        <v>0.64664999999999995</v>
      </c>
      <c r="I1641" s="13">
        <v>0.61665000000000003</v>
      </c>
      <c r="J1641" s="13">
        <v>9.9000000000000008E-3</v>
      </c>
      <c r="K1641" s="13">
        <v>0</v>
      </c>
      <c r="L1641" s="13">
        <v>0.2</v>
      </c>
      <c r="M1641" s="13">
        <v>0.25</v>
      </c>
    </row>
    <row r="1642" spans="2:13" x14ac:dyDescent="0.25">
      <c r="B1642" s="14" t="s">
        <v>192</v>
      </c>
      <c r="C1642" s="14" t="s">
        <v>70</v>
      </c>
      <c r="D1642" t="s">
        <v>46</v>
      </c>
      <c r="E1642" s="16" t="s">
        <v>133</v>
      </c>
      <c r="F1642">
        <v>2029</v>
      </c>
      <c r="G1642" s="12">
        <v>7782929.3711372204</v>
      </c>
      <c r="H1642" s="13">
        <v>0</v>
      </c>
      <c r="I1642" s="13">
        <v>0</v>
      </c>
      <c r="J1642" s="13">
        <v>0</v>
      </c>
      <c r="K1642" s="13">
        <v>0</v>
      </c>
      <c r="L1642" s="13">
        <v>0.2</v>
      </c>
      <c r="M1642" s="13">
        <v>0.25</v>
      </c>
    </row>
    <row r="1643" spans="2:13" x14ac:dyDescent="0.25">
      <c r="B1643" s="14" t="s">
        <v>192</v>
      </c>
      <c r="C1643" s="14" t="s">
        <v>134</v>
      </c>
      <c r="D1643" t="s">
        <v>46</v>
      </c>
      <c r="E1643" s="16" t="s">
        <v>133</v>
      </c>
      <c r="F1643">
        <v>2027</v>
      </c>
      <c r="G1643" s="12">
        <v>7646347.2354552904</v>
      </c>
      <c r="H1643" s="13">
        <v>0</v>
      </c>
      <c r="I1643" s="13">
        <v>0</v>
      </c>
      <c r="J1643" s="13">
        <v>0</v>
      </c>
      <c r="K1643" s="13">
        <v>0</v>
      </c>
      <c r="L1643" s="13">
        <v>7.0000000000000007E-2</v>
      </c>
      <c r="M1643" s="13">
        <v>0.25</v>
      </c>
    </row>
    <row r="1644" spans="2:13" x14ac:dyDescent="0.25">
      <c r="B1644" s="14" t="s">
        <v>192</v>
      </c>
      <c r="C1644" s="14" t="s">
        <v>134</v>
      </c>
      <c r="D1644" t="s">
        <v>46</v>
      </c>
      <c r="E1644" s="16" t="s">
        <v>133</v>
      </c>
      <c r="F1644">
        <v>2028</v>
      </c>
      <c r="G1644" s="12">
        <v>7708334.5387364002</v>
      </c>
      <c r="H1644" s="13">
        <v>0.2258</v>
      </c>
      <c r="I1644" s="13">
        <v>0.21759999999999999</v>
      </c>
      <c r="J1644" s="13">
        <v>0.20580000000000001</v>
      </c>
      <c r="K1644" s="13">
        <v>0</v>
      </c>
      <c r="L1644" s="13">
        <v>7.0000000000000007E-2</v>
      </c>
      <c r="M1644" s="13">
        <v>0.25</v>
      </c>
    </row>
    <row r="1645" spans="2:13" x14ac:dyDescent="0.25">
      <c r="B1645" s="14" t="s">
        <v>192</v>
      </c>
      <c r="C1645" s="14" t="s">
        <v>134</v>
      </c>
      <c r="D1645" t="s">
        <v>46</v>
      </c>
      <c r="E1645" s="16" t="s">
        <v>133</v>
      </c>
      <c r="F1645">
        <v>2029</v>
      </c>
      <c r="G1645" s="12">
        <v>7782929.3711372204</v>
      </c>
      <c r="H1645" s="13">
        <v>0.90980000000000005</v>
      </c>
      <c r="I1645" s="13">
        <v>0.877</v>
      </c>
      <c r="J1645" s="13">
        <v>0.82979999999999998</v>
      </c>
      <c r="K1645" s="13">
        <v>0</v>
      </c>
      <c r="L1645" s="13">
        <v>7.0000000000000007E-2</v>
      </c>
      <c r="M1645" s="13">
        <v>0.25</v>
      </c>
    </row>
    <row r="1646" spans="2:13" x14ac:dyDescent="0.25">
      <c r="B1646" s="14" t="s">
        <v>192</v>
      </c>
      <c r="C1646" s="14" t="s">
        <v>134</v>
      </c>
      <c r="D1646" t="s">
        <v>46</v>
      </c>
      <c r="E1646" s="16" t="s">
        <v>133</v>
      </c>
      <c r="F1646">
        <v>2030</v>
      </c>
      <c r="G1646" s="12">
        <v>7858227.8530601403</v>
      </c>
      <c r="H1646" s="13">
        <v>0.91639999999999999</v>
      </c>
      <c r="I1646" s="13">
        <v>0.88360000000000005</v>
      </c>
      <c r="J1646" s="13">
        <v>0.83640000000000003</v>
      </c>
      <c r="K1646" s="13">
        <v>0</v>
      </c>
      <c r="L1646" s="13">
        <v>7.0000000000000007E-2</v>
      </c>
      <c r="M1646" s="13">
        <v>0.25</v>
      </c>
    </row>
    <row r="1647" spans="2:13" x14ac:dyDescent="0.25">
      <c r="B1647" s="14" t="s">
        <v>192</v>
      </c>
      <c r="C1647" s="14" t="s">
        <v>72</v>
      </c>
      <c r="D1647" t="s">
        <v>46</v>
      </c>
      <c r="E1647" s="16" t="s">
        <v>133</v>
      </c>
      <c r="F1647">
        <v>2026</v>
      </c>
      <c r="G1647" s="12">
        <v>7606676</v>
      </c>
      <c r="H1647" s="13">
        <v>0.85599999999999998</v>
      </c>
      <c r="I1647" s="13">
        <v>0.82320000000000004</v>
      </c>
      <c r="J1647" s="13">
        <v>0.77600000000000002</v>
      </c>
      <c r="K1647" s="13"/>
      <c r="L1647" s="13">
        <v>0.1</v>
      </c>
      <c r="M1647" s="13">
        <v>0.25</v>
      </c>
    </row>
    <row r="1648" spans="2:13" x14ac:dyDescent="0.25">
      <c r="B1648" s="14" t="s">
        <v>192</v>
      </c>
      <c r="C1648" s="14" t="s">
        <v>72</v>
      </c>
      <c r="D1648" t="s">
        <v>46</v>
      </c>
      <c r="E1648" s="16" t="s">
        <v>133</v>
      </c>
      <c r="F1648">
        <v>2027</v>
      </c>
      <c r="G1648" s="12">
        <v>7646347.2354552904</v>
      </c>
      <c r="H1648" s="13">
        <v>0.86660000000000004</v>
      </c>
      <c r="I1648" s="13">
        <v>0.83379999999999999</v>
      </c>
      <c r="J1648" s="13">
        <v>0.78659999999999997</v>
      </c>
      <c r="K1648" s="13"/>
      <c r="L1648" s="13">
        <v>0.1</v>
      </c>
      <c r="M1648" s="13">
        <v>0.25</v>
      </c>
    </row>
    <row r="1649" spans="2:13" x14ac:dyDescent="0.25">
      <c r="B1649" s="14" t="s">
        <v>192</v>
      </c>
      <c r="C1649" s="14" t="s">
        <v>72</v>
      </c>
      <c r="D1649" t="s">
        <v>46</v>
      </c>
      <c r="E1649" s="16" t="s">
        <v>133</v>
      </c>
      <c r="F1649">
        <v>2028</v>
      </c>
      <c r="G1649" s="12">
        <v>7708334.5387364002</v>
      </c>
      <c r="H1649" s="13">
        <v>0.87319999999999998</v>
      </c>
      <c r="I1649" s="13">
        <v>0.84040000000000004</v>
      </c>
      <c r="J1649" s="13">
        <v>0.79320000000000002</v>
      </c>
      <c r="K1649" s="13"/>
      <c r="L1649" s="13">
        <v>0.1</v>
      </c>
      <c r="M1649" s="13">
        <v>0.25</v>
      </c>
    </row>
    <row r="1650" spans="2:13" x14ac:dyDescent="0.25">
      <c r="B1650" s="14" t="s">
        <v>192</v>
      </c>
      <c r="C1650" s="14" t="s">
        <v>72</v>
      </c>
      <c r="D1650" t="s">
        <v>46</v>
      </c>
      <c r="E1650" s="16" t="s">
        <v>133</v>
      </c>
      <c r="F1650">
        <v>2029</v>
      </c>
      <c r="G1650" s="12">
        <v>7782929.3711372204</v>
      </c>
      <c r="H1650" s="13">
        <v>0.87980000000000003</v>
      </c>
      <c r="I1650" s="13">
        <v>0.84699999999999998</v>
      </c>
      <c r="J1650" s="13">
        <v>0.79979999999999996</v>
      </c>
      <c r="K1650" s="13"/>
      <c r="L1650" s="13">
        <v>0.1</v>
      </c>
      <c r="M1650" s="13">
        <v>0.25</v>
      </c>
    </row>
    <row r="1651" spans="2:13" x14ac:dyDescent="0.25">
      <c r="B1651" s="14" t="s">
        <v>192</v>
      </c>
      <c r="C1651" s="14" t="s">
        <v>72</v>
      </c>
      <c r="D1651" t="s">
        <v>46</v>
      </c>
      <c r="E1651" s="16" t="s">
        <v>133</v>
      </c>
      <c r="F1651">
        <v>2030</v>
      </c>
      <c r="G1651" s="12">
        <v>7858227.8530601403</v>
      </c>
      <c r="H1651" s="13">
        <v>0.88639999999999997</v>
      </c>
      <c r="I1651" s="13">
        <v>0.85360000000000003</v>
      </c>
      <c r="J1651" s="13">
        <v>0.80640000000000001</v>
      </c>
      <c r="K1651" s="13"/>
      <c r="L1651" s="13">
        <v>0.1</v>
      </c>
      <c r="M1651" s="13">
        <v>0.25</v>
      </c>
    </row>
    <row r="1652" spans="2:13" x14ac:dyDescent="0.25">
      <c r="B1652" s="14" t="s">
        <v>192</v>
      </c>
      <c r="C1652" s="14" t="s">
        <v>15</v>
      </c>
      <c r="D1652" t="s">
        <v>136</v>
      </c>
      <c r="E1652" s="16" t="s">
        <v>133</v>
      </c>
      <c r="F1652">
        <v>2026</v>
      </c>
      <c r="G1652" s="12">
        <v>2712397.86</v>
      </c>
      <c r="H1652" s="13">
        <v>0.14399999999999999</v>
      </c>
      <c r="I1652" s="13"/>
      <c r="J1652" s="13"/>
      <c r="K1652" s="13"/>
      <c r="L1652" s="13">
        <v>0.05</v>
      </c>
      <c r="M1652" s="13">
        <v>0.25</v>
      </c>
    </row>
    <row r="1653" spans="2:13" x14ac:dyDescent="0.25">
      <c r="B1653" s="14" t="s">
        <v>192</v>
      </c>
      <c r="C1653" s="14" t="s">
        <v>15</v>
      </c>
      <c r="D1653" t="s">
        <v>136</v>
      </c>
      <c r="E1653" s="16" t="s">
        <v>133</v>
      </c>
      <c r="F1653">
        <v>2027</v>
      </c>
      <c r="G1653" s="12">
        <v>1158334.5077492299</v>
      </c>
      <c r="H1653" s="13">
        <v>6.1495465499999999E-2</v>
      </c>
      <c r="I1653" s="13"/>
      <c r="J1653" s="13"/>
      <c r="K1653" s="13"/>
      <c r="L1653" s="13">
        <v>0.05</v>
      </c>
      <c r="M1653" s="13">
        <v>0.25</v>
      </c>
    </row>
    <row r="1654" spans="2:13" x14ac:dyDescent="0.25">
      <c r="B1654" s="14" t="s">
        <v>192</v>
      </c>
      <c r="C1654" s="14" t="s">
        <v>15</v>
      </c>
      <c r="D1654" t="s">
        <v>46</v>
      </c>
      <c r="E1654" s="16" t="s">
        <v>133</v>
      </c>
      <c r="F1654">
        <v>2026</v>
      </c>
      <c r="G1654" s="12">
        <v>2569460</v>
      </c>
      <c r="H1654" s="13">
        <v>0.63700000000000001</v>
      </c>
      <c r="I1654" s="13"/>
      <c r="J1654" s="13"/>
      <c r="K1654" s="13"/>
      <c r="L1654" s="13">
        <v>0.05</v>
      </c>
      <c r="M1654" s="13">
        <v>0.25</v>
      </c>
    </row>
    <row r="1655" spans="2:13" x14ac:dyDescent="0.25">
      <c r="B1655" s="14" t="s">
        <v>192</v>
      </c>
      <c r="C1655" s="14" t="s">
        <v>15</v>
      </c>
      <c r="D1655" t="s">
        <v>46</v>
      </c>
      <c r="E1655" s="16" t="s">
        <v>133</v>
      </c>
      <c r="F1655">
        <v>2027</v>
      </c>
      <c r="G1655" s="12">
        <v>2779142</v>
      </c>
      <c r="H1655" s="13">
        <v>0.7</v>
      </c>
      <c r="I1655" s="13"/>
      <c r="J1655" s="13"/>
      <c r="K1655" s="13"/>
      <c r="L1655" s="13">
        <v>0.05</v>
      </c>
      <c r="M1655" s="13">
        <v>0.25</v>
      </c>
    </row>
    <row r="1656" spans="2:13" x14ac:dyDescent="0.25">
      <c r="B1656" s="14" t="s">
        <v>192</v>
      </c>
      <c r="C1656" s="14" t="s">
        <v>15</v>
      </c>
      <c r="D1656" t="s">
        <v>46</v>
      </c>
      <c r="E1656" s="16" t="s">
        <v>133</v>
      </c>
      <c r="F1656">
        <v>2028</v>
      </c>
      <c r="G1656" s="12">
        <v>2796842</v>
      </c>
      <c r="H1656" s="13">
        <v>0.7</v>
      </c>
      <c r="I1656" s="13"/>
      <c r="J1656" s="13"/>
      <c r="K1656" s="13"/>
      <c r="L1656" s="13">
        <v>0.05</v>
      </c>
      <c r="M1656" s="13">
        <v>0.25</v>
      </c>
    </row>
    <row r="1657" spans="2:13" x14ac:dyDescent="0.25">
      <c r="B1657" s="14" t="s">
        <v>192</v>
      </c>
      <c r="C1657" s="14" t="s">
        <v>15</v>
      </c>
      <c r="D1657" t="s">
        <v>46</v>
      </c>
      <c r="E1657" s="16" t="s">
        <v>133</v>
      </c>
      <c r="F1657">
        <v>2029</v>
      </c>
      <c r="G1657" s="12">
        <v>2817611</v>
      </c>
      <c r="H1657" s="13">
        <v>0.7</v>
      </c>
      <c r="I1657" s="13"/>
      <c r="J1657" s="13"/>
      <c r="K1657" s="13"/>
      <c r="L1657" s="13">
        <v>0.05</v>
      </c>
      <c r="M1657" s="13">
        <v>0.25</v>
      </c>
    </row>
    <row r="1658" spans="2:13" x14ac:dyDescent="0.25">
      <c r="B1658" s="14" t="s">
        <v>192</v>
      </c>
      <c r="C1658" s="14" t="s">
        <v>15</v>
      </c>
      <c r="D1658" t="s">
        <v>46</v>
      </c>
      <c r="E1658" s="16" t="s">
        <v>133</v>
      </c>
      <c r="F1658">
        <v>2030</v>
      </c>
      <c r="G1658" s="12">
        <v>2844022</v>
      </c>
      <c r="H1658" s="13">
        <v>0.7</v>
      </c>
      <c r="I1658" s="13"/>
      <c r="J1658" s="13"/>
      <c r="K1658" s="13"/>
      <c r="L1658" s="13">
        <v>0.05</v>
      </c>
      <c r="M1658" s="13">
        <v>0.25</v>
      </c>
    </row>
    <row r="1659" spans="2:13" x14ac:dyDescent="0.25">
      <c r="B1659" s="14" t="s">
        <v>192</v>
      </c>
      <c r="C1659" s="14" t="s">
        <v>52</v>
      </c>
      <c r="D1659" t="s">
        <v>141</v>
      </c>
      <c r="E1659" s="16" t="s">
        <v>133</v>
      </c>
      <c r="F1659">
        <v>2029</v>
      </c>
      <c r="G1659" s="12">
        <v>29275198.3125</v>
      </c>
      <c r="H1659" s="13">
        <v>0.85</v>
      </c>
      <c r="I1659" s="13"/>
      <c r="J1659" s="13"/>
      <c r="K1659" s="13"/>
      <c r="L1659" s="13"/>
      <c r="M1659" s="13"/>
    </row>
    <row r="1660" spans="2:13" x14ac:dyDescent="0.25">
      <c r="B1660" s="14" t="s">
        <v>192</v>
      </c>
      <c r="C1660" s="14" t="s">
        <v>52</v>
      </c>
      <c r="D1660" t="s">
        <v>138</v>
      </c>
      <c r="E1660" s="16" t="s">
        <v>133</v>
      </c>
      <c r="F1660">
        <v>2026</v>
      </c>
      <c r="G1660" s="12">
        <v>7606676</v>
      </c>
      <c r="H1660" s="13">
        <v>0.86799999999999999</v>
      </c>
      <c r="I1660" s="13">
        <v>0.85697999999999996</v>
      </c>
      <c r="J1660" s="13"/>
      <c r="K1660" s="13"/>
      <c r="L1660" s="13"/>
      <c r="M1660" s="13"/>
    </row>
    <row r="1661" spans="2:13" x14ac:dyDescent="0.25">
      <c r="B1661" s="14" t="s">
        <v>192</v>
      </c>
      <c r="C1661" s="14" t="s">
        <v>52</v>
      </c>
      <c r="D1661" t="s">
        <v>138</v>
      </c>
      <c r="E1661" s="16" t="s">
        <v>133</v>
      </c>
      <c r="F1661">
        <v>2027</v>
      </c>
      <c r="G1661" s="12">
        <v>7735609</v>
      </c>
      <c r="H1661" s="13">
        <v>0.874</v>
      </c>
      <c r="I1661" s="13">
        <v>0.86919299999999999</v>
      </c>
      <c r="J1661" s="13"/>
      <c r="K1661" s="13"/>
      <c r="L1661" s="13"/>
      <c r="M1661" s="13"/>
    </row>
    <row r="1662" spans="2:13" x14ac:dyDescent="0.25">
      <c r="B1662" s="14" t="s">
        <v>192</v>
      </c>
      <c r="C1662" s="14" t="s">
        <v>52</v>
      </c>
      <c r="D1662" t="s">
        <v>138</v>
      </c>
      <c r="E1662" s="16" t="s">
        <v>133</v>
      </c>
      <c r="F1662">
        <v>2028</v>
      </c>
      <c r="G1662" s="12">
        <v>7798320</v>
      </c>
      <c r="H1662" s="13">
        <v>0.874</v>
      </c>
      <c r="I1662" s="13">
        <v>0.87602400000000002</v>
      </c>
      <c r="J1662" s="13"/>
      <c r="K1662" s="13"/>
      <c r="L1662" s="13"/>
      <c r="M1662" s="13"/>
    </row>
    <row r="1663" spans="2:13" x14ac:dyDescent="0.25">
      <c r="B1663" s="14" t="s">
        <v>192</v>
      </c>
      <c r="C1663" s="14" t="s">
        <v>52</v>
      </c>
      <c r="D1663" t="s">
        <v>138</v>
      </c>
      <c r="E1663" s="16" t="s">
        <v>133</v>
      </c>
      <c r="F1663">
        <v>2029</v>
      </c>
      <c r="G1663" s="12">
        <v>7873786</v>
      </c>
      <c r="H1663" s="13">
        <v>0.874</v>
      </c>
      <c r="I1663" s="13">
        <v>0.88285499999999995</v>
      </c>
      <c r="J1663" s="13"/>
      <c r="K1663" s="13"/>
      <c r="L1663" s="13"/>
      <c r="M1663" s="13"/>
    </row>
    <row r="1664" spans="2:13" x14ac:dyDescent="0.25">
      <c r="B1664" s="14" t="s">
        <v>192</v>
      </c>
      <c r="C1664" s="14" t="s">
        <v>52</v>
      </c>
      <c r="D1664" t="s">
        <v>138</v>
      </c>
      <c r="E1664" s="16" t="s">
        <v>133</v>
      </c>
      <c r="F1664">
        <v>2030</v>
      </c>
      <c r="G1664" s="12">
        <v>7949963</v>
      </c>
      <c r="H1664" s="13">
        <v>0.874</v>
      </c>
      <c r="I1664" s="13">
        <v>0.88968599999999998</v>
      </c>
      <c r="J1664" s="13"/>
      <c r="K1664" s="13"/>
      <c r="L1664" s="13"/>
      <c r="M1664" s="13"/>
    </row>
    <row r="1665" spans="2:13" x14ac:dyDescent="0.25">
      <c r="B1665" s="14" t="s">
        <v>192</v>
      </c>
      <c r="C1665" s="14" t="s">
        <v>139</v>
      </c>
      <c r="D1665" t="s">
        <v>46</v>
      </c>
      <c r="E1665" s="16" t="s">
        <v>133</v>
      </c>
      <c r="F1665">
        <v>2026</v>
      </c>
      <c r="G1665" s="12">
        <v>7606676</v>
      </c>
      <c r="H1665" s="13">
        <v>0.88500000000000001</v>
      </c>
      <c r="I1665" s="13">
        <v>0.84499999999999997</v>
      </c>
      <c r="J1665" s="13">
        <v>0</v>
      </c>
      <c r="K1665" s="13"/>
      <c r="L1665" s="13">
        <v>0.05</v>
      </c>
      <c r="M1665" s="13">
        <v>0.25</v>
      </c>
    </row>
    <row r="1666" spans="2:13" x14ac:dyDescent="0.25">
      <c r="B1666" s="14" t="s">
        <v>192</v>
      </c>
      <c r="C1666" s="14" t="s">
        <v>139</v>
      </c>
      <c r="D1666" t="s">
        <v>46</v>
      </c>
      <c r="E1666" s="16" t="s">
        <v>133</v>
      </c>
      <c r="F1666">
        <v>2027</v>
      </c>
      <c r="G1666" s="12">
        <v>7646347.2354552904</v>
      </c>
      <c r="H1666" s="13">
        <v>0.89659999999999995</v>
      </c>
      <c r="I1666" s="13">
        <v>0.84660000000000002</v>
      </c>
      <c r="J1666" s="13">
        <v>0</v>
      </c>
      <c r="K1666" s="13"/>
      <c r="L1666" s="13">
        <v>0.05</v>
      </c>
      <c r="M1666" s="13">
        <v>0.25</v>
      </c>
    </row>
    <row r="1667" spans="2:13" x14ac:dyDescent="0.25">
      <c r="B1667" s="14" t="s">
        <v>192</v>
      </c>
      <c r="C1667" s="14" t="s">
        <v>139</v>
      </c>
      <c r="D1667" t="s">
        <v>46</v>
      </c>
      <c r="E1667" s="16" t="s">
        <v>133</v>
      </c>
      <c r="F1667">
        <v>2028</v>
      </c>
      <c r="G1667" s="12">
        <v>7708334.5387364002</v>
      </c>
      <c r="H1667" s="13">
        <v>0.9032</v>
      </c>
      <c r="I1667" s="13">
        <v>0.85319999999999996</v>
      </c>
      <c r="J1667" s="13">
        <v>0</v>
      </c>
      <c r="K1667" s="13"/>
      <c r="L1667" s="13">
        <v>0.05</v>
      </c>
      <c r="M1667" s="13">
        <v>0.25</v>
      </c>
    </row>
    <row r="1668" spans="2:13" x14ac:dyDescent="0.25">
      <c r="B1668" s="14" t="s">
        <v>192</v>
      </c>
      <c r="C1668" s="14" t="s">
        <v>139</v>
      </c>
      <c r="D1668" t="s">
        <v>46</v>
      </c>
      <c r="E1668" s="16" t="s">
        <v>133</v>
      </c>
      <c r="F1668">
        <v>2029</v>
      </c>
      <c r="G1668" s="12">
        <v>7782929.3711372204</v>
      </c>
      <c r="H1668" s="13">
        <v>0.90980000000000005</v>
      </c>
      <c r="I1668" s="13">
        <v>0.85980000000000001</v>
      </c>
      <c r="J1668" s="13">
        <v>0</v>
      </c>
      <c r="K1668" s="13"/>
      <c r="L1668" s="13">
        <v>0.05</v>
      </c>
      <c r="M1668" s="13">
        <v>0.25</v>
      </c>
    </row>
    <row r="1669" spans="2:13" x14ac:dyDescent="0.25">
      <c r="B1669" s="14" t="s">
        <v>192</v>
      </c>
      <c r="C1669" s="14" t="s">
        <v>139</v>
      </c>
      <c r="D1669" t="s">
        <v>46</v>
      </c>
      <c r="E1669" s="16" t="s">
        <v>133</v>
      </c>
      <c r="F1669">
        <v>2030</v>
      </c>
      <c r="G1669" s="12">
        <v>7858227.8530601403</v>
      </c>
      <c r="H1669" s="13">
        <v>0.91639999999999999</v>
      </c>
      <c r="I1669" s="13">
        <v>0.86639999999999995</v>
      </c>
      <c r="J1669" s="13">
        <v>0</v>
      </c>
      <c r="K1669" s="13"/>
      <c r="L1669" s="13">
        <v>0.05</v>
      </c>
      <c r="M1669" s="13">
        <v>0.25</v>
      </c>
    </row>
    <row r="1670" spans="2:13" x14ac:dyDescent="0.25">
      <c r="B1670" s="14" t="s">
        <v>192</v>
      </c>
      <c r="C1670" s="14" t="s">
        <v>101</v>
      </c>
      <c r="D1670" t="s">
        <v>46</v>
      </c>
      <c r="E1670" s="16" t="s">
        <v>133</v>
      </c>
      <c r="F1670">
        <v>2026</v>
      </c>
      <c r="G1670" s="12">
        <v>7606676</v>
      </c>
      <c r="H1670" s="13">
        <v>0.78500000000000003</v>
      </c>
      <c r="I1670" s="13"/>
      <c r="J1670" s="13"/>
      <c r="K1670" s="13"/>
      <c r="L1670" s="13">
        <v>0.1</v>
      </c>
      <c r="M1670" s="13"/>
    </row>
    <row r="1671" spans="2:13" x14ac:dyDescent="0.25">
      <c r="B1671" s="14" t="s">
        <v>192</v>
      </c>
      <c r="C1671" s="14" t="s">
        <v>101</v>
      </c>
      <c r="D1671" t="s">
        <v>46</v>
      </c>
      <c r="E1671" s="16" t="s">
        <v>133</v>
      </c>
      <c r="F1671">
        <v>2027</v>
      </c>
      <c r="G1671" s="12">
        <v>7656228.5634799805</v>
      </c>
      <c r="H1671" s="13">
        <v>0.79159999999999997</v>
      </c>
      <c r="I1671" s="13"/>
      <c r="J1671" s="13"/>
      <c r="K1671" s="13"/>
      <c r="L1671" s="13">
        <v>0.1</v>
      </c>
      <c r="M1671" s="13"/>
    </row>
    <row r="1672" spans="2:13" x14ac:dyDescent="0.25">
      <c r="B1672" s="14" t="s">
        <v>192</v>
      </c>
      <c r="C1672" s="14" t="s">
        <v>101</v>
      </c>
      <c r="D1672" t="s">
        <v>46</v>
      </c>
      <c r="E1672" s="16" t="s">
        <v>133</v>
      </c>
      <c r="F1672">
        <v>2028</v>
      </c>
      <c r="G1672" s="12">
        <v>7706103.9297909802</v>
      </c>
      <c r="H1672" s="13">
        <v>0.79820000000000002</v>
      </c>
      <c r="I1672" s="13"/>
      <c r="J1672" s="13"/>
      <c r="K1672" s="13"/>
      <c r="L1672" s="13">
        <v>0.1</v>
      </c>
      <c r="M1672" s="13"/>
    </row>
    <row r="1673" spans="2:13" x14ac:dyDescent="0.25">
      <c r="B1673" s="14" t="s">
        <v>192</v>
      </c>
      <c r="C1673" s="14" t="s">
        <v>101</v>
      </c>
      <c r="D1673" t="s">
        <v>46</v>
      </c>
      <c r="E1673" s="16" t="s">
        <v>133</v>
      </c>
      <c r="F1673">
        <v>2029</v>
      </c>
      <c r="G1673" s="12">
        <v>7756304.2017842103</v>
      </c>
      <c r="H1673" s="13">
        <v>0.80479999999999996</v>
      </c>
      <c r="I1673" s="13"/>
      <c r="J1673" s="13"/>
      <c r="K1673" s="13"/>
      <c r="L1673" s="13">
        <v>0.1</v>
      </c>
      <c r="M1673" s="13"/>
    </row>
    <row r="1674" spans="2:13" x14ac:dyDescent="0.25">
      <c r="B1674" s="15" t="s">
        <v>192</v>
      </c>
      <c r="C1674" s="14" t="s">
        <v>101</v>
      </c>
      <c r="D1674" t="s">
        <v>46</v>
      </c>
      <c r="E1674" s="16" t="s">
        <v>133</v>
      </c>
      <c r="F1674">
        <v>2030</v>
      </c>
      <c r="G1674" s="12">
        <v>7806831.4960095603</v>
      </c>
      <c r="H1674" s="13">
        <v>0.81140000000000001</v>
      </c>
      <c r="I1674" s="13"/>
      <c r="J1674" s="13"/>
      <c r="K1674" s="13"/>
      <c r="L1674" s="13">
        <v>0.1</v>
      </c>
      <c r="M1674" s="13"/>
    </row>
    <row r="1675" spans="2:13" x14ac:dyDescent="0.25">
      <c r="B1675" s="14" t="s">
        <v>193</v>
      </c>
      <c r="C1675" s="14" t="s">
        <v>132</v>
      </c>
      <c r="D1675" t="s">
        <v>46</v>
      </c>
      <c r="E1675" s="16" t="s">
        <v>133</v>
      </c>
      <c r="F1675">
        <v>2026</v>
      </c>
      <c r="G1675" s="12">
        <v>350751</v>
      </c>
      <c r="H1675" s="13">
        <v>0.75</v>
      </c>
      <c r="I1675" s="13">
        <v>0.75</v>
      </c>
      <c r="J1675" s="13">
        <v>0.75</v>
      </c>
      <c r="K1675" s="13">
        <v>0</v>
      </c>
      <c r="L1675" s="13">
        <v>7.0000000000000007E-2</v>
      </c>
      <c r="M1675" s="13">
        <v>0.25</v>
      </c>
    </row>
    <row r="1676" spans="2:13" x14ac:dyDescent="0.25">
      <c r="B1676" s="14" t="s">
        <v>193</v>
      </c>
      <c r="C1676" s="14" t="s">
        <v>132</v>
      </c>
      <c r="D1676" t="s">
        <v>46</v>
      </c>
      <c r="E1676" s="16" t="s">
        <v>133</v>
      </c>
      <c r="F1676">
        <v>2027</v>
      </c>
      <c r="G1676" s="12">
        <v>351558.55963225901</v>
      </c>
      <c r="H1676" s="13">
        <v>0.75660000000000005</v>
      </c>
      <c r="I1676" s="13">
        <v>0.75660000000000005</v>
      </c>
      <c r="J1676" s="13">
        <v>0.75660000000000005</v>
      </c>
      <c r="K1676" s="13">
        <v>0</v>
      </c>
      <c r="L1676" s="13">
        <v>0.04</v>
      </c>
      <c r="M1676" s="13">
        <v>0.25</v>
      </c>
    </row>
    <row r="1677" spans="2:13" x14ac:dyDescent="0.25">
      <c r="B1677" s="14" t="s">
        <v>193</v>
      </c>
      <c r="C1677" s="14" t="s">
        <v>132</v>
      </c>
      <c r="D1677" t="s">
        <v>46</v>
      </c>
      <c r="E1677" s="16" t="s">
        <v>133</v>
      </c>
      <c r="F1677">
        <v>2028</v>
      </c>
      <c r="G1677" s="12">
        <v>352584.45427774498</v>
      </c>
      <c r="H1677" s="13">
        <v>0.76319999999999999</v>
      </c>
      <c r="I1677" s="13">
        <v>0.76319999999999999</v>
      </c>
      <c r="J1677" s="13">
        <v>0.76319999999999999</v>
      </c>
      <c r="K1677" s="13">
        <v>0</v>
      </c>
      <c r="L1677" s="13">
        <v>0.04</v>
      </c>
      <c r="M1677" s="13">
        <v>0.25</v>
      </c>
    </row>
    <row r="1678" spans="2:13" x14ac:dyDescent="0.25">
      <c r="B1678" s="14" t="s">
        <v>193</v>
      </c>
      <c r="C1678" s="14" t="s">
        <v>132</v>
      </c>
      <c r="D1678" t="s">
        <v>46</v>
      </c>
      <c r="E1678" s="16" t="s">
        <v>133</v>
      </c>
      <c r="F1678">
        <v>2029</v>
      </c>
      <c r="G1678" s="12">
        <v>353008.52805343701</v>
      </c>
      <c r="H1678" s="13">
        <v>0.76980000000000004</v>
      </c>
      <c r="I1678" s="13">
        <v>0.76980000000000004</v>
      </c>
      <c r="J1678" s="13">
        <v>0.76980000000000004</v>
      </c>
      <c r="K1678" s="13">
        <v>0</v>
      </c>
      <c r="L1678" s="13">
        <v>0.04</v>
      </c>
      <c r="M1678" s="13">
        <v>0.25</v>
      </c>
    </row>
    <row r="1679" spans="2:13" x14ac:dyDescent="0.25">
      <c r="B1679" s="14" t="s">
        <v>193</v>
      </c>
      <c r="C1679" s="14" t="s">
        <v>132</v>
      </c>
      <c r="D1679" t="s">
        <v>46</v>
      </c>
      <c r="E1679" s="16" t="s">
        <v>133</v>
      </c>
      <c r="F1679">
        <v>2030</v>
      </c>
      <c r="G1679" s="12">
        <v>353736.31143086299</v>
      </c>
      <c r="H1679" s="13">
        <v>0.77639999999999998</v>
      </c>
      <c r="I1679" s="13">
        <v>0.77639999999999998</v>
      </c>
      <c r="J1679" s="13">
        <v>0.77639999999999998</v>
      </c>
      <c r="K1679" s="13">
        <v>0</v>
      </c>
      <c r="L1679" s="13">
        <v>0.04</v>
      </c>
      <c r="M1679" s="13">
        <v>0.25</v>
      </c>
    </row>
    <row r="1680" spans="2:13" x14ac:dyDescent="0.25">
      <c r="B1680" s="14" t="s">
        <v>193</v>
      </c>
      <c r="C1680" s="14" t="s">
        <v>70</v>
      </c>
      <c r="D1680" t="s">
        <v>46</v>
      </c>
      <c r="E1680" s="16" t="s">
        <v>133</v>
      </c>
      <c r="F1680">
        <v>2026</v>
      </c>
      <c r="G1680" s="12">
        <v>350751</v>
      </c>
      <c r="H1680" s="13">
        <v>0.7</v>
      </c>
      <c r="I1680" s="13">
        <v>0.4</v>
      </c>
      <c r="J1680" s="13">
        <v>0</v>
      </c>
      <c r="K1680" s="13">
        <v>0</v>
      </c>
      <c r="L1680" s="13">
        <v>0.2</v>
      </c>
      <c r="M1680" s="13">
        <v>0.25</v>
      </c>
    </row>
    <row r="1681" spans="2:13" x14ac:dyDescent="0.25">
      <c r="B1681" s="14" t="s">
        <v>193</v>
      </c>
      <c r="C1681" s="14" t="s">
        <v>70</v>
      </c>
      <c r="D1681" t="s">
        <v>46</v>
      </c>
      <c r="E1681" s="16" t="s">
        <v>133</v>
      </c>
      <c r="F1681">
        <v>2027</v>
      </c>
      <c r="G1681" s="12">
        <v>351558.55963225901</v>
      </c>
      <c r="H1681" s="13">
        <v>0.70660000000000001</v>
      </c>
      <c r="I1681" s="13">
        <v>0.40660000000000002</v>
      </c>
      <c r="J1681" s="13">
        <v>6.6E-3</v>
      </c>
      <c r="K1681" s="13">
        <v>0</v>
      </c>
      <c r="L1681" s="13">
        <v>7.0000000000000007E-2</v>
      </c>
      <c r="M1681" s="13">
        <v>0.25</v>
      </c>
    </row>
    <row r="1682" spans="2:13" x14ac:dyDescent="0.25">
      <c r="B1682" s="14" t="s">
        <v>193</v>
      </c>
      <c r="C1682" s="14" t="s">
        <v>70</v>
      </c>
      <c r="D1682" t="s">
        <v>46</v>
      </c>
      <c r="E1682" s="16" t="s">
        <v>133</v>
      </c>
      <c r="F1682">
        <v>2028</v>
      </c>
      <c r="G1682" s="12">
        <v>352584.45427774498</v>
      </c>
      <c r="H1682" s="13">
        <v>0.71319999999999995</v>
      </c>
      <c r="I1682" s="13">
        <v>0.41320000000000001</v>
      </c>
      <c r="J1682" s="13">
        <v>1.32E-2</v>
      </c>
      <c r="K1682" s="13">
        <v>0</v>
      </c>
      <c r="L1682" s="13">
        <v>7.0000000000000007E-2</v>
      </c>
      <c r="M1682" s="13">
        <v>0.25</v>
      </c>
    </row>
    <row r="1683" spans="2:13" x14ac:dyDescent="0.25">
      <c r="B1683" s="14" t="s">
        <v>193</v>
      </c>
      <c r="C1683" s="14" t="s">
        <v>70</v>
      </c>
      <c r="D1683" t="s">
        <v>46</v>
      </c>
      <c r="E1683" s="16" t="s">
        <v>133</v>
      </c>
      <c r="F1683">
        <v>2029</v>
      </c>
      <c r="G1683" s="12">
        <v>353008.52805343701</v>
      </c>
      <c r="H1683" s="13">
        <v>0.7198</v>
      </c>
      <c r="I1683" s="13">
        <v>0.41980000000000001</v>
      </c>
      <c r="J1683" s="13">
        <v>1.9800000000000002E-2</v>
      </c>
      <c r="K1683" s="13">
        <v>0</v>
      </c>
      <c r="L1683" s="13">
        <v>7.0000000000000007E-2</v>
      </c>
      <c r="M1683" s="13">
        <v>0.25</v>
      </c>
    </row>
    <row r="1684" spans="2:13" x14ac:dyDescent="0.25">
      <c r="B1684" s="14" t="s">
        <v>193</v>
      </c>
      <c r="C1684" s="14" t="s">
        <v>70</v>
      </c>
      <c r="D1684" t="s">
        <v>46</v>
      </c>
      <c r="E1684" s="16" t="s">
        <v>133</v>
      </c>
      <c r="F1684">
        <v>2030</v>
      </c>
      <c r="G1684" s="12">
        <v>353736.31143086299</v>
      </c>
      <c r="H1684" s="13">
        <v>0.72640000000000005</v>
      </c>
      <c r="I1684" s="13">
        <v>0.4264</v>
      </c>
      <c r="J1684" s="13">
        <v>2.64E-2</v>
      </c>
      <c r="K1684" s="13">
        <v>0</v>
      </c>
      <c r="L1684" s="13">
        <v>7.0000000000000007E-2</v>
      </c>
      <c r="M1684" s="13">
        <v>0.25</v>
      </c>
    </row>
    <row r="1685" spans="2:13" x14ac:dyDescent="0.25">
      <c r="B1685" s="14" t="s">
        <v>193</v>
      </c>
      <c r="C1685" s="14" t="s">
        <v>72</v>
      </c>
      <c r="D1685" t="s">
        <v>46</v>
      </c>
      <c r="E1685" s="16" t="s">
        <v>133</v>
      </c>
      <c r="F1685">
        <v>2026</v>
      </c>
      <c r="G1685" s="12">
        <v>350751</v>
      </c>
      <c r="H1685" s="13">
        <v>0.75</v>
      </c>
      <c r="I1685" s="13">
        <v>0.75</v>
      </c>
      <c r="J1685" s="13">
        <v>0.75</v>
      </c>
      <c r="K1685" s="13"/>
      <c r="L1685" s="13">
        <v>7.0000000000000007E-2</v>
      </c>
      <c r="M1685" s="13">
        <v>0.25</v>
      </c>
    </row>
    <row r="1686" spans="2:13" x14ac:dyDescent="0.25">
      <c r="B1686" s="14" t="s">
        <v>193</v>
      </c>
      <c r="C1686" s="14" t="s">
        <v>72</v>
      </c>
      <c r="D1686" t="s">
        <v>46</v>
      </c>
      <c r="E1686" s="16" t="s">
        <v>133</v>
      </c>
      <c r="F1686">
        <v>2027</v>
      </c>
      <c r="G1686" s="12">
        <v>351558.55963225901</v>
      </c>
      <c r="H1686" s="13">
        <v>0.75660000000000005</v>
      </c>
      <c r="I1686" s="13">
        <v>0.75660000000000005</v>
      </c>
      <c r="J1686" s="13">
        <v>0.75660000000000005</v>
      </c>
      <c r="K1686" s="13"/>
      <c r="L1686" s="13">
        <v>0.04</v>
      </c>
      <c r="M1686" s="13">
        <v>0.25</v>
      </c>
    </row>
    <row r="1687" spans="2:13" x14ac:dyDescent="0.25">
      <c r="B1687" s="14" t="s">
        <v>193</v>
      </c>
      <c r="C1687" s="14" t="s">
        <v>72</v>
      </c>
      <c r="D1687" t="s">
        <v>46</v>
      </c>
      <c r="E1687" s="16" t="s">
        <v>133</v>
      </c>
      <c r="F1687">
        <v>2028</v>
      </c>
      <c r="G1687" s="12">
        <v>352584.45427774498</v>
      </c>
      <c r="H1687" s="13">
        <v>0.76319999999999999</v>
      </c>
      <c r="I1687" s="13">
        <v>0.76319999999999999</v>
      </c>
      <c r="J1687" s="13">
        <v>0.76319999999999999</v>
      </c>
      <c r="K1687" s="13"/>
      <c r="L1687" s="13">
        <v>0.04</v>
      </c>
      <c r="M1687" s="13">
        <v>0.25</v>
      </c>
    </row>
    <row r="1688" spans="2:13" x14ac:dyDescent="0.25">
      <c r="B1688" s="14" t="s">
        <v>193</v>
      </c>
      <c r="C1688" s="14" t="s">
        <v>72</v>
      </c>
      <c r="D1688" t="s">
        <v>46</v>
      </c>
      <c r="E1688" s="16" t="s">
        <v>133</v>
      </c>
      <c r="F1688">
        <v>2029</v>
      </c>
      <c r="G1688" s="12">
        <v>353008.52805343701</v>
      </c>
      <c r="H1688" s="13">
        <v>0.76980000000000004</v>
      </c>
      <c r="I1688" s="13">
        <v>0.76980000000000004</v>
      </c>
      <c r="J1688" s="13">
        <v>0.76980000000000004</v>
      </c>
      <c r="K1688" s="13"/>
      <c r="L1688" s="13">
        <v>0.04</v>
      </c>
      <c r="M1688" s="13">
        <v>0.25</v>
      </c>
    </row>
    <row r="1689" spans="2:13" x14ac:dyDescent="0.25">
      <c r="B1689" s="14" t="s">
        <v>193</v>
      </c>
      <c r="C1689" s="14" t="s">
        <v>72</v>
      </c>
      <c r="D1689" t="s">
        <v>46</v>
      </c>
      <c r="E1689" s="16" t="s">
        <v>133</v>
      </c>
      <c r="F1689">
        <v>2030</v>
      </c>
      <c r="G1689" s="12">
        <v>353736.31143086299</v>
      </c>
      <c r="H1689" s="13">
        <v>0.77639999999999998</v>
      </c>
      <c r="I1689" s="13">
        <v>0.77639999999999998</v>
      </c>
      <c r="J1689" s="13">
        <v>0.77639999999999998</v>
      </c>
      <c r="K1689" s="13"/>
      <c r="L1689" s="13">
        <v>0.04</v>
      </c>
      <c r="M1689" s="13">
        <v>0.25</v>
      </c>
    </row>
    <row r="1690" spans="2:13" x14ac:dyDescent="0.25">
      <c r="B1690" s="14" t="s">
        <v>193</v>
      </c>
      <c r="C1690" s="14" t="s">
        <v>15</v>
      </c>
      <c r="D1690" t="s">
        <v>136</v>
      </c>
      <c r="E1690" s="16" t="s">
        <v>133</v>
      </c>
      <c r="F1690">
        <v>2026</v>
      </c>
      <c r="G1690" s="12">
        <v>733383</v>
      </c>
      <c r="H1690" s="13">
        <v>0.8</v>
      </c>
      <c r="I1690" s="13"/>
      <c r="J1690" s="13"/>
      <c r="K1690" s="13"/>
      <c r="L1690" s="13">
        <v>0.05</v>
      </c>
      <c r="M1690" s="13">
        <v>0.25</v>
      </c>
    </row>
    <row r="1691" spans="2:13" x14ac:dyDescent="0.25">
      <c r="B1691" s="14" t="s">
        <v>193</v>
      </c>
      <c r="C1691" s="14" t="s">
        <v>15</v>
      </c>
      <c r="D1691" t="s">
        <v>136</v>
      </c>
      <c r="E1691" s="16" t="s">
        <v>133</v>
      </c>
      <c r="F1691">
        <v>2027</v>
      </c>
      <c r="G1691" s="12">
        <v>0</v>
      </c>
      <c r="H1691" s="13">
        <v>0</v>
      </c>
      <c r="I1691" s="13"/>
      <c r="J1691" s="13"/>
      <c r="K1691" s="13"/>
      <c r="L1691" s="13">
        <v>0.05</v>
      </c>
      <c r="M1691" s="13">
        <v>0.25</v>
      </c>
    </row>
    <row r="1692" spans="2:13" x14ac:dyDescent="0.25">
      <c r="B1692" s="14" t="s">
        <v>193</v>
      </c>
      <c r="C1692" s="14" t="s">
        <v>15</v>
      </c>
      <c r="D1692" t="s">
        <v>46</v>
      </c>
      <c r="E1692" s="16" t="s">
        <v>133</v>
      </c>
      <c r="F1692">
        <v>2026</v>
      </c>
      <c r="G1692" s="12">
        <v>158427</v>
      </c>
      <c r="H1692" s="13">
        <v>0.50319999999999998</v>
      </c>
      <c r="I1692" s="13"/>
      <c r="J1692" s="13"/>
      <c r="K1692" s="13"/>
      <c r="L1692" s="13">
        <v>0.05</v>
      </c>
      <c r="M1692" s="13">
        <v>0.25</v>
      </c>
    </row>
    <row r="1693" spans="2:13" x14ac:dyDescent="0.25">
      <c r="B1693" s="14" t="s">
        <v>193</v>
      </c>
      <c r="C1693" s="14" t="s">
        <v>15</v>
      </c>
      <c r="D1693" t="s">
        <v>46</v>
      </c>
      <c r="E1693" s="16" t="s">
        <v>133</v>
      </c>
      <c r="F1693">
        <v>2027</v>
      </c>
      <c r="G1693" s="12">
        <v>161279</v>
      </c>
      <c r="H1693" s="13">
        <v>0.50980000000000003</v>
      </c>
      <c r="I1693" s="13"/>
      <c r="J1693" s="13"/>
      <c r="K1693" s="13"/>
      <c r="L1693" s="13">
        <v>0.05</v>
      </c>
      <c r="M1693" s="13">
        <v>0.25</v>
      </c>
    </row>
    <row r="1694" spans="2:13" x14ac:dyDescent="0.25">
      <c r="B1694" s="14" t="s">
        <v>193</v>
      </c>
      <c r="C1694" s="14" t="s">
        <v>15</v>
      </c>
      <c r="D1694" t="s">
        <v>46</v>
      </c>
      <c r="E1694" s="16" t="s">
        <v>133</v>
      </c>
      <c r="F1694">
        <v>2028</v>
      </c>
      <c r="G1694" s="12">
        <v>162958</v>
      </c>
      <c r="H1694" s="13">
        <v>0.51639999999999997</v>
      </c>
      <c r="I1694" s="13"/>
      <c r="J1694" s="13"/>
      <c r="K1694" s="13"/>
      <c r="L1694" s="13">
        <v>0.05</v>
      </c>
      <c r="M1694" s="13">
        <v>0.25</v>
      </c>
    </row>
    <row r="1695" spans="2:13" x14ac:dyDescent="0.25">
      <c r="B1695" s="14" t="s">
        <v>193</v>
      </c>
      <c r="C1695" s="14" t="s">
        <v>15</v>
      </c>
      <c r="D1695" t="s">
        <v>46</v>
      </c>
      <c r="E1695" s="16" t="s">
        <v>133</v>
      </c>
      <c r="F1695">
        <v>2029</v>
      </c>
      <c r="G1695" s="12">
        <v>164403</v>
      </c>
      <c r="H1695" s="13">
        <v>0.52300000000000002</v>
      </c>
      <c r="I1695" s="13"/>
      <c r="J1695" s="13"/>
      <c r="K1695" s="13"/>
      <c r="L1695" s="13">
        <v>0.05</v>
      </c>
      <c r="M1695" s="13">
        <v>0.25</v>
      </c>
    </row>
    <row r="1696" spans="2:13" x14ac:dyDescent="0.25">
      <c r="B1696" s="14" t="s">
        <v>193</v>
      </c>
      <c r="C1696" s="14" t="s">
        <v>15</v>
      </c>
      <c r="D1696" t="s">
        <v>46</v>
      </c>
      <c r="E1696" s="16" t="s">
        <v>133</v>
      </c>
      <c r="F1696">
        <v>2030</v>
      </c>
      <c r="G1696" s="12">
        <v>165561</v>
      </c>
      <c r="H1696" s="13">
        <v>0.52959999999999996</v>
      </c>
      <c r="I1696" s="13"/>
      <c r="J1696" s="13"/>
      <c r="K1696" s="13"/>
      <c r="L1696" s="13">
        <v>0.05</v>
      </c>
      <c r="M1696" s="13">
        <v>0.25</v>
      </c>
    </row>
    <row r="1697" spans="2:13" x14ac:dyDescent="0.25">
      <c r="B1697" s="14" t="s">
        <v>193</v>
      </c>
      <c r="C1697" s="14" t="s">
        <v>52</v>
      </c>
      <c r="D1697" t="s">
        <v>141</v>
      </c>
      <c r="E1697" s="16" t="s">
        <v>133</v>
      </c>
      <c r="F1697">
        <v>2027</v>
      </c>
      <c r="G1697" s="12">
        <v>1242151.2449131301</v>
      </c>
      <c r="H1697" s="13">
        <v>0.85</v>
      </c>
      <c r="I1697" s="13"/>
      <c r="J1697" s="13"/>
      <c r="K1697" s="13"/>
      <c r="L1697" s="13"/>
      <c r="M1697" s="13"/>
    </row>
    <row r="1698" spans="2:13" x14ac:dyDescent="0.25">
      <c r="B1698" s="14" t="s">
        <v>193</v>
      </c>
      <c r="C1698" s="14" t="s">
        <v>52</v>
      </c>
      <c r="D1698" t="s">
        <v>141</v>
      </c>
      <c r="E1698" s="16" t="s">
        <v>133</v>
      </c>
      <c r="F1698">
        <v>2030</v>
      </c>
      <c r="G1698" s="12">
        <v>1120966.3125</v>
      </c>
      <c r="H1698" s="13">
        <v>0.85</v>
      </c>
      <c r="I1698" s="13"/>
      <c r="J1698" s="13"/>
      <c r="K1698" s="13"/>
      <c r="L1698" s="13"/>
      <c r="M1698" s="13"/>
    </row>
    <row r="1699" spans="2:13" x14ac:dyDescent="0.25">
      <c r="B1699" s="14" t="s">
        <v>193</v>
      </c>
      <c r="C1699" s="14" t="s">
        <v>52</v>
      </c>
      <c r="D1699" t="s">
        <v>138</v>
      </c>
      <c r="E1699" s="16" t="s">
        <v>133</v>
      </c>
      <c r="F1699">
        <v>2026</v>
      </c>
      <c r="G1699" s="12">
        <v>350751</v>
      </c>
      <c r="H1699" s="13">
        <v>0.75</v>
      </c>
      <c r="I1699" s="13">
        <v>0.75</v>
      </c>
      <c r="J1699" s="13"/>
      <c r="K1699" s="13"/>
      <c r="L1699" s="13"/>
      <c r="M1699" s="13"/>
    </row>
    <row r="1700" spans="2:13" x14ac:dyDescent="0.25">
      <c r="B1700" s="14" t="s">
        <v>193</v>
      </c>
      <c r="C1700" s="14" t="s">
        <v>52</v>
      </c>
      <c r="D1700" t="s">
        <v>138</v>
      </c>
      <c r="E1700" s="16" t="s">
        <v>133</v>
      </c>
      <c r="F1700">
        <v>2027</v>
      </c>
      <c r="G1700" s="12">
        <v>351558.55963225901</v>
      </c>
      <c r="H1700" s="13">
        <v>0.8</v>
      </c>
      <c r="I1700" s="13">
        <v>0.27979999999999999</v>
      </c>
      <c r="J1700" s="13"/>
      <c r="K1700" s="13"/>
      <c r="L1700" s="13"/>
      <c r="M1700" s="13"/>
    </row>
    <row r="1701" spans="2:13" x14ac:dyDescent="0.25">
      <c r="B1701" s="14" t="s">
        <v>193</v>
      </c>
      <c r="C1701" s="14" t="s">
        <v>52</v>
      </c>
      <c r="D1701" t="s">
        <v>138</v>
      </c>
      <c r="E1701" s="16" t="s">
        <v>133</v>
      </c>
      <c r="F1701">
        <v>2028</v>
      </c>
      <c r="G1701" s="12">
        <v>352584.45427774498</v>
      </c>
      <c r="H1701" s="13">
        <v>0.8</v>
      </c>
      <c r="I1701" s="13">
        <v>0.28639999999999999</v>
      </c>
      <c r="J1701" s="13"/>
      <c r="K1701" s="13"/>
      <c r="L1701" s="13"/>
      <c r="M1701" s="13"/>
    </row>
    <row r="1702" spans="2:13" x14ac:dyDescent="0.25">
      <c r="B1702" s="14" t="s">
        <v>193</v>
      </c>
      <c r="C1702" s="14" t="s">
        <v>52</v>
      </c>
      <c r="D1702" t="s">
        <v>138</v>
      </c>
      <c r="E1702" s="16" t="s">
        <v>133</v>
      </c>
      <c r="F1702">
        <v>2029</v>
      </c>
      <c r="G1702" s="12">
        <v>353008.52805343701</v>
      </c>
      <c r="H1702" s="13">
        <v>0.8</v>
      </c>
      <c r="I1702" s="13">
        <v>0.29299999999999998</v>
      </c>
      <c r="J1702" s="13"/>
      <c r="K1702" s="13"/>
      <c r="L1702" s="13"/>
      <c r="M1702" s="13"/>
    </row>
    <row r="1703" spans="2:13" x14ac:dyDescent="0.25">
      <c r="B1703" s="15" t="s">
        <v>193</v>
      </c>
      <c r="C1703" s="14" t="s">
        <v>52</v>
      </c>
      <c r="D1703" t="s">
        <v>138</v>
      </c>
      <c r="E1703" s="16" t="s">
        <v>133</v>
      </c>
      <c r="F1703">
        <v>2030</v>
      </c>
      <c r="G1703" s="12">
        <v>353736.31143086299</v>
      </c>
      <c r="H1703" s="13">
        <v>0.8</v>
      </c>
      <c r="I1703" s="13">
        <v>0.29959999999999998</v>
      </c>
      <c r="J1703" s="13"/>
      <c r="K1703" s="13"/>
      <c r="L1703" s="13"/>
      <c r="M1703" s="13"/>
    </row>
    <row r="1704" spans="2:13" x14ac:dyDescent="0.25">
      <c r="B1704" s="14" t="s">
        <v>194</v>
      </c>
      <c r="C1704" s="14" t="s">
        <v>132</v>
      </c>
      <c r="D1704" t="s">
        <v>46</v>
      </c>
      <c r="E1704" s="16" t="s">
        <v>133</v>
      </c>
      <c r="F1704">
        <v>2026</v>
      </c>
      <c r="G1704" s="12">
        <v>293809</v>
      </c>
      <c r="H1704" s="13">
        <v>0.99</v>
      </c>
      <c r="I1704" s="13">
        <v>0.9859</v>
      </c>
      <c r="J1704" s="13">
        <v>0.98</v>
      </c>
      <c r="K1704" s="13">
        <v>0</v>
      </c>
      <c r="L1704" s="13">
        <v>0.04</v>
      </c>
      <c r="M1704" s="13">
        <v>0.25</v>
      </c>
    </row>
    <row r="1705" spans="2:13" x14ac:dyDescent="0.25">
      <c r="B1705" s="14" t="s">
        <v>194</v>
      </c>
      <c r="C1705" s="14" t="s">
        <v>132</v>
      </c>
      <c r="D1705" t="s">
        <v>46</v>
      </c>
      <c r="E1705" s="16" t="s">
        <v>133</v>
      </c>
      <c r="F1705">
        <v>2027</v>
      </c>
      <c r="G1705" s="12">
        <v>287635.38281266799</v>
      </c>
      <c r="H1705" s="13">
        <v>0.99</v>
      </c>
      <c r="I1705" s="13">
        <v>0.99</v>
      </c>
      <c r="J1705" s="13">
        <v>0.98</v>
      </c>
      <c r="K1705" s="13">
        <v>0</v>
      </c>
      <c r="L1705" s="13">
        <v>0.04</v>
      </c>
      <c r="M1705" s="13">
        <v>0.25</v>
      </c>
    </row>
    <row r="1706" spans="2:13" x14ac:dyDescent="0.25">
      <c r="B1706" s="14" t="s">
        <v>194</v>
      </c>
      <c r="C1706" s="14" t="s">
        <v>132</v>
      </c>
      <c r="D1706" t="s">
        <v>46</v>
      </c>
      <c r="E1706" s="16" t="s">
        <v>133</v>
      </c>
      <c r="F1706">
        <v>2028</v>
      </c>
      <c r="G1706" s="12">
        <v>281534.130368924</v>
      </c>
      <c r="H1706" s="13">
        <v>0.99</v>
      </c>
      <c r="I1706" s="13">
        <v>0.99</v>
      </c>
      <c r="J1706" s="13">
        <v>0.98</v>
      </c>
      <c r="K1706" s="13">
        <v>0</v>
      </c>
      <c r="L1706" s="13">
        <v>0.04</v>
      </c>
      <c r="M1706" s="13">
        <v>0.25</v>
      </c>
    </row>
    <row r="1707" spans="2:13" x14ac:dyDescent="0.25">
      <c r="B1707" s="14" t="s">
        <v>194</v>
      </c>
      <c r="C1707" s="14" t="s">
        <v>132</v>
      </c>
      <c r="D1707" t="s">
        <v>46</v>
      </c>
      <c r="E1707" s="16" t="s">
        <v>133</v>
      </c>
      <c r="F1707">
        <v>2029</v>
      </c>
      <c r="G1707" s="12">
        <v>275160.60557743203</v>
      </c>
      <c r="H1707" s="13">
        <v>0.99</v>
      </c>
      <c r="I1707" s="13">
        <v>0.99</v>
      </c>
      <c r="J1707" s="13">
        <v>0.98</v>
      </c>
      <c r="K1707" s="13">
        <v>0</v>
      </c>
      <c r="L1707" s="13">
        <v>0.04</v>
      </c>
      <c r="M1707" s="13">
        <v>0.25</v>
      </c>
    </row>
    <row r="1708" spans="2:13" x14ac:dyDescent="0.25">
      <c r="B1708" s="14" t="s">
        <v>194</v>
      </c>
      <c r="C1708" s="14" t="s">
        <v>132</v>
      </c>
      <c r="D1708" t="s">
        <v>46</v>
      </c>
      <c r="E1708" s="16" t="s">
        <v>133</v>
      </c>
      <c r="F1708">
        <v>2030</v>
      </c>
      <c r="G1708" s="12">
        <v>269152.52274105698</v>
      </c>
      <c r="H1708" s="13">
        <v>0.99</v>
      </c>
      <c r="I1708" s="13">
        <v>0.99</v>
      </c>
      <c r="J1708" s="13">
        <v>0.98</v>
      </c>
      <c r="K1708" s="13">
        <v>0</v>
      </c>
      <c r="L1708" s="13">
        <v>0.04</v>
      </c>
      <c r="M1708" s="13">
        <v>0.25</v>
      </c>
    </row>
    <row r="1709" spans="2:13" x14ac:dyDescent="0.25">
      <c r="B1709" s="14" t="s">
        <v>194</v>
      </c>
      <c r="C1709" s="14" t="s">
        <v>70</v>
      </c>
      <c r="D1709" t="s">
        <v>46</v>
      </c>
      <c r="E1709" s="16" t="s">
        <v>133</v>
      </c>
      <c r="F1709">
        <v>2026</v>
      </c>
      <c r="G1709" s="12">
        <v>293809</v>
      </c>
      <c r="H1709" s="13">
        <v>0.99</v>
      </c>
      <c r="I1709" s="13">
        <v>0</v>
      </c>
      <c r="J1709" s="13">
        <v>0</v>
      </c>
      <c r="K1709" s="13">
        <v>0</v>
      </c>
      <c r="L1709" s="13">
        <v>0.2</v>
      </c>
      <c r="M1709" s="13">
        <v>0.25</v>
      </c>
    </row>
    <row r="1710" spans="2:13" x14ac:dyDescent="0.25">
      <c r="B1710" s="14" t="s">
        <v>194</v>
      </c>
      <c r="C1710" s="14" t="s">
        <v>70</v>
      </c>
      <c r="D1710" t="s">
        <v>46</v>
      </c>
      <c r="E1710" s="16" t="s">
        <v>133</v>
      </c>
      <c r="F1710">
        <v>2027</v>
      </c>
      <c r="G1710" s="12">
        <v>287635.38281266799</v>
      </c>
      <c r="H1710" s="13">
        <v>0.99</v>
      </c>
      <c r="I1710" s="13">
        <v>6.6E-3</v>
      </c>
      <c r="J1710" s="13">
        <v>6.6E-3</v>
      </c>
      <c r="K1710" s="13">
        <v>0</v>
      </c>
      <c r="L1710" s="13">
        <v>7.0000000000000007E-2</v>
      </c>
      <c r="M1710" s="13">
        <v>0.25</v>
      </c>
    </row>
    <row r="1711" spans="2:13" x14ac:dyDescent="0.25">
      <c r="B1711" s="14" t="s">
        <v>194</v>
      </c>
      <c r="C1711" s="14" t="s">
        <v>70</v>
      </c>
      <c r="D1711" t="s">
        <v>46</v>
      </c>
      <c r="E1711" s="16" t="s">
        <v>133</v>
      </c>
      <c r="F1711">
        <v>2028</v>
      </c>
      <c r="G1711" s="12">
        <v>281534.130368924</v>
      </c>
      <c r="H1711" s="13">
        <v>0.74250000000000005</v>
      </c>
      <c r="I1711" s="13">
        <v>0.71489999999999998</v>
      </c>
      <c r="J1711" s="13">
        <v>9.9000000000000008E-3</v>
      </c>
      <c r="K1711" s="13">
        <v>0</v>
      </c>
      <c r="L1711" s="13">
        <v>7.0000000000000007E-2</v>
      </c>
      <c r="M1711" s="13">
        <v>0.25</v>
      </c>
    </row>
    <row r="1712" spans="2:13" x14ac:dyDescent="0.25">
      <c r="B1712" s="14" t="s">
        <v>194</v>
      </c>
      <c r="C1712" s="14" t="s">
        <v>70</v>
      </c>
      <c r="D1712" t="s">
        <v>46</v>
      </c>
      <c r="E1712" s="16" t="s">
        <v>133</v>
      </c>
      <c r="F1712">
        <v>2029</v>
      </c>
      <c r="G1712" s="12">
        <v>275160.60557743203</v>
      </c>
      <c r="H1712" s="13">
        <v>0.99</v>
      </c>
      <c r="I1712" s="13">
        <v>0.95979999999999999</v>
      </c>
      <c r="J1712" s="13">
        <v>1.9800000000000002E-2</v>
      </c>
      <c r="K1712" s="13">
        <v>0</v>
      </c>
      <c r="L1712" s="13">
        <v>7.0000000000000007E-2</v>
      </c>
      <c r="M1712" s="13">
        <v>0.25</v>
      </c>
    </row>
    <row r="1713" spans="2:13" x14ac:dyDescent="0.25">
      <c r="B1713" s="14" t="s">
        <v>194</v>
      </c>
      <c r="C1713" s="14" t="s">
        <v>70</v>
      </c>
      <c r="D1713" t="s">
        <v>46</v>
      </c>
      <c r="E1713" s="16" t="s">
        <v>133</v>
      </c>
      <c r="F1713">
        <v>2030</v>
      </c>
      <c r="G1713" s="12">
        <v>269152.52274105698</v>
      </c>
      <c r="H1713" s="13">
        <v>0.99</v>
      </c>
      <c r="I1713" s="13">
        <v>0.96640000000000004</v>
      </c>
      <c r="J1713" s="13">
        <v>2.64E-2</v>
      </c>
      <c r="K1713" s="13">
        <v>0</v>
      </c>
      <c r="L1713" s="13">
        <v>7.0000000000000007E-2</v>
      </c>
      <c r="M1713" s="13">
        <v>0.25</v>
      </c>
    </row>
    <row r="1714" spans="2:13" x14ac:dyDescent="0.25">
      <c r="B1714" s="14" t="s">
        <v>194</v>
      </c>
      <c r="C1714" s="14" t="s">
        <v>52</v>
      </c>
      <c r="D1714" t="s">
        <v>138</v>
      </c>
      <c r="E1714" s="16" t="s">
        <v>133</v>
      </c>
      <c r="F1714">
        <v>2026</v>
      </c>
      <c r="G1714" s="12">
        <v>293809</v>
      </c>
      <c r="H1714" s="13">
        <v>0.99</v>
      </c>
      <c r="I1714" s="13">
        <v>0.98</v>
      </c>
      <c r="J1714" s="13"/>
      <c r="K1714" s="13"/>
      <c r="L1714" s="13"/>
      <c r="M1714" s="13"/>
    </row>
    <row r="1715" spans="2:13" x14ac:dyDescent="0.25">
      <c r="B1715" s="14" t="s">
        <v>194</v>
      </c>
      <c r="C1715" s="14" t="s">
        <v>52</v>
      </c>
      <c r="D1715" t="s">
        <v>138</v>
      </c>
      <c r="E1715" s="16" t="s">
        <v>133</v>
      </c>
      <c r="F1715">
        <v>2027</v>
      </c>
      <c r="G1715" s="12">
        <v>287635</v>
      </c>
      <c r="H1715" s="13">
        <v>0.99</v>
      </c>
      <c r="I1715" s="13">
        <v>0.99</v>
      </c>
      <c r="J1715" s="13"/>
      <c r="K1715" s="13"/>
      <c r="L1715" s="13"/>
      <c r="M1715" s="13"/>
    </row>
    <row r="1716" spans="2:13" x14ac:dyDescent="0.25">
      <c r="B1716" s="14" t="s">
        <v>194</v>
      </c>
      <c r="C1716" s="14" t="s">
        <v>52</v>
      </c>
      <c r="D1716" t="s">
        <v>138</v>
      </c>
      <c r="E1716" s="16" t="s">
        <v>133</v>
      </c>
      <c r="F1716">
        <v>2028</v>
      </c>
      <c r="G1716" s="12">
        <v>281534</v>
      </c>
      <c r="H1716" s="13">
        <v>0.99</v>
      </c>
      <c r="I1716" s="13">
        <v>0.99</v>
      </c>
      <c r="J1716" s="13"/>
      <c r="K1716" s="13"/>
      <c r="L1716" s="13"/>
      <c r="M1716" s="13"/>
    </row>
    <row r="1717" spans="2:13" x14ac:dyDescent="0.25">
      <c r="B1717" s="14" t="s">
        <v>194</v>
      </c>
      <c r="C1717" s="14" t="s">
        <v>52</v>
      </c>
      <c r="D1717" t="s">
        <v>138</v>
      </c>
      <c r="E1717" s="16" t="s">
        <v>133</v>
      </c>
      <c r="F1717">
        <v>2029</v>
      </c>
      <c r="G1717" s="12">
        <v>275161</v>
      </c>
      <c r="H1717" s="13">
        <v>0.99</v>
      </c>
      <c r="I1717" s="13">
        <v>0.99</v>
      </c>
      <c r="J1717" s="13"/>
      <c r="K1717" s="13"/>
      <c r="L1717" s="13"/>
      <c r="M1717" s="13"/>
    </row>
    <row r="1718" spans="2:13" x14ac:dyDescent="0.25">
      <c r="B1718" s="15" t="s">
        <v>194</v>
      </c>
      <c r="C1718" s="14" t="s">
        <v>52</v>
      </c>
      <c r="D1718" t="s">
        <v>138</v>
      </c>
      <c r="E1718" s="16" t="s">
        <v>133</v>
      </c>
      <c r="F1718">
        <v>2030</v>
      </c>
      <c r="G1718" s="12">
        <v>269153</v>
      </c>
      <c r="H1718" s="13">
        <v>0.99</v>
      </c>
      <c r="I1718" s="13">
        <v>0.99</v>
      </c>
      <c r="J1718" s="13"/>
      <c r="K1718" s="13"/>
      <c r="L1718" s="13"/>
      <c r="M1718" s="13"/>
    </row>
    <row r="1719" spans="2:13" x14ac:dyDescent="0.25">
      <c r="B1719" s="14" t="s">
        <v>195</v>
      </c>
      <c r="C1719" s="14" t="s">
        <v>132</v>
      </c>
      <c r="D1719" t="s">
        <v>46</v>
      </c>
      <c r="E1719" s="16" t="s">
        <v>133</v>
      </c>
      <c r="F1719">
        <v>2026</v>
      </c>
      <c r="G1719" s="12">
        <v>401742</v>
      </c>
      <c r="H1719" s="13">
        <v>0.76182094440000003</v>
      </c>
      <c r="I1719" s="13">
        <v>0.76182094440000003</v>
      </c>
      <c r="J1719" s="13">
        <v>0.76182094440000003</v>
      </c>
      <c r="K1719" s="13">
        <v>0</v>
      </c>
      <c r="L1719" s="13">
        <v>7.0000000000000007E-2</v>
      </c>
      <c r="M1719" s="13">
        <v>0.25</v>
      </c>
    </row>
    <row r="1720" spans="2:13" x14ac:dyDescent="0.25">
      <c r="B1720" s="14" t="s">
        <v>195</v>
      </c>
      <c r="C1720" s="14" t="s">
        <v>132</v>
      </c>
      <c r="D1720" t="s">
        <v>46</v>
      </c>
      <c r="E1720" s="16" t="s">
        <v>133</v>
      </c>
      <c r="F1720">
        <v>2027</v>
      </c>
      <c r="G1720" s="12">
        <v>406368.47946221801</v>
      </c>
      <c r="H1720" s="13">
        <v>0.76842094439999997</v>
      </c>
      <c r="I1720" s="13">
        <v>0.76842094439999997</v>
      </c>
      <c r="J1720" s="13">
        <v>0.76842094439999997</v>
      </c>
      <c r="K1720" s="13">
        <v>0</v>
      </c>
      <c r="L1720" s="13">
        <v>7.0000000000000007E-2</v>
      </c>
      <c r="M1720" s="13">
        <v>0.25</v>
      </c>
    </row>
    <row r="1721" spans="2:13" x14ac:dyDescent="0.25">
      <c r="B1721" s="14" t="s">
        <v>195</v>
      </c>
      <c r="C1721" s="14" t="s">
        <v>132</v>
      </c>
      <c r="D1721" t="s">
        <v>46</v>
      </c>
      <c r="E1721" s="16" t="s">
        <v>133</v>
      </c>
      <c r="F1721">
        <v>2028</v>
      </c>
      <c r="G1721" s="12">
        <v>410785.21180781903</v>
      </c>
      <c r="H1721" s="13">
        <v>0.58126570830000002</v>
      </c>
      <c r="I1721" s="13">
        <v>0.58126570830000002</v>
      </c>
      <c r="J1721" s="13">
        <v>0.58126570830000002</v>
      </c>
      <c r="K1721" s="13">
        <v>0</v>
      </c>
      <c r="L1721" s="13">
        <v>7.0000000000000007E-2</v>
      </c>
      <c r="M1721" s="13">
        <v>0.25</v>
      </c>
    </row>
    <row r="1722" spans="2:13" x14ac:dyDescent="0.25">
      <c r="B1722" s="14" t="s">
        <v>195</v>
      </c>
      <c r="C1722" s="14" t="s">
        <v>132</v>
      </c>
      <c r="D1722" t="s">
        <v>46</v>
      </c>
      <c r="E1722" s="16" t="s">
        <v>133</v>
      </c>
      <c r="F1722">
        <v>2029</v>
      </c>
      <c r="G1722" s="12">
        <v>413879.23267159797</v>
      </c>
      <c r="H1722" s="13">
        <v>0</v>
      </c>
      <c r="I1722" s="13">
        <v>0</v>
      </c>
      <c r="J1722" s="13">
        <v>0</v>
      </c>
      <c r="K1722" s="13">
        <v>0</v>
      </c>
      <c r="L1722" s="13">
        <v>7.0000000000000007E-2</v>
      </c>
      <c r="M1722" s="13">
        <v>0.25</v>
      </c>
    </row>
    <row r="1723" spans="2:13" x14ac:dyDescent="0.25">
      <c r="B1723" s="14" t="s">
        <v>195</v>
      </c>
      <c r="C1723" s="14" t="s">
        <v>70</v>
      </c>
      <c r="D1723" t="s">
        <v>46</v>
      </c>
      <c r="E1723" s="16" t="s">
        <v>133</v>
      </c>
      <c r="F1723">
        <v>2026</v>
      </c>
      <c r="G1723" s="12">
        <v>401742</v>
      </c>
      <c r="H1723" s="13">
        <v>0.99</v>
      </c>
      <c r="I1723" s="13">
        <v>0.99</v>
      </c>
      <c r="J1723" s="13">
        <v>0</v>
      </c>
      <c r="K1723" s="13">
        <v>0</v>
      </c>
      <c r="L1723" s="13">
        <v>7.0000000000000007E-2</v>
      </c>
      <c r="M1723" s="13">
        <v>0.25</v>
      </c>
    </row>
    <row r="1724" spans="2:13" x14ac:dyDescent="0.25">
      <c r="B1724" s="14" t="s">
        <v>195</v>
      </c>
      <c r="C1724" s="14" t="s">
        <v>70</v>
      </c>
      <c r="D1724" t="s">
        <v>46</v>
      </c>
      <c r="E1724" s="16" t="s">
        <v>133</v>
      </c>
      <c r="F1724">
        <v>2027</v>
      </c>
      <c r="G1724" s="12">
        <v>406368.47946221801</v>
      </c>
      <c r="H1724" s="13">
        <v>0.99</v>
      </c>
      <c r="I1724" s="13">
        <v>0.99</v>
      </c>
      <c r="J1724" s="13">
        <v>6.6E-3</v>
      </c>
      <c r="K1724" s="13">
        <v>0</v>
      </c>
      <c r="L1724" s="13">
        <v>7.0000000000000007E-2</v>
      </c>
      <c r="M1724" s="13">
        <v>0.25</v>
      </c>
    </row>
    <row r="1725" spans="2:13" x14ac:dyDescent="0.25">
      <c r="B1725" s="14" t="s">
        <v>195</v>
      </c>
      <c r="C1725" s="14" t="s">
        <v>70</v>
      </c>
      <c r="D1725" t="s">
        <v>46</v>
      </c>
      <c r="E1725" s="16" t="s">
        <v>133</v>
      </c>
      <c r="F1725">
        <v>2028</v>
      </c>
      <c r="G1725" s="12">
        <v>410785.21180781903</v>
      </c>
      <c r="H1725" s="13">
        <v>0.74250000000000005</v>
      </c>
      <c r="I1725" s="13">
        <v>0.74250000000000005</v>
      </c>
      <c r="J1725" s="13">
        <v>9.9000000000000008E-3</v>
      </c>
      <c r="K1725" s="13">
        <v>0</v>
      </c>
      <c r="L1725" s="13">
        <v>7.0000000000000007E-2</v>
      </c>
      <c r="M1725" s="13">
        <v>0.25</v>
      </c>
    </row>
    <row r="1726" spans="2:13" x14ac:dyDescent="0.25">
      <c r="B1726" s="14" t="s">
        <v>195</v>
      </c>
      <c r="C1726" s="14" t="s">
        <v>70</v>
      </c>
      <c r="D1726" t="s">
        <v>46</v>
      </c>
      <c r="E1726" s="16" t="s">
        <v>133</v>
      </c>
      <c r="F1726">
        <v>2029</v>
      </c>
      <c r="G1726" s="12">
        <v>413879.23267159797</v>
      </c>
      <c r="H1726" s="13">
        <v>0</v>
      </c>
      <c r="I1726" s="13">
        <v>0</v>
      </c>
      <c r="J1726" s="13">
        <v>0</v>
      </c>
      <c r="K1726" s="13">
        <v>0</v>
      </c>
      <c r="L1726" s="13">
        <v>7.0000000000000007E-2</v>
      </c>
      <c r="M1726" s="13">
        <v>0.25</v>
      </c>
    </row>
    <row r="1727" spans="2:13" x14ac:dyDescent="0.25">
      <c r="B1727" s="14" t="s">
        <v>195</v>
      </c>
      <c r="C1727" s="14" t="s">
        <v>134</v>
      </c>
      <c r="D1727" t="s">
        <v>46</v>
      </c>
      <c r="E1727" s="16" t="s">
        <v>133</v>
      </c>
      <c r="F1727">
        <v>2027</v>
      </c>
      <c r="G1727" s="12">
        <v>406368.47946221801</v>
      </c>
      <c r="H1727" s="13">
        <v>0</v>
      </c>
      <c r="I1727" s="13">
        <v>0</v>
      </c>
      <c r="J1727" s="13">
        <v>0</v>
      </c>
      <c r="K1727" s="13">
        <v>0</v>
      </c>
      <c r="L1727" s="13">
        <v>7.0000000000000007E-2</v>
      </c>
      <c r="M1727" s="13">
        <v>0.25</v>
      </c>
    </row>
    <row r="1728" spans="2:13" x14ac:dyDescent="0.25">
      <c r="B1728" s="14" t="s">
        <v>195</v>
      </c>
      <c r="C1728" s="14" t="s">
        <v>134</v>
      </c>
      <c r="D1728" t="s">
        <v>46</v>
      </c>
      <c r="E1728" s="16" t="s">
        <v>133</v>
      </c>
      <c r="F1728">
        <v>2028</v>
      </c>
      <c r="G1728" s="12">
        <v>410785.21180781903</v>
      </c>
      <c r="H1728" s="13">
        <v>0.19375523610000001</v>
      </c>
      <c r="I1728" s="13">
        <v>0.19375523610000001</v>
      </c>
      <c r="J1728" s="13">
        <v>0.19375523610000001</v>
      </c>
      <c r="K1728" s="13">
        <v>0</v>
      </c>
      <c r="L1728" s="13">
        <v>7.0000000000000007E-2</v>
      </c>
      <c r="M1728" s="13">
        <v>0.25</v>
      </c>
    </row>
    <row r="1729" spans="2:13" x14ac:dyDescent="0.25">
      <c r="B1729" s="14" t="s">
        <v>195</v>
      </c>
      <c r="C1729" s="14" t="s">
        <v>134</v>
      </c>
      <c r="D1729" t="s">
        <v>46</v>
      </c>
      <c r="E1729" s="16" t="s">
        <v>133</v>
      </c>
      <c r="F1729">
        <v>2029</v>
      </c>
      <c r="G1729" s="12">
        <v>413879.23267159797</v>
      </c>
      <c r="H1729" s="13">
        <v>0.78162094439999996</v>
      </c>
      <c r="I1729" s="13">
        <v>0.78162094439999996</v>
      </c>
      <c r="J1729" s="13">
        <v>0.78162094439999996</v>
      </c>
      <c r="K1729" s="13">
        <v>0</v>
      </c>
      <c r="L1729" s="13">
        <v>7.0000000000000007E-2</v>
      </c>
      <c r="M1729" s="13">
        <v>0.25</v>
      </c>
    </row>
    <row r="1730" spans="2:13" x14ac:dyDescent="0.25">
      <c r="B1730" s="14" t="s">
        <v>195</v>
      </c>
      <c r="C1730" s="14" t="s">
        <v>134</v>
      </c>
      <c r="D1730" t="s">
        <v>46</v>
      </c>
      <c r="E1730" s="16" t="s">
        <v>133</v>
      </c>
      <c r="F1730">
        <v>2030</v>
      </c>
      <c r="G1730" s="12">
        <v>416739.420625464</v>
      </c>
      <c r="H1730" s="13">
        <v>0.78822094440000001</v>
      </c>
      <c r="I1730" s="13">
        <v>0.78822094440000001</v>
      </c>
      <c r="J1730" s="13">
        <v>0.78822094440000001</v>
      </c>
      <c r="K1730" s="13">
        <v>0</v>
      </c>
      <c r="L1730" s="13">
        <v>7.0000000000000007E-2</v>
      </c>
      <c r="M1730" s="13">
        <v>0.25</v>
      </c>
    </row>
    <row r="1731" spans="2:13" x14ac:dyDescent="0.25">
      <c r="B1731" s="14" t="s">
        <v>195</v>
      </c>
      <c r="C1731" s="14" t="s">
        <v>72</v>
      </c>
      <c r="D1731" t="s">
        <v>46</v>
      </c>
      <c r="E1731" s="16" t="s">
        <v>133</v>
      </c>
      <c r="F1731">
        <v>2026</v>
      </c>
      <c r="G1731" s="12">
        <v>401742</v>
      </c>
      <c r="H1731" s="13">
        <v>0.99</v>
      </c>
      <c r="I1731" s="13">
        <v>0.99</v>
      </c>
      <c r="J1731" s="13">
        <v>0.99</v>
      </c>
      <c r="K1731" s="13"/>
      <c r="L1731" s="13">
        <v>7.0000000000000007E-2</v>
      </c>
      <c r="M1731" s="13">
        <v>0.25</v>
      </c>
    </row>
    <row r="1732" spans="2:13" x14ac:dyDescent="0.25">
      <c r="B1732" s="14" t="s">
        <v>195</v>
      </c>
      <c r="C1732" s="14" t="s">
        <v>72</v>
      </c>
      <c r="D1732" t="s">
        <v>46</v>
      </c>
      <c r="E1732" s="16" t="s">
        <v>133</v>
      </c>
      <c r="F1732">
        <v>2027</v>
      </c>
      <c r="G1732" s="12">
        <v>406368.47946221801</v>
      </c>
      <c r="H1732" s="13">
        <v>0.86560570219999999</v>
      </c>
      <c r="I1732" s="13">
        <v>0.86560570219999999</v>
      </c>
      <c r="J1732" s="13">
        <v>0.86560570219999999</v>
      </c>
      <c r="K1732" s="13"/>
      <c r="L1732" s="13">
        <v>7.0000000000000007E-2</v>
      </c>
      <c r="M1732" s="13">
        <v>0.25</v>
      </c>
    </row>
    <row r="1733" spans="2:13" x14ac:dyDescent="0.25">
      <c r="B1733" s="14" t="s">
        <v>195</v>
      </c>
      <c r="C1733" s="14" t="s">
        <v>72</v>
      </c>
      <c r="D1733" t="s">
        <v>46</v>
      </c>
      <c r="E1733" s="16" t="s">
        <v>133</v>
      </c>
      <c r="F1733">
        <v>2028</v>
      </c>
      <c r="G1733" s="12">
        <v>410785.21180781903</v>
      </c>
      <c r="H1733" s="13">
        <v>0.87220570220000004</v>
      </c>
      <c r="I1733" s="13">
        <v>0.87220570220000004</v>
      </c>
      <c r="J1733" s="13">
        <v>0.87220570220000004</v>
      </c>
      <c r="K1733" s="13"/>
      <c r="L1733" s="13">
        <v>7.0000000000000007E-2</v>
      </c>
      <c r="M1733" s="13">
        <v>0.25</v>
      </c>
    </row>
    <row r="1734" spans="2:13" x14ac:dyDescent="0.25">
      <c r="B1734" s="14" t="s">
        <v>195</v>
      </c>
      <c r="C1734" s="14" t="s">
        <v>72</v>
      </c>
      <c r="D1734" t="s">
        <v>46</v>
      </c>
      <c r="E1734" s="16" t="s">
        <v>133</v>
      </c>
      <c r="F1734">
        <v>2029</v>
      </c>
      <c r="G1734" s="12">
        <v>413879.23267159797</v>
      </c>
      <c r="H1734" s="13">
        <v>0.87880570219999998</v>
      </c>
      <c r="I1734" s="13">
        <v>0.87880570219999998</v>
      </c>
      <c r="J1734" s="13">
        <v>0.87880570219999998</v>
      </c>
      <c r="K1734" s="13"/>
      <c r="L1734" s="13">
        <v>7.0000000000000007E-2</v>
      </c>
      <c r="M1734" s="13">
        <v>0.25</v>
      </c>
    </row>
    <row r="1735" spans="2:13" x14ac:dyDescent="0.25">
      <c r="B1735" s="14" t="s">
        <v>195</v>
      </c>
      <c r="C1735" s="14" t="s">
        <v>72</v>
      </c>
      <c r="D1735" t="s">
        <v>46</v>
      </c>
      <c r="E1735" s="16" t="s">
        <v>133</v>
      </c>
      <c r="F1735">
        <v>2030</v>
      </c>
      <c r="G1735" s="12">
        <v>416739.420625464</v>
      </c>
      <c r="H1735" s="13">
        <v>0.88540570220000003</v>
      </c>
      <c r="I1735" s="13">
        <v>0.88540570220000003</v>
      </c>
      <c r="J1735" s="13">
        <v>0.88540570220000003</v>
      </c>
      <c r="K1735" s="13"/>
      <c r="L1735" s="13">
        <v>7.0000000000000007E-2</v>
      </c>
      <c r="M1735" s="13">
        <v>0.25</v>
      </c>
    </row>
    <row r="1736" spans="2:13" x14ac:dyDescent="0.25">
      <c r="B1736" s="14" t="s">
        <v>195</v>
      </c>
      <c r="C1736" s="14" t="s">
        <v>102</v>
      </c>
      <c r="D1736" t="s">
        <v>46</v>
      </c>
      <c r="E1736" s="16" t="s">
        <v>133</v>
      </c>
      <c r="F1736">
        <v>2026</v>
      </c>
      <c r="G1736" s="12">
        <v>371715</v>
      </c>
      <c r="H1736" s="13">
        <v>0.88898333330000001</v>
      </c>
      <c r="I1736" s="13"/>
      <c r="J1736" s="13"/>
      <c r="K1736" s="13"/>
      <c r="L1736" s="13">
        <v>7.0000000000000007E-2</v>
      </c>
      <c r="M1736" s="13">
        <v>0.25</v>
      </c>
    </row>
    <row r="1737" spans="2:13" x14ac:dyDescent="0.25">
      <c r="B1737" s="14" t="s">
        <v>195</v>
      </c>
      <c r="C1737" s="14" t="s">
        <v>102</v>
      </c>
      <c r="D1737" t="s">
        <v>46</v>
      </c>
      <c r="E1737" s="16" t="s">
        <v>133</v>
      </c>
      <c r="F1737">
        <v>2027</v>
      </c>
      <c r="G1737" s="12">
        <v>375995.68714074802</v>
      </c>
      <c r="H1737" s="13">
        <v>0.97640000000000005</v>
      </c>
      <c r="I1737" s="13"/>
      <c r="J1737" s="13"/>
      <c r="K1737" s="13"/>
      <c r="L1737" s="13">
        <v>7.0000000000000007E-2</v>
      </c>
      <c r="M1737" s="13">
        <v>0.25</v>
      </c>
    </row>
    <row r="1738" spans="2:13" x14ac:dyDescent="0.25">
      <c r="B1738" s="14" t="s">
        <v>195</v>
      </c>
      <c r="C1738" s="14" t="s">
        <v>102</v>
      </c>
      <c r="D1738" t="s">
        <v>46</v>
      </c>
      <c r="E1738" s="16" t="s">
        <v>133</v>
      </c>
      <c r="F1738">
        <v>2028</v>
      </c>
      <c r="G1738" s="12">
        <v>380082.30408357503</v>
      </c>
      <c r="H1738" s="13">
        <v>0.98299999999999998</v>
      </c>
      <c r="I1738" s="13"/>
      <c r="J1738" s="13"/>
      <c r="K1738" s="13"/>
      <c r="L1738" s="13">
        <v>7.0000000000000007E-2</v>
      </c>
      <c r="M1738" s="13">
        <v>0.25</v>
      </c>
    </row>
    <row r="1739" spans="2:13" x14ac:dyDescent="0.25">
      <c r="B1739" s="14" t="s">
        <v>195</v>
      </c>
      <c r="C1739" s="14" t="s">
        <v>102</v>
      </c>
      <c r="D1739" t="s">
        <v>46</v>
      </c>
      <c r="E1739" s="16" t="s">
        <v>133</v>
      </c>
      <c r="F1739">
        <v>2029</v>
      </c>
      <c r="G1739" s="12">
        <v>382945.071644296</v>
      </c>
      <c r="H1739" s="13">
        <v>0.98960000000000004</v>
      </c>
      <c r="I1739" s="13"/>
      <c r="J1739" s="13"/>
      <c r="K1739" s="13"/>
      <c r="L1739" s="13">
        <v>7.0000000000000007E-2</v>
      </c>
      <c r="M1739" s="13">
        <v>0.25</v>
      </c>
    </row>
    <row r="1740" spans="2:13" x14ac:dyDescent="0.25">
      <c r="B1740" s="14" t="s">
        <v>195</v>
      </c>
      <c r="C1740" s="14" t="s">
        <v>102</v>
      </c>
      <c r="D1740" t="s">
        <v>46</v>
      </c>
      <c r="E1740" s="16" t="s">
        <v>133</v>
      </c>
      <c r="F1740">
        <v>2030</v>
      </c>
      <c r="G1740" s="12">
        <v>385591.48343412997</v>
      </c>
      <c r="H1740" s="13">
        <v>0.99</v>
      </c>
      <c r="I1740" s="13"/>
      <c r="J1740" s="13"/>
      <c r="K1740" s="13"/>
      <c r="L1740" s="13">
        <v>7.0000000000000007E-2</v>
      </c>
      <c r="M1740" s="13">
        <v>0.25</v>
      </c>
    </row>
    <row r="1741" spans="2:13" x14ac:dyDescent="0.25">
      <c r="B1741" s="14" t="s">
        <v>195</v>
      </c>
      <c r="C1741" s="14" t="s">
        <v>15</v>
      </c>
      <c r="D1741" t="s">
        <v>46</v>
      </c>
      <c r="E1741" s="16" t="s">
        <v>133</v>
      </c>
      <c r="F1741">
        <v>2026</v>
      </c>
      <c r="G1741" s="12">
        <v>183028</v>
      </c>
      <c r="H1741" s="13">
        <v>0.77</v>
      </c>
      <c r="I1741" s="13"/>
      <c r="J1741" s="13"/>
      <c r="K1741" s="13"/>
      <c r="L1741" s="13">
        <v>0.04</v>
      </c>
      <c r="M1741" s="13">
        <v>0.25</v>
      </c>
    </row>
    <row r="1742" spans="2:13" x14ac:dyDescent="0.25">
      <c r="B1742" s="14" t="s">
        <v>195</v>
      </c>
      <c r="C1742" s="14" t="s">
        <v>15</v>
      </c>
      <c r="D1742" t="s">
        <v>46</v>
      </c>
      <c r="E1742" s="16" t="s">
        <v>133</v>
      </c>
      <c r="F1742">
        <v>2027</v>
      </c>
      <c r="G1742" s="12">
        <v>186899</v>
      </c>
      <c r="H1742" s="13">
        <v>0.77</v>
      </c>
      <c r="I1742" s="13"/>
      <c r="J1742" s="13"/>
      <c r="K1742" s="13"/>
      <c r="L1742" s="13">
        <v>0.04</v>
      </c>
      <c r="M1742" s="13">
        <v>0.25</v>
      </c>
    </row>
    <row r="1743" spans="2:13" x14ac:dyDescent="0.25">
      <c r="B1743" s="14" t="s">
        <v>195</v>
      </c>
      <c r="C1743" s="14" t="s">
        <v>15</v>
      </c>
      <c r="D1743" t="s">
        <v>46</v>
      </c>
      <c r="E1743" s="16" t="s">
        <v>133</v>
      </c>
      <c r="F1743">
        <v>2028</v>
      </c>
      <c r="G1743" s="12">
        <v>188122</v>
      </c>
      <c r="H1743" s="13">
        <v>0.77</v>
      </c>
      <c r="I1743" s="13"/>
      <c r="J1743" s="13"/>
      <c r="K1743" s="13"/>
      <c r="L1743" s="13">
        <v>0.04</v>
      </c>
      <c r="M1743" s="13">
        <v>0.25</v>
      </c>
    </row>
    <row r="1744" spans="2:13" x14ac:dyDescent="0.25">
      <c r="B1744" s="14" t="s">
        <v>195</v>
      </c>
      <c r="C1744" s="14" t="s">
        <v>15</v>
      </c>
      <c r="D1744" t="s">
        <v>46</v>
      </c>
      <c r="E1744" s="16" t="s">
        <v>133</v>
      </c>
      <c r="F1744">
        <v>2029</v>
      </c>
      <c r="G1744" s="12">
        <v>189279</v>
      </c>
      <c r="H1744" s="13">
        <v>0.77</v>
      </c>
      <c r="I1744" s="13"/>
      <c r="J1744" s="13"/>
      <c r="K1744" s="13"/>
      <c r="L1744" s="13">
        <v>0.04</v>
      </c>
      <c r="M1744" s="13">
        <v>0.25</v>
      </c>
    </row>
    <row r="1745" spans="2:13" x14ac:dyDescent="0.25">
      <c r="B1745" s="14" t="s">
        <v>195</v>
      </c>
      <c r="C1745" s="14" t="s">
        <v>15</v>
      </c>
      <c r="D1745" t="s">
        <v>46</v>
      </c>
      <c r="E1745" s="16" t="s">
        <v>133</v>
      </c>
      <c r="F1745">
        <v>2030</v>
      </c>
      <c r="G1745" s="12">
        <v>191049</v>
      </c>
      <c r="H1745" s="13">
        <v>0.77</v>
      </c>
      <c r="I1745" s="13"/>
      <c r="J1745" s="13"/>
      <c r="K1745" s="13"/>
      <c r="L1745" s="13">
        <v>0.04</v>
      </c>
      <c r="M1745" s="13">
        <v>0.25</v>
      </c>
    </row>
    <row r="1746" spans="2:13" x14ac:dyDescent="0.25">
      <c r="B1746" s="14" t="s">
        <v>195</v>
      </c>
      <c r="C1746" s="14" t="s">
        <v>52</v>
      </c>
      <c r="D1746" t="s">
        <v>141</v>
      </c>
      <c r="E1746" s="16" t="s">
        <v>133</v>
      </c>
      <c r="F1746">
        <v>2028</v>
      </c>
      <c r="G1746" s="12">
        <v>1763990.4375</v>
      </c>
      <c r="H1746" s="13">
        <v>1</v>
      </c>
      <c r="I1746" s="13"/>
      <c r="J1746" s="13"/>
      <c r="K1746" s="13"/>
      <c r="L1746" s="13"/>
      <c r="M1746" s="13"/>
    </row>
    <row r="1747" spans="2:13" x14ac:dyDescent="0.25">
      <c r="B1747" s="14" t="s">
        <v>195</v>
      </c>
      <c r="C1747" s="14" t="s">
        <v>52</v>
      </c>
      <c r="D1747" t="s">
        <v>138</v>
      </c>
      <c r="E1747" s="16" t="s">
        <v>133</v>
      </c>
      <c r="F1747">
        <v>2026</v>
      </c>
      <c r="G1747" s="12">
        <v>400311</v>
      </c>
      <c r="H1747" s="13">
        <v>0.98319999999999996</v>
      </c>
      <c r="I1747" s="13">
        <v>0.97621199999999997</v>
      </c>
      <c r="J1747" s="13"/>
      <c r="K1747" s="13"/>
      <c r="L1747" s="13"/>
      <c r="M1747" s="13"/>
    </row>
    <row r="1748" spans="2:13" x14ac:dyDescent="0.25">
      <c r="B1748" s="14" t="s">
        <v>195</v>
      </c>
      <c r="C1748" s="14" t="s">
        <v>52</v>
      </c>
      <c r="D1748" t="s">
        <v>138</v>
      </c>
      <c r="E1748" s="16" t="s">
        <v>133</v>
      </c>
      <c r="F1748">
        <v>2027</v>
      </c>
      <c r="G1748" s="12">
        <v>404921</v>
      </c>
      <c r="H1748" s="13">
        <v>0.98980000000000001</v>
      </c>
      <c r="I1748" s="13">
        <v>0.983043</v>
      </c>
      <c r="J1748" s="13"/>
      <c r="K1748" s="13"/>
      <c r="L1748" s="13"/>
      <c r="M1748" s="13"/>
    </row>
    <row r="1749" spans="2:13" x14ac:dyDescent="0.25">
      <c r="B1749" s="14" t="s">
        <v>195</v>
      </c>
      <c r="C1749" s="14" t="s">
        <v>52</v>
      </c>
      <c r="D1749" t="s">
        <v>138</v>
      </c>
      <c r="E1749" s="16" t="s">
        <v>133</v>
      </c>
      <c r="F1749">
        <v>2028</v>
      </c>
      <c r="G1749" s="12">
        <v>409322</v>
      </c>
      <c r="H1749" s="13">
        <v>0.98980000000000001</v>
      </c>
      <c r="I1749" s="13">
        <v>0.98987400000000003</v>
      </c>
      <c r="J1749" s="13"/>
      <c r="K1749" s="13"/>
      <c r="L1749" s="13"/>
      <c r="M1749" s="13"/>
    </row>
    <row r="1750" spans="2:13" x14ac:dyDescent="0.25">
      <c r="B1750" s="14" t="s">
        <v>195</v>
      </c>
      <c r="C1750" s="14" t="s">
        <v>52</v>
      </c>
      <c r="D1750" t="s">
        <v>138</v>
      </c>
      <c r="E1750" s="16" t="s">
        <v>133</v>
      </c>
      <c r="F1750">
        <v>2029</v>
      </c>
      <c r="G1750" s="12">
        <v>412405</v>
      </c>
      <c r="H1750" s="13">
        <v>0.99</v>
      </c>
      <c r="I1750" s="13">
        <v>0.99670499999999995</v>
      </c>
      <c r="J1750" s="13"/>
      <c r="K1750" s="13"/>
      <c r="L1750" s="13"/>
      <c r="M1750" s="13"/>
    </row>
    <row r="1751" spans="2:13" x14ac:dyDescent="0.25">
      <c r="B1751" s="14" t="s">
        <v>195</v>
      </c>
      <c r="C1751" s="14" t="s">
        <v>52</v>
      </c>
      <c r="D1751" t="s">
        <v>138</v>
      </c>
      <c r="E1751" s="16" t="s">
        <v>133</v>
      </c>
      <c r="F1751">
        <v>2030</v>
      </c>
      <c r="G1751" s="12">
        <v>415255</v>
      </c>
      <c r="H1751" s="13">
        <v>0.99</v>
      </c>
      <c r="I1751" s="13">
        <v>1.003536</v>
      </c>
      <c r="J1751" s="13"/>
      <c r="K1751" s="13"/>
      <c r="L1751" s="13"/>
      <c r="M1751" s="13"/>
    </row>
    <row r="1752" spans="2:13" x14ac:dyDescent="0.25">
      <c r="B1752" s="14" t="s">
        <v>195</v>
      </c>
      <c r="C1752" s="14" t="s">
        <v>139</v>
      </c>
      <c r="D1752" t="s">
        <v>46</v>
      </c>
      <c r="E1752" s="16" t="s">
        <v>133</v>
      </c>
      <c r="F1752">
        <v>2026</v>
      </c>
      <c r="G1752" s="12">
        <v>401742</v>
      </c>
      <c r="H1752" s="13">
        <v>0.99</v>
      </c>
      <c r="I1752" s="13">
        <v>0.99</v>
      </c>
      <c r="J1752" s="13">
        <v>0</v>
      </c>
      <c r="K1752" s="13"/>
      <c r="L1752" s="13">
        <v>0.04</v>
      </c>
      <c r="M1752" s="13">
        <v>0.25</v>
      </c>
    </row>
    <row r="1753" spans="2:13" x14ac:dyDescent="0.25">
      <c r="B1753" s="14" t="s">
        <v>195</v>
      </c>
      <c r="C1753" s="14" t="s">
        <v>139</v>
      </c>
      <c r="D1753" t="s">
        <v>46</v>
      </c>
      <c r="E1753" s="16" t="s">
        <v>133</v>
      </c>
      <c r="F1753">
        <v>2027</v>
      </c>
      <c r="G1753" s="12">
        <v>406368.47946221801</v>
      </c>
      <c r="H1753" s="13">
        <v>0.88558465669999997</v>
      </c>
      <c r="I1753" s="13">
        <v>0.88558465669999997</v>
      </c>
      <c r="J1753" s="13">
        <v>0</v>
      </c>
      <c r="K1753" s="13"/>
      <c r="L1753" s="13">
        <v>0.04</v>
      </c>
      <c r="M1753" s="13">
        <v>0.25</v>
      </c>
    </row>
    <row r="1754" spans="2:13" x14ac:dyDescent="0.25">
      <c r="B1754" s="14" t="s">
        <v>195</v>
      </c>
      <c r="C1754" s="14" t="s">
        <v>139</v>
      </c>
      <c r="D1754" t="s">
        <v>46</v>
      </c>
      <c r="E1754" s="16" t="s">
        <v>133</v>
      </c>
      <c r="F1754">
        <v>2028</v>
      </c>
      <c r="G1754" s="12">
        <v>410785.21180781903</v>
      </c>
      <c r="H1754" s="13">
        <v>0.89218465670000002</v>
      </c>
      <c r="I1754" s="13">
        <v>0.89218465670000002</v>
      </c>
      <c r="J1754" s="13">
        <v>0</v>
      </c>
      <c r="K1754" s="13"/>
      <c r="L1754" s="13">
        <v>0.04</v>
      </c>
      <c r="M1754" s="13">
        <v>0.25</v>
      </c>
    </row>
    <row r="1755" spans="2:13" x14ac:dyDescent="0.25">
      <c r="B1755" s="14" t="s">
        <v>195</v>
      </c>
      <c r="C1755" s="14" t="s">
        <v>139</v>
      </c>
      <c r="D1755" t="s">
        <v>46</v>
      </c>
      <c r="E1755" s="16" t="s">
        <v>133</v>
      </c>
      <c r="F1755">
        <v>2029</v>
      </c>
      <c r="G1755" s="12">
        <v>413879.23267159797</v>
      </c>
      <c r="H1755" s="13">
        <v>0.89878465669999996</v>
      </c>
      <c r="I1755" s="13">
        <v>0.89878465669999996</v>
      </c>
      <c r="J1755" s="13">
        <v>0</v>
      </c>
      <c r="K1755" s="13"/>
      <c r="L1755" s="13">
        <v>0.04</v>
      </c>
      <c r="M1755" s="13">
        <v>0.25</v>
      </c>
    </row>
    <row r="1756" spans="2:13" x14ac:dyDescent="0.25">
      <c r="B1756" s="14" t="s">
        <v>195</v>
      </c>
      <c r="C1756" s="14" t="s">
        <v>139</v>
      </c>
      <c r="D1756" t="s">
        <v>46</v>
      </c>
      <c r="E1756" s="16" t="s">
        <v>133</v>
      </c>
      <c r="F1756">
        <v>2030</v>
      </c>
      <c r="G1756" s="12">
        <v>416739.420625464</v>
      </c>
      <c r="H1756" s="13">
        <v>0.90538465670000001</v>
      </c>
      <c r="I1756" s="13">
        <v>0.90538465670000001</v>
      </c>
      <c r="J1756" s="13">
        <v>0</v>
      </c>
      <c r="K1756" s="13"/>
      <c r="L1756" s="13">
        <v>0.04</v>
      </c>
      <c r="M1756" s="13">
        <v>0.25</v>
      </c>
    </row>
    <row r="1757" spans="2:13" x14ac:dyDescent="0.25">
      <c r="B1757" s="14" t="s">
        <v>195</v>
      </c>
      <c r="C1757" s="14" t="s">
        <v>108</v>
      </c>
      <c r="D1757" t="s">
        <v>46</v>
      </c>
      <c r="E1757" s="16" t="s">
        <v>133</v>
      </c>
      <c r="F1757">
        <v>2026</v>
      </c>
      <c r="G1757" s="12">
        <v>402757</v>
      </c>
      <c r="H1757" s="13">
        <v>0.77048754689999999</v>
      </c>
      <c r="I1757" s="13"/>
      <c r="J1757" s="13"/>
      <c r="K1757" s="13"/>
      <c r="L1757" s="13"/>
      <c r="M1757" s="13"/>
    </row>
    <row r="1758" spans="2:13" x14ac:dyDescent="0.25">
      <c r="B1758" s="14" t="s">
        <v>195</v>
      </c>
      <c r="C1758" s="14" t="s">
        <v>108</v>
      </c>
      <c r="D1758" t="s">
        <v>46</v>
      </c>
      <c r="E1758" s="16" t="s">
        <v>133</v>
      </c>
      <c r="F1758">
        <v>2027</v>
      </c>
      <c r="G1758" s="12">
        <v>407670</v>
      </c>
      <c r="H1758" s="13">
        <v>0.78048753739999999</v>
      </c>
      <c r="I1758" s="13"/>
      <c r="J1758" s="13"/>
      <c r="K1758" s="13"/>
      <c r="L1758" s="13"/>
      <c r="M1758" s="13"/>
    </row>
    <row r="1759" spans="2:13" x14ac:dyDescent="0.25">
      <c r="B1759" s="14" t="s">
        <v>195</v>
      </c>
      <c r="C1759" s="14" t="s">
        <v>108</v>
      </c>
      <c r="D1759" t="s">
        <v>46</v>
      </c>
      <c r="E1759" s="16" t="s">
        <v>133</v>
      </c>
      <c r="F1759">
        <v>2028</v>
      </c>
      <c r="G1759" s="12">
        <v>411948</v>
      </c>
      <c r="H1759" s="13">
        <v>0.79048752779999998</v>
      </c>
      <c r="I1759" s="13"/>
      <c r="J1759" s="13"/>
      <c r="K1759" s="13"/>
      <c r="L1759" s="13"/>
      <c r="M1759" s="13"/>
    </row>
    <row r="1760" spans="2:13" x14ac:dyDescent="0.25">
      <c r="B1760" s="14" t="s">
        <v>195</v>
      </c>
      <c r="C1760" s="14" t="s">
        <v>108</v>
      </c>
      <c r="D1760" t="s">
        <v>46</v>
      </c>
      <c r="E1760" s="16" t="s">
        <v>133</v>
      </c>
      <c r="F1760">
        <v>2029</v>
      </c>
      <c r="G1760" s="12">
        <v>415182</v>
      </c>
      <c r="H1760" s="13">
        <v>0.80048751829999998</v>
      </c>
      <c r="I1760" s="13"/>
      <c r="J1760" s="13"/>
      <c r="K1760" s="13"/>
      <c r="L1760" s="13"/>
      <c r="M1760" s="13"/>
    </row>
    <row r="1761" spans="2:13" x14ac:dyDescent="0.25">
      <c r="B1761" s="14" t="s">
        <v>195</v>
      </c>
      <c r="C1761" s="14" t="s">
        <v>108</v>
      </c>
      <c r="D1761" t="s">
        <v>46</v>
      </c>
      <c r="E1761" s="16" t="s">
        <v>133</v>
      </c>
      <c r="F1761">
        <v>2030</v>
      </c>
      <c r="G1761" s="12">
        <v>418028</v>
      </c>
      <c r="H1761" s="13">
        <v>0.81048750879999998</v>
      </c>
      <c r="I1761" s="13"/>
      <c r="J1761" s="13"/>
      <c r="K1761" s="13"/>
      <c r="L1761" s="13"/>
      <c r="M1761" s="13">
        <v>0.25</v>
      </c>
    </row>
    <row r="1762" spans="2:13" x14ac:dyDescent="0.25">
      <c r="B1762" s="14" t="s">
        <v>195</v>
      </c>
      <c r="C1762" s="14" t="s">
        <v>101</v>
      </c>
      <c r="D1762" t="s">
        <v>137</v>
      </c>
      <c r="E1762" s="16" t="s">
        <v>133</v>
      </c>
      <c r="F1762">
        <v>2027</v>
      </c>
      <c r="G1762" s="12"/>
      <c r="H1762" s="13">
        <v>1</v>
      </c>
      <c r="I1762" s="13"/>
      <c r="J1762" s="13"/>
      <c r="K1762" s="13"/>
      <c r="L1762" s="13">
        <v>0.1</v>
      </c>
      <c r="M1762" s="13"/>
    </row>
    <row r="1763" spans="2:13" x14ac:dyDescent="0.25">
      <c r="B1763" s="14" t="s">
        <v>195</v>
      </c>
      <c r="C1763" s="14" t="s">
        <v>101</v>
      </c>
      <c r="D1763" t="s">
        <v>137</v>
      </c>
      <c r="E1763" s="16" t="s">
        <v>133</v>
      </c>
      <c r="F1763">
        <v>2028</v>
      </c>
      <c r="G1763" s="12">
        <v>5600650.5</v>
      </c>
      <c r="H1763" s="13">
        <v>1</v>
      </c>
      <c r="I1763" s="13"/>
      <c r="J1763" s="13"/>
      <c r="K1763" s="13"/>
      <c r="L1763" s="13">
        <v>0.1</v>
      </c>
      <c r="M1763" s="13"/>
    </row>
    <row r="1764" spans="2:13" x14ac:dyDescent="0.25">
      <c r="B1764" s="14" t="s">
        <v>195</v>
      </c>
      <c r="C1764" s="14" t="s">
        <v>101</v>
      </c>
      <c r="D1764" t="s">
        <v>46</v>
      </c>
      <c r="E1764" s="16" t="s">
        <v>133</v>
      </c>
      <c r="F1764">
        <v>2028</v>
      </c>
      <c r="G1764" s="12">
        <v>407070.36812918499</v>
      </c>
      <c r="H1764" s="13">
        <v>0.56769999999999998</v>
      </c>
      <c r="I1764" s="13"/>
      <c r="J1764" s="13"/>
      <c r="K1764" s="13"/>
      <c r="L1764" s="13">
        <v>0.1</v>
      </c>
      <c r="M1764" s="13">
        <v>0.25</v>
      </c>
    </row>
    <row r="1765" spans="2:13" x14ac:dyDescent="0.25">
      <c r="B1765" s="14" t="s">
        <v>195</v>
      </c>
      <c r="C1765" s="14" t="s">
        <v>101</v>
      </c>
      <c r="D1765" t="s">
        <v>46</v>
      </c>
      <c r="E1765" s="16" t="s">
        <v>133</v>
      </c>
      <c r="F1765">
        <v>2029</v>
      </c>
      <c r="G1765" s="12">
        <v>410492.73271530803</v>
      </c>
      <c r="H1765" s="13">
        <v>0.9798</v>
      </c>
      <c r="I1765" s="13"/>
      <c r="J1765" s="13"/>
      <c r="K1765" s="13"/>
      <c r="L1765" s="13">
        <v>0.1</v>
      </c>
      <c r="M1765" s="13">
        <v>0.25</v>
      </c>
    </row>
    <row r="1766" spans="2:13" x14ac:dyDescent="0.25">
      <c r="B1766" s="15" t="s">
        <v>195</v>
      </c>
      <c r="C1766" s="14" t="s">
        <v>101</v>
      </c>
      <c r="D1766" t="s">
        <v>46</v>
      </c>
      <c r="E1766" s="16" t="s">
        <v>133</v>
      </c>
      <c r="F1766">
        <v>2030</v>
      </c>
      <c r="G1766" s="12">
        <v>413943.87016302301</v>
      </c>
      <c r="H1766" s="13">
        <v>0.98640000000000005</v>
      </c>
      <c r="I1766" s="13"/>
      <c r="J1766" s="13"/>
      <c r="K1766" s="13"/>
      <c r="L1766" s="13">
        <v>0.1</v>
      </c>
      <c r="M1766" s="13">
        <v>0.25</v>
      </c>
    </row>
    <row r="1767" spans="2:13" x14ac:dyDescent="0.25">
      <c r="B1767" s="14" t="s">
        <v>196</v>
      </c>
      <c r="C1767" s="14" t="s">
        <v>132</v>
      </c>
      <c r="D1767" t="s">
        <v>46</v>
      </c>
      <c r="E1767" s="16" t="s">
        <v>144</v>
      </c>
      <c r="F1767">
        <v>2026</v>
      </c>
      <c r="G1767" s="12">
        <v>300000</v>
      </c>
      <c r="H1767" s="13">
        <v>1</v>
      </c>
      <c r="I1767" s="13">
        <v>1</v>
      </c>
      <c r="J1767" s="13">
        <v>1</v>
      </c>
      <c r="K1767" s="13">
        <v>0</v>
      </c>
      <c r="L1767" s="13">
        <v>0.05</v>
      </c>
      <c r="M1767" s="13">
        <v>0.25</v>
      </c>
    </row>
    <row r="1768" spans="2:13" x14ac:dyDescent="0.25">
      <c r="B1768" s="14" t="s">
        <v>196</v>
      </c>
      <c r="C1768" s="14" t="s">
        <v>132</v>
      </c>
      <c r="D1768" t="s">
        <v>46</v>
      </c>
      <c r="E1768" s="16" t="s">
        <v>144</v>
      </c>
      <c r="F1768">
        <v>2027</v>
      </c>
      <c r="G1768" s="12">
        <v>302245.76477625599</v>
      </c>
      <c r="H1768" s="13">
        <v>1</v>
      </c>
      <c r="I1768" s="13">
        <v>1</v>
      </c>
      <c r="J1768" s="13">
        <v>1</v>
      </c>
      <c r="K1768" s="13">
        <v>0</v>
      </c>
      <c r="L1768" s="13">
        <v>7.0000000000000007E-2</v>
      </c>
      <c r="M1768" s="13">
        <v>0.25</v>
      </c>
    </row>
    <row r="1769" spans="2:13" x14ac:dyDescent="0.25">
      <c r="B1769" s="14" t="s">
        <v>196</v>
      </c>
      <c r="C1769" s="14" t="s">
        <v>132</v>
      </c>
      <c r="D1769" t="s">
        <v>46</v>
      </c>
      <c r="E1769" s="16" t="s">
        <v>144</v>
      </c>
      <c r="F1769">
        <v>2028</v>
      </c>
      <c r="G1769" s="12">
        <v>304508.34108394699</v>
      </c>
      <c r="H1769" s="13">
        <v>1</v>
      </c>
      <c r="I1769" s="13">
        <v>1</v>
      </c>
      <c r="J1769" s="13">
        <v>1</v>
      </c>
      <c r="K1769" s="13">
        <v>0</v>
      </c>
      <c r="L1769" s="13">
        <v>7.0000000000000007E-2</v>
      </c>
      <c r="M1769" s="13">
        <v>0.25</v>
      </c>
    </row>
    <row r="1770" spans="2:13" x14ac:dyDescent="0.25">
      <c r="B1770" s="14" t="s">
        <v>196</v>
      </c>
      <c r="C1770" s="14" t="s">
        <v>132</v>
      </c>
      <c r="D1770" t="s">
        <v>46</v>
      </c>
      <c r="E1770" s="16" t="s">
        <v>133</v>
      </c>
      <c r="F1770">
        <v>2026</v>
      </c>
      <c r="G1770" s="12">
        <v>1560255</v>
      </c>
      <c r="H1770" s="13">
        <v>0.99</v>
      </c>
      <c r="I1770" s="13">
        <v>0.97799999999999998</v>
      </c>
      <c r="J1770" s="13">
        <v>0.96</v>
      </c>
      <c r="K1770" s="13">
        <v>0</v>
      </c>
      <c r="L1770" s="13">
        <v>0.04</v>
      </c>
      <c r="M1770" s="13">
        <v>0.25</v>
      </c>
    </row>
    <row r="1771" spans="2:13" x14ac:dyDescent="0.25">
      <c r="B1771" s="14" t="s">
        <v>196</v>
      </c>
      <c r="C1771" s="14" t="s">
        <v>132</v>
      </c>
      <c r="D1771" t="s">
        <v>46</v>
      </c>
      <c r="E1771" s="16" t="s">
        <v>133</v>
      </c>
      <c r="F1771">
        <v>2027</v>
      </c>
      <c r="G1771" s="12">
        <v>1571852</v>
      </c>
      <c r="H1771" s="13">
        <v>0.99</v>
      </c>
      <c r="I1771" s="13">
        <v>0.98199999999999998</v>
      </c>
      <c r="J1771" s="13">
        <v>0.97</v>
      </c>
      <c r="K1771" s="13">
        <v>0</v>
      </c>
      <c r="L1771" s="13">
        <v>0.04</v>
      </c>
      <c r="M1771" s="13">
        <v>0.25</v>
      </c>
    </row>
    <row r="1772" spans="2:13" x14ac:dyDescent="0.25">
      <c r="B1772" s="14" t="s">
        <v>196</v>
      </c>
      <c r="C1772" s="14" t="s">
        <v>132</v>
      </c>
      <c r="D1772" t="s">
        <v>46</v>
      </c>
      <c r="E1772" s="16" t="s">
        <v>133</v>
      </c>
      <c r="F1772">
        <v>2028</v>
      </c>
      <c r="G1772" s="12">
        <v>1583741</v>
      </c>
      <c r="H1772" s="13">
        <v>0.99</v>
      </c>
      <c r="I1772" s="13">
        <v>0.98199999999999998</v>
      </c>
      <c r="J1772" s="13">
        <v>0.97</v>
      </c>
      <c r="K1772" s="13">
        <v>0</v>
      </c>
      <c r="L1772" s="13">
        <v>0.04</v>
      </c>
      <c r="M1772" s="13">
        <v>0.25</v>
      </c>
    </row>
    <row r="1773" spans="2:13" x14ac:dyDescent="0.25">
      <c r="B1773" s="14" t="s">
        <v>196</v>
      </c>
      <c r="C1773" s="14" t="s">
        <v>132</v>
      </c>
      <c r="D1773" t="s">
        <v>46</v>
      </c>
      <c r="E1773" s="16" t="s">
        <v>133</v>
      </c>
      <c r="F1773">
        <v>2029</v>
      </c>
      <c r="G1773" s="12">
        <v>1613834.4453596701</v>
      </c>
      <c r="H1773" s="13">
        <v>0.81854197780000004</v>
      </c>
      <c r="I1773" s="13">
        <v>0.80861821379999999</v>
      </c>
      <c r="J1773" s="13">
        <v>0.7943376754</v>
      </c>
      <c r="K1773" s="13">
        <v>0</v>
      </c>
      <c r="L1773" s="13">
        <v>0.04</v>
      </c>
      <c r="M1773" s="13">
        <v>0.25</v>
      </c>
    </row>
    <row r="1774" spans="2:13" x14ac:dyDescent="0.25">
      <c r="B1774" s="14" t="s">
        <v>196</v>
      </c>
      <c r="C1774" s="14" t="s">
        <v>132</v>
      </c>
      <c r="D1774" t="s">
        <v>46</v>
      </c>
      <c r="E1774" s="16" t="s">
        <v>133</v>
      </c>
      <c r="F1774">
        <v>2030</v>
      </c>
      <c r="G1774" s="12">
        <v>1620938.33521723</v>
      </c>
      <c r="H1774" s="13">
        <v>0.82514197779999998</v>
      </c>
      <c r="I1774" s="13">
        <v>0.81521821380000004</v>
      </c>
      <c r="J1774" s="13">
        <v>0.80093767540000005</v>
      </c>
      <c r="K1774" s="13">
        <v>0</v>
      </c>
      <c r="L1774" s="13">
        <v>0.04</v>
      </c>
      <c r="M1774" s="13">
        <v>0.25</v>
      </c>
    </row>
    <row r="1775" spans="2:13" x14ac:dyDescent="0.25">
      <c r="B1775" s="14" t="s">
        <v>196</v>
      </c>
      <c r="C1775" s="14" t="s">
        <v>70</v>
      </c>
      <c r="D1775" t="s">
        <v>46</v>
      </c>
      <c r="E1775" s="16" t="s">
        <v>144</v>
      </c>
      <c r="F1775">
        <v>2026</v>
      </c>
      <c r="G1775" s="12">
        <v>300000</v>
      </c>
      <c r="H1775" s="13">
        <v>1</v>
      </c>
      <c r="I1775" s="13">
        <v>1</v>
      </c>
      <c r="J1775" s="13">
        <v>0</v>
      </c>
      <c r="K1775" s="13">
        <v>0</v>
      </c>
      <c r="L1775" s="13">
        <v>0.1</v>
      </c>
      <c r="M1775" s="13">
        <v>0.25</v>
      </c>
    </row>
    <row r="1776" spans="2:13" x14ac:dyDescent="0.25">
      <c r="B1776" s="14" t="s">
        <v>196</v>
      </c>
      <c r="C1776" s="14" t="s">
        <v>70</v>
      </c>
      <c r="D1776" t="s">
        <v>46</v>
      </c>
      <c r="E1776" s="16" t="s">
        <v>144</v>
      </c>
      <c r="F1776">
        <v>2027</v>
      </c>
      <c r="G1776" s="12">
        <v>302245.76477625599</v>
      </c>
      <c r="H1776" s="13">
        <v>1</v>
      </c>
      <c r="I1776" s="13">
        <v>1</v>
      </c>
      <c r="J1776" s="13">
        <v>6.6E-3</v>
      </c>
      <c r="K1776" s="13">
        <v>0</v>
      </c>
      <c r="L1776" s="13">
        <v>7.0000000000000007E-2</v>
      </c>
      <c r="M1776" s="13">
        <v>0.25</v>
      </c>
    </row>
    <row r="1777" spans="2:13" x14ac:dyDescent="0.25">
      <c r="B1777" s="14" t="s">
        <v>196</v>
      </c>
      <c r="C1777" s="14" t="s">
        <v>70</v>
      </c>
      <c r="D1777" t="s">
        <v>46</v>
      </c>
      <c r="E1777" s="16" t="s">
        <v>144</v>
      </c>
      <c r="F1777">
        <v>2028</v>
      </c>
      <c r="G1777" s="12">
        <v>304508.34108394699</v>
      </c>
      <c r="H1777" s="13">
        <v>1</v>
      </c>
      <c r="I1777" s="13">
        <v>1</v>
      </c>
      <c r="J1777" s="13">
        <v>1.32E-2</v>
      </c>
      <c r="K1777" s="13">
        <v>0</v>
      </c>
      <c r="L1777" s="13">
        <v>7.0000000000000007E-2</v>
      </c>
      <c r="M1777" s="13">
        <v>0.25</v>
      </c>
    </row>
    <row r="1778" spans="2:13" x14ac:dyDescent="0.25">
      <c r="B1778" s="14" t="s">
        <v>196</v>
      </c>
      <c r="C1778" s="14" t="s">
        <v>70</v>
      </c>
      <c r="D1778" t="s">
        <v>46</v>
      </c>
      <c r="E1778" s="16" t="s">
        <v>133</v>
      </c>
      <c r="F1778">
        <v>2026</v>
      </c>
      <c r="G1778" s="12">
        <v>1560255</v>
      </c>
      <c r="H1778" s="13">
        <v>0.99</v>
      </c>
      <c r="I1778" s="13">
        <v>0.96</v>
      </c>
      <c r="J1778" s="13">
        <v>0</v>
      </c>
      <c r="K1778" s="13">
        <v>0</v>
      </c>
      <c r="L1778" s="13">
        <v>7.0000000000000007E-2</v>
      </c>
      <c r="M1778" s="13">
        <v>0.25</v>
      </c>
    </row>
    <row r="1779" spans="2:13" x14ac:dyDescent="0.25">
      <c r="B1779" s="14" t="s">
        <v>196</v>
      </c>
      <c r="C1779" s="14" t="s">
        <v>70</v>
      </c>
      <c r="D1779" t="s">
        <v>46</v>
      </c>
      <c r="E1779" s="16" t="s">
        <v>133</v>
      </c>
      <c r="F1779">
        <v>2027</v>
      </c>
      <c r="G1779" s="12">
        <v>1571852</v>
      </c>
      <c r="H1779" s="13">
        <v>0.99</v>
      </c>
      <c r="I1779" s="13">
        <v>0.97</v>
      </c>
      <c r="J1779" s="13">
        <v>0</v>
      </c>
      <c r="K1779" s="13">
        <v>0</v>
      </c>
      <c r="L1779" s="13">
        <v>7.0000000000000007E-2</v>
      </c>
      <c r="M1779" s="13">
        <v>0.25</v>
      </c>
    </row>
    <row r="1780" spans="2:13" x14ac:dyDescent="0.25">
      <c r="B1780" s="14" t="s">
        <v>196</v>
      </c>
      <c r="C1780" s="14" t="s">
        <v>70</v>
      </c>
      <c r="D1780" t="s">
        <v>46</v>
      </c>
      <c r="E1780" s="16" t="s">
        <v>133</v>
      </c>
      <c r="F1780">
        <v>2028</v>
      </c>
      <c r="G1780" s="12">
        <v>1583741</v>
      </c>
      <c r="H1780" s="13">
        <v>0.99</v>
      </c>
      <c r="I1780" s="13">
        <v>0.97</v>
      </c>
      <c r="J1780" s="13">
        <v>0</v>
      </c>
      <c r="K1780" s="13">
        <v>0</v>
      </c>
      <c r="L1780" s="13">
        <v>7.0000000000000007E-2</v>
      </c>
      <c r="M1780" s="13">
        <v>0.25</v>
      </c>
    </row>
    <row r="1781" spans="2:13" x14ac:dyDescent="0.25">
      <c r="B1781" s="14" t="s">
        <v>196</v>
      </c>
      <c r="C1781" s="14" t="s">
        <v>70</v>
      </c>
      <c r="D1781" t="s">
        <v>46</v>
      </c>
      <c r="E1781" s="16" t="s">
        <v>133</v>
      </c>
      <c r="F1781">
        <v>2029</v>
      </c>
      <c r="G1781" s="12">
        <v>1613834.4453596701</v>
      </c>
      <c r="H1781" s="13">
        <v>0.99</v>
      </c>
      <c r="I1781" s="13">
        <v>0.9798</v>
      </c>
      <c r="J1781" s="13">
        <v>1.9800000000000002E-2</v>
      </c>
      <c r="K1781" s="13">
        <v>0</v>
      </c>
      <c r="L1781" s="13">
        <v>7.0000000000000007E-2</v>
      </c>
      <c r="M1781" s="13">
        <v>0.25</v>
      </c>
    </row>
    <row r="1782" spans="2:13" x14ac:dyDescent="0.25">
      <c r="B1782" s="14" t="s">
        <v>196</v>
      </c>
      <c r="C1782" s="14" t="s">
        <v>70</v>
      </c>
      <c r="D1782" t="s">
        <v>46</v>
      </c>
      <c r="E1782" s="16" t="s">
        <v>133</v>
      </c>
      <c r="F1782">
        <v>2030</v>
      </c>
      <c r="G1782" s="12">
        <v>1620938.33521723</v>
      </c>
      <c r="H1782" s="13">
        <v>0.99</v>
      </c>
      <c r="I1782" s="13">
        <v>0.98640000000000005</v>
      </c>
      <c r="J1782" s="13">
        <v>2.64E-2</v>
      </c>
      <c r="K1782" s="13">
        <v>0</v>
      </c>
      <c r="L1782" s="13">
        <v>7.0000000000000007E-2</v>
      </c>
      <c r="M1782" s="13">
        <v>0.25</v>
      </c>
    </row>
    <row r="1783" spans="2:13" x14ac:dyDescent="0.25">
      <c r="B1783" s="14" t="s">
        <v>196</v>
      </c>
      <c r="C1783" s="14" t="s">
        <v>72</v>
      </c>
      <c r="D1783" t="s">
        <v>46</v>
      </c>
      <c r="E1783" s="16" t="s">
        <v>144</v>
      </c>
      <c r="F1783">
        <v>2026</v>
      </c>
      <c r="G1783" s="12">
        <v>300000</v>
      </c>
      <c r="H1783" s="13">
        <v>0.84</v>
      </c>
      <c r="I1783" s="13">
        <v>0.84</v>
      </c>
      <c r="J1783" s="13">
        <v>0.84</v>
      </c>
      <c r="K1783" s="13"/>
      <c r="L1783" s="13">
        <v>7.0000000000000007E-2</v>
      </c>
      <c r="M1783" s="13">
        <v>0.25</v>
      </c>
    </row>
    <row r="1784" spans="2:13" x14ac:dyDescent="0.25">
      <c r="B1784" s="14" t="s">
        <v>196</v>
      </c>
      <c r="C1784" s="14" t="s">
        <v>72</v>
      </c>
      <c r="D1784" t="s">
        <v>46</v>
      </c>
      <c r="E1784" s="16" t="s">
        <v>144</v>
      </c>
      <c r="F1784">
        <v>2027</v>
      </c>
      <c r="G1784" s="12">
        <v>301500</v>
      </c>
      <c r="H1784" s="13">
        <v>0.84660000000000002</v>
      </c>
      <c r="I1784" s="13">
        <v>0.84660000000000002</v>
      </c>
      <c r="J1784" s="13">
        <v>0.84660000000000002</v>
      </c>
      <c r="K1784" s="13"/>
      <c r="L1784" s="13">
        <v>7.0000000000000007E-2</v>
      </c>
      <c r="M1784" s="13">
        <v>0.25</v>
      </c>
    </row>
    <row r="1785" spans="2:13" x14ac:dyDescent="0.25">
      <c r="B1785" s="14" t="s">
        <v>196</v>
      </c>
      <c r="C1785" s="14" t="s">
        <v>72</v>
      </c>
      <c r="D1785" t="s">
        <v>46</v>
      </c>
      <c r="E1785" s="16" t="s">
        <v>144</v>
      </c>
      <c r="F1785">
        <v>2028</v>
      </c>
      <c r="G1785" s="12">
        <v>303007.5</v>
      </c>
      <c r="H1785" s="13">
        <v>0.85319999999999996</v>
      </c>
      <c r="I1785" s="13">
        <v>0.85319999999999996</v>
      </c>
      <c r="J1785" s="13">
        <v>0.85319999999999996</v>
      </c>
      <c r="K1785" s="13"/>
      <c r="L1785" s="13">
        <v>7.0000000000000007E-2</v>
      </c>
      <c r="M1785" s="13">
        <v>0.25</v>
      </c>
    </row>
    <row r="1786" spans="2:13" x14ac:dyDescent="0.25">
      <c r="B1786" s="14" t="s">
        <v>196</v>
      </c>
      <c r="C1786" s="14" t="s">
        <v>72</v>
      </c>
      <c r="D1786" t="s">
        <v>46</v>
      </c>
      <c r="E1786" s="16" t="s">
        <v>150</v>
      </c>
      <c r="F1786">
        <v>2026</v>
      </c>
      <c r="G1786" s="12">
        <v>0</v>
      </c>
      <c r="H1786" s="13">
        <v>0.84</v>
      </c>
      <c r="I1786" s="13">
        <v>0.84</v>
      </c>
      <c r="J1786" s="13">
        <v>0.84</v>
      </c>
      <c r="K1786" s="13"/>
      <c r="L1786" s="13">
        <v>7.0000000000000007E-2</v>
      </c>
      <c r="M1786" s="13">
        <v>0.25</v>
      </c>
    </row>
    <row r="1787" spans="2:13" x14ac:dyDescent="0.25">
      <c r="B1787" s="14" t="s">
        <v>196</v>
      </c>
      <c r="C1787" s="14" t="s">
        <v>72</v>
      </c>
      <c r="D1787" t="s">
        <v>46</v>
      </c>
      <c r="E1787" s="16" t="s">
        <v>150</v>
      </c>
      <c r="F1787">
        <v>2027</v>
      </c>
      <c r="G1787" s="12">
        <v>0</v>
      </c>
      <c r="H1787" s="13">
        <v>0.84660000000000002</v>
      </c>
      <c r="I1787" s="13">
        <v>0.84660000000000002</v>
      </c>
      <c r="J1787" s="13">
        <v>0.84660000000000002</v>
      </c>
      <c r="K1787" s="13"/>
      <c r="L1787" s="13">
        <v>7.0000000000000007E-2</v>
      </c>
      <c r="M1787" s="13">
        <v>0.25</v>
      </c>
    </row>
    <row r="1788" spans="2:13" x14ac:dyDescent="0.25">
      <c r="B1788" s="14" t="s">
        <v>196</v>
      </c>
      <c r="C1788" s="14" t="s">
        <v>72</v>
      </c>
      <c r="D1788" t="s">
        <v>46</v>
      </c>
      <c r="E1788" s="16" t="s">
        <v>150</v>
      </c>
      <c r="F1788">
        <v>2028</v>
      </c>
      <c r="G1788" s="12">
        <v>0</v>
      </c>
      <c r="H1788" s="13">
        <v>0.85319999999999996</v>
      </c>
      <c r="I1788" s="13">
        <v>0.85319999999999996</v>
      </c>
      <c r="J1788" s="13">
        <v>0.85319999999999996</v>
      </c>
      <c r="K1788" s="13"/>
      <c r="L1788" s="13">
        <v>7.0000000000000007E-2</v>
      </c>
      <c r="M1788" s="13">
        <v>0.25</v>
      </c>
    </row>
    <row r="1789" spans="2:13" x14ac:dyDescent="0.25">
      <c r="B1789" s="14" t="s">
        <v>196</v>
      </c>
      <c r="C1789" s="14" t="s">
        <v>72</v>
      </c>
      <c r="D1789" t="s">
        <v>46</v>
      </c>
      <c r="E1789" s="16" t="s">
        <v>133</v>
      </c>
      <c r="F1789">
        <v>2026</v>
      </c>
      <c r="G1789" s="12">
        <v>1560255</v>
      </c>
      <c r="H1789" s="13">
        <v>0.99</v>
      </c>
      <c r="I1789" s="13">
        <v>0.97799999999999998</v>
      </c>
      <c r="J1789" s="13">
        <v>0.96</v>
      </c>
      <c r="K1789" s="13"/>
      <c r="L1789" s="13">
        <v>7.0000000000000007E-2</v>
      </c>
      <c r="M1789" s="13">
        <v>0.25</v>
      </c>
    </row>
    <row r="1790" spans="2:13" x14ac:dyDescent="0.25">
      <c r="B1790" s="14" t="s">
        <v>196</v>
      </c>
      <c r="C1790" s="14" t="s">
        <v>72</v>
      </c>
      <c r="D1790" t="s">
        <v>46</v>
      </c>
      <c r="E1790" s="16" t="s">
        <v>133</v>
      </c>
      <c r="F1790">
        <v>2027</v>
      </c>
      <c r="G1790" s="12">
        <v>1571852</v>
      </c>
      <c r="H1790" s="13">
        <v>0.99</v>
      </c>
      <c r="I1790" s="13">
        <v>0.98199999999999998</v>
      </c>
      <c r="J1790" s="13">
        <v>0.97</v>
      </c>
      <c r="K1790" s="13"/>
      <c r="L1790" s="13">
        <v>7.0000000000000007E-2</v>
      </c>
      <c r="M1790" s="13">
        <v>0.25</v>
      </c>
    </row>
    <row r="1791" spans="2:13" x14ac:dyDescent="0.25">
      <c r="B1791" s="14" t="s">
        <v>196</v>
      </c>
      <c r="C1791" s="14" t="s">
        <v>72</v>
      </c>
      <c r="D1791" t="s">
        <v>46</v>
      </c>
      <c r="E1791" s="16" t="s">
        <v>133</v>
      </c>
      <c r="F1791">
        <v>2028</v>
      </c>
      <c r="G1791" s="12">
        <v>1583741</v>
      </c>
      <c r="H1791" s="13">
        <v>0.99</v>
      </c>
      <c r="I1791" s="13">
        <v>0.98199999999999998</v>
      </c>
      <c r="J1791" s="13">
        <v>0.97</v>
      </c>
      <c r="K1791" s="13"/>
      <c r="L1791" s="13">
        <v>7.0000000000000007E-2</v>
      </c>
      <c r="M1791" s="13">
        <v>0.25</v>
      </c>
    </row>
    <row r="1792" spans="2:13" x14ac:dyDescent="0.25">
      <c r="B1792" s="14" t="s">
        <v>196</v>
      </c>
      <c r="C1792" s="14" t="s">
        <v>72</v>
      </c>
      <c r="D1792" t="s">
        <v>46</v>
      </c>
      <c r="E1792" s="16" t="s">
        <v>133</v>
      </c>
      <c r="F1792">
        <v>2029</v>
      </c>
      <c r="G1792" s="12">
        <v>1613834.4453596701</v>
      </c>
      <c r="H1792" s="13">
        <v>0.78053134420000003</v>
      </c>
      <c r="I1792" s="13">
        <v>0.77107983359999999</v>
      </c>
      <c r="J1792" s="13">
        <v>0.75747887920000001</v>
      </c>
      <c r="K1792" s="13"/>
      <c r="L1792" s="13">
        <v>7.0000000000000007E-2</v>
      </c>
      <c r="M1792" s="13">
        <v>0.25</v>
      </c>
    </row>
    <row r="1793" spans="2:13" x14ac:dyDescent="0.25">
      <c r="B1793" s="14" t="s">
        <v>196</v>
      </c>
      <c r="C1793" s="14" t="s">
        <v>72</v>
      </c>
      <c r="D1793" t="s">
        <v>46</v>
      </c>
      <c r="E1793" s="16" t="s">
        <v>133</v>
      </c>
      <c r="F1793">
        <v>2030</v>
      </c>
      <c r="G1793" s="12">
        <v>1620938.33521723</v>
      </c>
      <c r="H1793" s="13">
        <v>0.78713134419999997</v>
      </c>
      <c r="I1793" s="13">
        <v>0.77767983360000004</v>
      </c>
      <c r="J1793" s="13">
        <v>0.76407887919999995</v>
      </c>
      <c r="K1793" s="13"/>
      <c r="L1793" s="13">
        <v>7.0000000000000007E-2</v>
      </c>
      <c r="M1793" s="13">
        <v>0.25</v>
      </c>
    </row>
    <row r="1794" spans="2:13" x14ac:dyDescent="0.25">
      <c r="B1794" s="14" t="s">
        <v>196</v>
      </c>
      <c r="C1794" s="14" t="s">
        <v>102</v>
      </c>
      <c r="D1794" t="s">
        <v>46</v>
      </c>
      <c r="E1794" s="16" t="s">
        <v>133</v>
      </c>
      <c r="F1794">
        <v>2026</v>
      </c>
      <c r="G1794" s="12">
        <v>2096723</v>
      </c>
      <c r="H1794" s="13">
        <v>1</v>
      </c>
      <c r="I1794" s="13"/>
      <c r="J1794" s="13"/>
      <c r="K1794" s="13"/>
      <c r="L1794" s="13">
        <v>7.0000000000000007E-2</v>
      </c>
      <c r="M1794" s="13">
        <v>0.25</v>
      </c>
    </row>
    <row r="1795" spans="2:13" x14ac:dyDescent="0.25">
      <c r="B1795" s="14" t="s">
        <v>196</v>
      </c>
      <c r="C1795" s="14" t="s">
        <v>102</v>
      </c>
      <c r="D1795" t="s">
        <v>46</v>
      </c>
      <c r="E1795" s="16" t="s">
        <v>133</v>
      </c>
      <c r="F1795">
        <v>2027</v>
      </c>
      <c r="G1795" s="12">
        <v>2135604.7171840402</v>
      </c>
      <c r="H1795" s="13">
        <v>1</v>
      </c>
      <c r="I1795" s="13"/>
      <c r="J1795" s="13"/>
      <c r="K1795" s="13"/>
      <c r="L1795" s="13">
        <v>7.0000000000000007E-2</v>
      </c>
      <c r="M1795" s="13">
        <v>0.25</v>
      </c>
    </row>
    <row r="1796" spans="2:13" x14ac:dyDescent="0.25">
      <c r="B1796" s="14" t="s">
        <v>196</v>
      </c>
      <c r="C1796" s="14" t="s">
        <v>102</v>
      </c>
      <c r="D1796" t="s">
        <v>46</v>
      </c>
      <c r="E1796" s="16" t="s">
        <v>133</v>
      </c>
      <c r="F1796">
        <v>2028</v>
      </c>
      <c r="G1796" s="12">
        <v>2151758.0792773101</v>
      </c>
      <c r="H1796" s="13">
        <v>1</v>
      </c>
      <c r="I1796" s="13"/>
      <c r="J1796" s="13"/>
      <c r="K1796" s="13"/>
      <c r="L1796" s="13">
        <v>7.0000000000000007E-2</v>
      </c>
      <c r="M1796" s="13">
        <v>0.25</v>
      </c>
    </row>
    <row r="1797" spans="2:13" x14ac:dyDescent="0.25">
      <c r="B1797" s="14" t="s">
        <v>196</v>
      </c>
      <c r="C1797" s="14" t="s">
        <v>102</v>
      </c>
      <c r="D1797" t="s">
        <v>46</v>
      </c>
      <c r="E1797" s="16" t="s">
        <v>133</v>
      </c>
      <c r="F1797">
        <v>2029</v>
      </c>
      <c r="G1797" s="12">
        <v>2168724.8557305401</v>
      </c>
      <c r="H1797" s="13">
        <v>1</v>
      </c>
      <c r="I1797" s="13"/>
      <c r="J1797" s="13"/>
      <c r="K1797" s="13"/>
      <c r="L1797" s="13">
        <v>7.0000000000000007E-2</v>
      </c>
      <c r="M1797" s="13">
        <v>0.25</v>
      </c>
    </row>
    <row r="1798" spans="2:13" x14ac:dyDescent="0.25">
      <c r="B1798" s="14" t="s">
        <v>196</v>
      </c>
      <c r="C1798" s="14" t="s">
        <v>102</v>
      </c>
      <c r="D1798" t="s">
        <v>46</v>
      </c>
      <c r="E1798" s="16" t="s">
        <v>133</v>
      </c>
      <c r="F1798">
        <v>2030</v>
      </c>
      <c r="G1798" s="12">
        <v>2178271.3011858198</v>
      </c>
      <c r="H1798" s="13">
        <v>1</v>
      </c>
      <c r="I1798" s="13"/>
      <c r="J1798" s="13"/>
      <c r="K1798" s="13"/>
      <c r="L1798" s="13">
        <v>7.0000000000000007E-2</v>
      </c>
      <c r="M1798" s="13">
        <v>0.25</v>
      </c>
    </row>
    <row r="1799" spans="2:13" x14ac:dyDescent="0.25">
      <c r="B1799" s="14" t="s">
        <v>196</v>
      </c>
      <c r="C1799" s="14" t="s">
        <v>145</v>
      </c>
      <c r="D1799" t="s">
        <v>46</v>
      </c>
      <c r="E1799" s="16" t="s">
        <v>133</v>
      </c>
      <c r="F1799">
        <v>2026</v>
      </c>
      <c r="G1799" s="12">
        <v>1025605.7</v>
      </c>
      <c r="H1799" s="13">
        <v>0.85</v>
      </c>
      <c r="I1799" s="13">
        <v>0.82</v>
      </c>
      <c r="J1799" s="13">
        <v>0.78</v>
      </c>
      <c r="K1799" s="13">
        <v>0.68787109540000002</v>
      </c>
      <c r="L1799" s="13"/>
      <c r="M1799" s="13">
        <v>0.25</v>
      </c>
    </row>
    <row r="1800" spans="2:13" x14ac:dyDescent="0.25">
      <c r="B1800" s="14" t="s">
        <v>196</v>
      </c>
      <c r="C1800" s="14" t="s">
        <v>145</v>
      </c>
      <c r="D1800" t="s">
        <v>46</v>
      </c>
      <c r="E1800" s="16" t="s">
        <v>133</v>
      </c>
      <c r="F1800">
        <v>2027</v>
      </c>
      <c r="G1800" s="12">
        <v>1033228.78039577</v>
      </c>
      <c r="H1800" s="13">
        <v>0.85</v>
      </c>
      <c r="I1800" s="13">
        <v>0.82</v>
      </c>
      <c r="J1800" s="13">
        <v>0.78</v>
      </c>
      <c r="K1800" s="13">
        <v>0.75</v>
      </c>
      <c r="L1800" s="13"/>
      <c r="M1800" s="13">
        <v>0.25</v>
      </c>
    </row>
    <row r="1801" spans="2:13" x14ac:dyDescent="0.25">
      <c r="B1801" s="14" t="s">
        <v>196</v>
      </c>
      <c r="C1801" s="14" t="s">
        <v>145</v>
      </c>
      <c r="D1801" t="s">
        <v>46</v>
      </c>
      <c r="E1801" s="16" t="s">
        <v>133</v>
      </c>
      <c r="F1801">
        <v>2028</v>
      </c>
      <c r="G1801" s="12">
        <v>1043063.78331734</v>
      </c>
      <c r="H1801" s="13">
        <v>0.85850000000000004</v>
      </c>
      <c r="I1801" s="13">
        <v>0.82820000000000005</v>
      </c>
      <c r="J1801" s="13">
        <v>0.78779999999999994</v>
      </c>
      <c r="K1801" s="13">
        <v>0.75</v>
      </c>
      <c r="L1801" s="13"/>
      <c r="M1801" s="13">
        <v>0.25</v>
      </c>
    </row>
    <row r="1802" spans="2:13" x14ac:dyDescent="0.25">
      <c r="B1802" s="14" t="s">
        <v>196</v>
      </c>
      <c r="C1802" s="14" t="s">
        <v>145</v>
      </c>
      <c r="D1802" t="s">
        <v>46</v>
      </c>
      <c r="E1802" s="16" t="s">
        <v>133</v>
      </c>
      <c r="F1802">
        <v>2029</v>
      </c>
      <c r="G1802" s="12">
        <v>1050635.5918091</v>
      </c>
      <c r="H1802" s="13">
        <v>0.86699999999999999</v>
      </c>
      <c r="I1802" s="13">
        <v>0.83640000000000003</v>
      </c>
      <c r="J1802" s="13">
        <v>0.79559999999999997</v>
      </c>
      <c r="K1802" s="13">
        <v>0.75749999999999995</v>
      </c>
      <c r="L1802" s="13"/>
      <c r="M1802" s="13">
        <v>0.25</v>
      </c>
    </row>
    <row r="1803" spans="2:13" x14ac:dyDescent="0.25">
      <c r="B1803" s="14" t="s">
        <v>196</v>
      </c>
      <c r="C1803" s="14" t="s">
        <v>145</v>
      </c>
      <c r="D1803" t="s">
        <v>46</v>
      </c>
      <c r="E1803" s="16" t="s">
        <v>133</v>
      </c>
      <c r="F1803">
        <v>2030</v>
      </c>
      <c r="G1803" s="12">
        <v>1062405.7804412099</v>
      </c>
      <c r="H1803" s="13">
        <v>0.87549999999999994</v>
      </c>
      <c r="I1803" s="13">
        <v>0.84460000000000002</v>
      </c>
      <c r="J1803" s="13">
        <v>0.8034</v>
      </c>
      <c r="K1803" s="13">
        <v>0.76500000000000001</v>
      </c>
      <c r="L1803" s="13"/>
      <c r="M1803" s="13">
        <v>0.25</v>
      </c>
    </row>
    <row r="1804" spans="2:13" x14ac:dyDescent="0.25">
      <c r="B1804" s="14" t="s">
        <v>196</v>
      </c>
      <c r="C1804" s="14" t="s">
        <v>38</v>
      </c>
      <c r="D1804" t="s">
        <v>46</v>
      </c>
      <c r="E1804" s="16" t="s">
        <v>144</v>
      </c>
      <c r="F1804">
        <v>2026</v>
      </c>
      <c r="G1804" s="12">
        <v>300000</v>
      </c>
      <c r="H1804" s="13">
        <v>1</v>
      </c>
      <c r="I1804" s="13"/>
      <c r="J1804" s="13"/>
      <c r="K1804" s="13"/>
      <c r="L1804" s="13">
        <v>0.2</v>
      </c>
      <c r="M1804" s="13">
        <v>0.25</v>
      </c>
    </row>
    <row r="1805" spans="2:13" x14ac:dyDescent="0.25">
      <c r="B1805" s="14" t="s">
        <v>196</v>
      </c>
      <c r="C1805" s="14" t="s">
        <v>38</v>
      </c>
      <c r="D1805" t="s">
        <v>46</v>
      </c>
      <c r="E1805" s="16" t="s">
        <v>144</v>
      </c>
      <c r="F1805">
        <v>2027</v>
      </c>
      <c r="G1805" s="12">
        <v>300000</v>
      </c>
      <c r="H1805" s="13">
        <v>1</v>
      </c>
      <c r="I1805" s="13"/>
      <c r="J1805" s="13"/>
      <c r="K1805" s="13"/>
      <c r="L1805" s="13">
        <v>0.2</v>
      </c>
      <c r="M1805" s="13">
        <v>0.25</v>
      </c>
    </row>
    <row r="1806" spans="2:13" x14ac:dyDescent="0.25">
      <c r="B1806" s="14" t="s">
        <v>196</v>
      </c>
      <c r="C1806" s="14" t="s">
        <v>38</v>
      </c>
      <c r="D1806" t="s">
        <v>46</v>
      </c>
      <c r="E1806" s="16" t="s">
        <v>133</v>
      </c>
      <c r="F1806">
        <v>2026</v>
      </c>
      <c r="G1806" s="12">
        <v>1672432</v>
      </c>
      <c r="H1806" s="13">
        <v>0.49</v>
      </c>
      <c r="I1806" s="13"/>
      <c r="J1806" s="13"/>
      <c r="K1806" s="13"/>
      <c r="L1806" s="13">
        <v>0.2</v>
      </c>
      <c r="M1806" s="13">
        <v>0.25</v>
      </c>
    </row>
    <row r="1807" spans="2:13" x14ac:dyDescent="0.25">
      <c r="B1807" s="14" t="s">
        <v>196</v>
      </c>
      <c r="C1807" s="14" t="s">
        <v>38</v>
      </c>
      <c r="D1807" t="s">
        <v>46</v>
      </c>
      <c r="E1807" s="16" t="s">
        <v>133</v>
      </c>
      <c r="F1807">
        <v>2027</v>
      </c>
      <c r="G1807" s="12">
        <v>1672432</v>
      </c>
      <c r="H1807" s="13">
        <v>0.49</v>
      </c>
      <c r="I1807" s="13"/>
      <c r="J1807" s="13"/>
      <c r="K1807" s="13"/>
      <c r="L1807" s="13">
        <v>0.2</v>
      </c>
      <c r="M1807" s="13">
        <v>0.25</v>
      </c>
    </row>
    <row r="1808" spans="2:13" x14ac:dyDescent="0.25">
      <c r="B1808" s="14" t="s">
        <v>196</v>
      </c>
      <c r="C1808" s="14" t="s">
        <v>40</v>
      </c>
      <c r="D1808" t="s">
        <v>151</v>
      </c>
      <c r="E1808" s="16" t="s">
        <v>133</v>
      </c>
      <c r="F1808">
        <v>2027</v>
      </c>
      <c r="G1808" s="12">
        <v>10409098</v>
      </c>
      <c r="H1808" s="13">
        <v>1</v>
      </c>
      <c r="I1808" s="13"/>
      <c r="J1808" s="13"/>
      <c r="K1808" s="13"/>
      <c r="L1808" s="13">
        <v>0.1</v>
      </c>
      <c r="M1808" s="13">
        <v>0.25</v>
      </c>
    </row>
    <row r="1809" spans="2:13" x14ac:dyDescent="0.25">
      <c r="B1809" s="14" t="s">
        <v>196</v>
      </c>
      <c r="C1809" s="14" t="s">
        <v>40</v>
      </c>
      <c r="D1809" t="s">
        <v>46</v>
      </c>
      <c r="E1809" s="16" t="s">
        <v>144</v>
      </c>
      <c r="F1809">
        <v>2028</v>
      </c>
      <c r="G1809" s="12">
        <v>300000</v>
      </c>
      <c r="H1809" s="13">
        <v>1</v>
      </c>
      <c r="I1809" s="13"/>
      <c r="J1809" s="13"/>
      <c r="K1809" s="13"/>
      <c r="L1809" s="13">
        <v>0.2</v>
      </c>
      <c r="M1809" s="13">
        <v>0.25</v>
      </c>
    </row>
    <row r="1810" spans="2:13" x14ac:dyDescent="0.25">
      <c r="B1810" s="14" t="s">
        <v>196</v>
      </c>
      <c r="C1810" s="14" t="s">
        <v>40</v>
      </c>
      <c r="D1810" t="s">
        <v>46</v>
      </c>
      <c r="E1810" s="16" t="s">
        <v>133</v>
      </c>
      <c r="F1810">
        <v>2028</v>
      </c>
      <c r="G1810" s="12">
        <v>1672432</v>
      </c>
      <c r="H1810" s="13">
        <v>0.49</v>
      </c>
      <c r="I1810" s="13"/>
      <c r="J1810" s="13"/>
      <c r="K1810" s="13"/>
      <c r="L1810" s="13">
        <v>0.2</v>
      </c>
      <c r="M1810" s="13">
        <v>0.25</v>
      </c>
    </row>
    <row r="1811" spans="2:13" x14ac:dyDescent="0.25">
      <c r="B1811" s="14" t="s">
        <v>196</v>
      </c>
      <c r="C1811" s="14" t="s">
        <v>40</v>
      </c>
      <c r="D1811" t="s">
        <v>46</v>
      </c>
      <c r="E1811" s="16" t="s">
        <v>133</v>
      </c>
      <c r="F1811">
        <v>2029</v>
      </c>
      <c r="G1811" s="12">
        <v>1596229.1497579601</v>
      </c>
      <c r="H1811" s="13">
        <v>0.94</v>
      </c>
      <c r="I1811" s="13"/>
      <c r="J1811" s="13"/>
      <c r="K1811" s="13"/>
      <c r="L1811" s="13">
        <v>0</v>
      </c>
      <c r="M1811" s="13">
        <v>0.25</v>
      </c>
    </row>
    <row r="1812" spans="2:13" x14ac:dyDescent="0.25">
      <c r="B1812" s="14" t="s">
        <v>196</v>
      </c>
      <c r="C1812" s="14" t="s">
        <v>40</v>
      </c>
      <c r="D1812" t="s">
        <v>46</v>
      </c>
      <c r="E1812" s="16" t="s">
        <v>133</v>
      </c>
      <c r="F1812">
        <v>2030</v>
      </c>
      <c r="G1812" s="12">
        <v>1603255.5433883099</v>
      </c>
      <c r="H1812" s="13">
        <v>0.94</v>
      </c>
      <c r="I1812" s="13"/>
      <c r="J1812" s="13"/>
      <c r="K1812" s="13"/>
      <c r="L1812" s="13">
        <v>0</v>
      </c>
      <c r="M1812" s="13">
        <v>0.25</v>
      </c>
    </row>
    <row r="1813" spans="2:13" x14ac:dyDescent="0.25">
      <c r="B1813" s="14" t="s">
        <v>196</v>
      </c>
      <c r="C1813" s="14" t="s">
        <v>52</v>
      </c>
      <c r="D1813" t="s">
        <v>141</v>
      </c>
      <c r="E1813" s="16" t="s">
        <v>133</v>
      </c>
      <c r="F1813">
        <v>2027</v>
      </c>
      <c r="G1813" s="12">
        <v>7111960.875</v>
      </c>
      <c r="H1813" s="13">
        <v>0.85</v>
      </c>
      <c r="I1813" s="13"/>
      <c r="J1813" s="13"/>
      <c r="K1813" s="13"/>
      <c r="L1813" s="13"/>
      <c r="M1813" s="13"/>
    </row>
    <row r="1814" spans="2:13" x14ac:dyDescent="0.25">
      <c r="B1814" s="14" t="s">
        <v>196</v>
      </c>
      <c r="C1814" s="14" t="s">
        <v>52</v>
      </c>
      <c r="D1814" t="s">
        <v>141</v>
      </c>
      <c r="E1814" s="16" t="s">
        <v>133</v>
      </c>
      <c r="F1814">
        <v>2029</v>
      </c>
      <c r="G1814" s="12">
        <v>7283084.625</v>
      </c>
      <c r="H1814" s="13">
        <v>0.85</v>
      </c>
      <c r="I1814" s="13"/>
      <c r="J1814" s="13"/>
      <c r="K1814" s="13"/>
      <c r="L1814" s="13"/>
      <c r="M1814" s="13"/>
    </row>
    <row r="1815" spans="2:13" x14ac:dyDescent="0.25">
      <c r="B1815" s="14" t="s">
        <v>196</v>
      </c>
      <c r="C1815" s="14" t="s">
        <v>52</v>
      </c>
      <c r="D1815" t="s">
        <v>138</v>
      </c>
      <c r="E1815" s="16" t="s">
        <v>144</v>
      </c>
      <c r="F1815">
        <v>2026</v>
      </c>
      <c r="G1815" s="12">
        <v>300000</v>
      </c>
      <c r="H1815" s="13">
        <v>0.84</v>
      </c>
      <c r="I1815" s="13">
        <v>0.86939999999999995</v>
      </c>
      <c r="J1815" s="13"/>
      <c r="K1815" s="13"/>
      <c r="L1815" s="13"/>
      <c r="M1815" s="13"/>
    </row>
    <row r="1816" spans="2:13" x14ac:dyDescent="0.25">
      <c r="B1816" s="14" t="s">
        <v>196</v>
      </c>
      <c r="C1816" s="14" t="s">
        <v>52</v>
      </c>
      <c r="D1816" t="s">
        <v>138</v>
      </c>
      <c r="E1816" s="16" t="s">
        <v>144</v>
      </c>
      <c r="F1816">
        <v>2027</v>
      </c>
      <c r="G1816" s="12">
        <v>300000</v>
      </c>
      <c r="H1816" s="13">
        <v>0.84</v>
      </c>
      <c r="I1816" s="13">
        <v>0.86939999999999995</v>
      </c>
      <c r="J1816" s="13"/>
      <c r="K1816" s="13"/>
      <c r="L1816" s="13"/>
      <c r="M1816" s="13"/>
    </row>
    <row r="1817" spans="2:13" x14ac:dyDescent="0.25">
      <c r="B1817" s="14" t="s">
        <v>196</v>
      </c>
      <c r="C1817" s="14" t="s">
        <v>52</v>
      </c>
      <c r="D1817" t="s">
        <v>138</v>
      </c>
      <c r="E1817" s="16" t="s">
        <v>144</v>
      </c>
      <c r="F1817">
        <v>2028</v>
      </c>
      <c r="G1817" s="12">
        <v>300000</v>
      </c>
      <c r="H1817" s="13">
        <v>0.84</v>
      </c>
      <c r="I1817" s="13">
        <v>0.86939999999999995</v>
      </c>
      <c r="J1817" s="13"/>
      <c r="K1817" s="13"/>
      <c r="L1817" s="13"/>
      <c r="M1817" s="13"/>
    </row>
    <row r="1818" spans="2:13" x14ac:dyDescent="0.25">
      <c r="B1818" s="14" t="s">
        <v>196</v>
      </c>
      <c r="C1818" s="14" t="s">
        <v>52</v>
      </c>
      <c r="D1818" t="s">
        <v>138</v>
      </c>
      <c r="E1818" s="16" t="s">
        <v>133</v>
      </c>
      <c r="F1818">
        <v>2026</v>
      </c>
      <c r="G1818" s="12">
        <v>1916836</v>
      </c>
      <c r="H1818" s="13">
        <v>0.85</v>
      </c>
      <c r="I1818" s="13">
        <v>0.75</v>
      </c>
      <c r="J1818" s="13"/>
      <c r="K1818" s="13"/>
      <c r="L1818" s="13"/>
      <c r="M1818" s="13"/>
    </row>
    <row r="1819" spans="2:13" x14ac:dyDescent="0.25">
      <c r="B1819" s="14" t="s">
        <v>196</v>
      </c>
      <c r="C1819" s="14" t="s">
        <v>52</v>
      </c>
      <c r="D1819" t="s">
        <v>138</v>
      </c>
      <c r="E1819" s="16" t="s">
        <v>133</v>
      </c>
      <c r="F1819">
        <v>2027</v>
      </c>
      <c r="G1819" s="12">
        <v>1965413</v>
      </c>
      <c r="H1819" s="13">
        <v>0.9</v>
      </c>
      <c r="I1819" s="13">
        <v>0.8</v>
      </c>
      <c r="J1819" s="13"/>
      <c r="K1819" s="13"/>
      <c r="L1819" s="13"/>
      <c r="M1819" s="13"/>
    </row>
    <row r="1820" spans="2:13" x14ac:dyDescent="0.25">
      <c r="B1820" s="14" t="s">
        <v>196</v>
      </c>
      <c r="C1820" s="14" t="s">
        <v>52</v>
      </c>
      <c r="D1820" t="s">
        <v>138</v>
      </c>
      <c r="E1820" s="16" t="s">
        <v>133</v>
      </c>
      <c r="F1820">
        <v>2028</v>
      </c>
      <c r="G1820" s="12">
        <v>1980279</v>
      </c>
      <c r="H1820" s="13">
        <v>0.9</v>
      </c>
      <c r="I1820" s="13">
        <v>0.8</v>
      </c>
      <c r="J1820" s="13"/>
      <c r="K1820" s="13"/>
      <c r="L1820" s="13"/>
      <c r="M1820" s="13"/>
    </row>
    <row r="1821" spans="2:13" x14ac:dyDescent="0.25">
      <c r="B1821" s="14" t="s">
        <v>196</v>
      </c>
      <c r="C1821" s="14" t="s">
        <v>52</v>
      </c>
      <c r="D1821" t="s">
        <v>138</v>
      </c>
      <c r="E1821" s="16" t="s">
        <v>133</v>
      </c>
      <c r="F1821">
        <v>2029</v>
      </c>
      <c r="G1821" s="12">
        <v>1959651</v>
      </c>
      <c r="H1821" s="13">
        <v>0.92</v>
      </c>
      <c r="I1821" s="13">
        <v>0.90044999999999997</v>
      </c>
      <c r="J1821" s="13"/>
      <c r="K1821" s="13"/>
      <c r="L1821" s="13"/>
      <c r="M1821" s="13"/>
    </row>
    <row r="1822" spans="2:13" x14ac:dyDescent="0.25">
      <c r="B1822" s="14" t="s">
        <v>196</v>
      </c>
      <c r="C1822" s="14" t="s">
        <v>52</v>
      </c>
      <c r="D1822" t="s">
        <v>138</v>
      </c>
      <c r="E1822" s="16" t="s">
        <v>133</v>
      </c>
      <c r="F1822">
        <v>2030</v>
      </c>
      <c r="G1822" s="12">
        <v>1968277</v>
      </c>
      <c r="H1822" s="13">
        <v>0.92</v>
      </c>
      <c r="I1822" s="13">
        <v>0.90044999999999997</v>
      </c>
      <c r="J1822" s="13"/>
      <c r="K1822" s="13"/>
      <c r="L1822" s="13"/>
      <c r="M1822" s="13"/>
    </row>
    <row r="1823" spans="2:13" x14ac:dyDescent="0.25">
      <c r="B1823" s="14" t="s">
        <v>196</v>
      </c>
      <c r="C1823" s="14" t="s">
        <v>109</v>
      </c>
      <c r="D1823" t="s">
        <v>151</v>
      </c>
      <c r="E1823" s="16" t="s">
        <v>133</v>
      </c>
      <c r="F1823">
        <v>2026</v>
      </c>
      <c r="G1823" s="12">
        <v>0</v>
      </c>
      <c r="H1823" s="13"/>
      <c r="I1823" s="13"/>
      <c r="J1823" s="13"/>
      <c r="K1823" s="13"/>
      <c r="L1823" s="13"/>
      <c r="M1823" s="13"/>
    </row>
    <row r="1824" spans="2:13" x14ac:dyDescent="0.25">
      <c r="B1824" s="14" t="s">
        <v>196</v>
      </c>
      <c r="C1824" s="14" t="s">
        <v>109</v>
      </c>
      <c r="D1824" t="s">
        <v>151</v>
      </c>
      <c r="E1824" s="16" t="s">
        <v>133</v>
      </c>
      <c r="F1824">
        <v>2027</v>
      </c>
      <c r="G1824" s="12">
        <v>0</v>
      </c>
      <c r="H1824" s="13"/>
      <c r="I1824" s="13"/>
      <c r="J1824" s="13"/>
      <c r="K1824" s="13"/>
      <c r="L1824" s="13"/>
      <c r="M1824" s="13"/>
    </row>
    <row r="1825" spans="2:13" x14ac:dyDescent="0.25">
      <c r="B1825" s="14" t="s">
        <v>196</v>
      </c>
      <c r="C1825" s="14" t="s">
        <v>109</v>
      </c>
      <c r="D1825" t="s">
        <v>151</v>
      </c>
      <c r="E1825" s="16" t="s">
        <v>133</v>
      </c>
      <c r="F1825">
        <v>2028</v>
      </c>
      <c r="G1825" s="12">
        <v>0</v>
      </c>
      <c r="H1825" s="13"/>
      <c r="I1825" s="13"/>
      <c r="J1825" s="13"/>
      <c r="K1825" s="13"/>
      <c r="L1825" s="13"/>
      <c r="M1825" s="13"/>
    </row>
    <row r="1826" spans="2:13" x14ac:dyDescent="0.25">
      <c r="B1826" s="14" t="s">
        <v>196</v>
      </c>
      <c r="C1826" s="14" t="s">
        <v>109</v>
      </c>
      <c r="D1826" t="s">
        <v>151</v>
      </c>
      <c r="E1826" s="16" t="s">
        <v>133</v>
      </c>
      <c r="F1826">
        <v>2029</v>
      </c>
      <c r="G1826" s="12">
        <v>2432432.4324324299</v>
      </c>
      <c r="H1826" s="13">
        <v>1</v>
      </c>
      <c r="I1826" s="13">
        <v>0.85</v>
      </c>
      <c r="J1826" s="13"/>
      <c r="K1826" s="13"/>
      <c r="L1826" s="13"/>
      <c r="M1826" s="13"/>
    </row>
    <row r="1827" spans="2:13" x14ac:dyDescent="0.25">
      <c r="B1827" s="14" t="s">
        <v>196</v>
      </c>
      <c r="C1827" s="14" t="s">
        <v>109</v>
      </c>
      <c r="D1827" t="s">
        <v>151</v>
      </c>
      <c r="E1827" s="16" t="s">
        <v>133</v>
      </c>
      <c r="F1827">
        <v>2030</v>
      </c>
      <c r="G1827" s="12">
        <v>2432432.4324324299</v>
      </c>
      <c r="H1827" s="13">
        <v>1</v>
      </c>
      <c r="I1827" s="13">
        <v>0.85</v>
      </c>
      <c r="J1827" s="13"/>
      <c r="K1827" s="13"/>
      <c r="L1827" s="13"/>
      <c r="M1827" s="13"/>
    </row>
    <row r="1828" spans="2:13" x14ac:dyDescent="0.25">
      <c r="B1828" s="14" t="s">
        <v>196</v>
      </c>
      <c r="C1828" s="14" t="s">
        <v>139</v>
      </c>
      <c r="D1828" t="s">
        <v>46</v>
      </c>
      <c r="E1828" s="16" t="s">
        <v>144</v>
      </c>
      <c r="F1828">
        <v>2026</v>
      </c>
      <c r="G1828" s="12">
        <v>300000</v>
      </c>
      <c r="H1828" s="13">
        <v>1</v>
      </c>
      <c r="I1828" s="13">
        <v>1</v>
      </c>
      <c r="J1828" s="13">
        <v>1</v>
      </c>
      <c r="K1828" s="13"/>
      <c r="L1828" s="13">
        <v>0.05</v>
      </c>
      <c r="M1828" s="13">
        <v>0.25</v>
      </c>
    </row>
    <row r="1829" spans="2:13" x14ac:dyDescent="0.25">
      <c r="B1829" s="14" t="s">
        <v>196</v>
      </c>
      <c r="C1829" s="14" t="s">
        <v>139</v>
      </c>
      <c r="D1829" t="s">
        <v>46</v>
      </c>
      <c r="E1829" s="16" t="s">
        <v>144</v>
      </c>
      <c r="F1829">
        <v>2027</v>
      </c>
      <c r="G1829" s="12">
        <v>301500</v>
      </c>
      <c r="H1829" s="13">
        <v>1</v>
      </c>
      <c r="I1829" s="13">
        <v>1</v>
      </c>
      <c r="J1829" s="13">
        <v>1</v>
      </c>
      <c r="K1829" s="13"/>
      <c r="L1829" s="13">
        <v>7.0000000000000007E-2</v>
      </c>
      <c r="M1829" s="13">
        <v>0.25</v>
      </c>
    </row>
    <row r="1830" spans="2:13" x14ac:dyDescent="0.25">
      <c r="B1830" s="14" t="s">
        <v>196</v>
      </c>
      <c r="C1830" s="14" t="s">
        <v>139</v>
      </c>
      <c r="D1830" t="s">
        <v>46</v>
      </c>
      <c r="E1830" s="16" t="s">
        <v>144</v>
      </c>
      <c r="F1830">
        <v>2028</v>
      </c>
      <c r="G1830" s="12">
        <v>303007.5</v>
      </c>
      <c r="H1830" s="13">
        <v>1</v>
      </c>
      <c r="I1830" s="13">
        <v>1</v>
      </c>
      <c r="J1830" s="13">
        <v>1</v>
      </c>
      <c r="K1830" s="13"/>
      <c r="L1830" s="13">
        <v>7.0000000000000007E-2</v>
      </c>
      <c r="M1830" s="13">
        <v>0.25</v>
      </c>
    </row>
    <row r="1831" spans="2:13" x14ac:dyDescent="0.25">
      <c r="B1831" s="14" t="s">
        <v>196</v>
      </c>
      <c r="C1831" s="14" t="s">
        <v>139</v>
      </c>
      <c r="D1831" t="s">
        <v>46</v>
      </c>
      <c r="E1831" s="16" t="s">
        <v>150</v>
      </c>
      <c r="F1831">
        <v>2026</v>
      </c>
      <c r="G1831" s="12">
        <v>0</v>
      </c>
      <c r="H1831" s="13">
        <v>0.99</v>
      </c>
      <c r="I1831" s="13">
        <v>0.97770000000000001</v>
      </c>
      <c r="J1831" s="13">
        <v>0.96</v>
      </c>
      <c r="K1831" s="13"/>
      <c r="L1831" s="13">
        <v>7.0000000000000007E-2</v>
      </c>
      <c r="M1831" s="13">
        <v>0.25</v>
      </c>
    </row>
    <row r="1832" spans="2:13" x14ac:dyDescent="0.25">
      <c r="B1832" s="14" t="s">
        <v>196</v>
      </c>
      <c r="C1832" s="14" t="s">
        <v>139</v>
      </c>
      <c r="D1832" t="s">
        <v>46</v>
      </c>
      <c r="E1832" s="16" t="s">
        <v>150</v>
      </c>
      <c r="F1832">
        <v>2027</v>
      </c>
      <c r="G1832" s="12">
        <v>0</v>
      </c>
      <c r="H1832" s="13">
        <v>0.99</v>
      </c>
      <c r="I1832" s="13">
        <v>0.980406</v>
      </c>
      <c r="J1832" s="13">
        <v>0.96660000000000001</v>
      </c>
      <c r="K1832" s="13"/>
      <c r="L1832" s="13">
        <v>7.0000000000000007E-2</v>
      </c>
      <c r="M1832" s="13">
        <v>0.25</v>
      </c>
    </row>
    <row r="1833" spans="2:13" x14ac:dyDescent="0.25">
      <c r="B1833" s="14" t="s">
        <v>196</v>
      </c>
      <c r="C1833" s="14" t="s">
        <v>139</v>
      </c>
      <c r="D1833" t="s">
        <v>46</v>
      </c>
      <c r="E1833" s="16" t="s">
        <v>150</v>
      </c>
      <c r="F1833">
        <v>2028</v>
      </c>
      <c r="G1833" s="12">
        <v>0</v>
      </c>
      <c r="H1833" s="13">
        <v>0.99</v>
      </c>
      <c r="I1833" s="13">
        <v>0.98180000000000001</v>
      </c>
      <c r="J1833" s="13">
        <v>0.97</v>
      </c>
      <c r="K1833" s="13"/>
      <c r="L1833" s="13">
        <v>7.0000000000000007E-2</v>
      </c>
      <c r="M1833" s="13">
        <v>0.25</v>
      </c>
    </row>
    <row r="1834" spans="2:13" x14ac:dyDescent="0.25">
      <c r="B1834" s="14" t="s">
        <v>196</v>
      </c>
      <c r="C1834" s="14" t="s">
        <v>139</v>
      </c>
      <c r="D1834" t="s">
        <v>46</v>
      </c>
      <c r="E1834" s="16" t="s">
        <v>133</v>
      </c>
      <c r="F1834">
        <v>2026</v>
      </c>
      <c r="G1834" s="12">
        <v>1560255</v>
      </c>
      <c r="H1834" s="13">
        <v>0.99</v>
      </c>
      <c r="I1834" s="13">
        <v>0.97799999999999998</v>
      </c>
      <c r="J1834" s="13">
        <v>0.97799999999999998</v>
      </c>
      <c r="K1834" s="13"/>
      <c r="L1834" s="13">
        <v>7.0000000000000007E-2</v>
      </c>
      <c r="M1834" s="13">
        <v>0.25</v>
      </c>
    </row>
    <row r="1835" spans="2:13" x14ac:dyDescent="0.25">
      <c r="B1835" s="14" t="s">
        <v>196</v>
      </c>
      <c r="C1835" s="14" t="s">
        <v>139</v>
      </c>
      <c r="D1835" t="s">
        <v>46</v>
      </c>
      <c r="E1835" s="16" t="s">
        <v>133</v>
      </c>
      <c r="F1835">
        <v>2027</v>
      </c>
      <c r="G1835" s="12">
        <v>1571852</v>
      </c>
      <c r="H1835" s="13">
        <v>0.99</v>
      </c>
      <c r="I1835" s="13">
        <v>0.98199999999999998</v>
      </c>
      <c r="J1835" s="13">
        <v>0.98199999999999998</v>
      </c>
      <c r="K1835" s="13"/>
      <c r="L1835" s="13">
        <v>7.0000000000000007E-2</v>
      </c>
      <c r="M1835" s="13">
        <v>0.25</v>
      </c>
    </row>
    <row r="1836" spans="2:13" x14ac:dyDescent="0.25">
      <c r="B1836" s="14" t="s">
        <v>196</v>
      </c>
      <c r="C1836" s="14" t="s">
        <v>139</v>
      </c>
      <c r="D1836" t="s">
        <v>46</v>
      </c>
      <c r="E1836" s="16" t="s">
        <v>133</v>
      </c>
      <c r="F1836">
        <v>2028</v>
      </c>
      <c r="G1836" s="12">
        <v>1583741</v>
      </c>
      <c r="H1836" s="13">
        <v>0.99</v>
      </c>
      <c r="I1836" s="13">
        <v>0.98199999999999998</v>
      </c>
      <c r="J1836" s="13">
        <v>0.98199999999999998</v>
      </c>
      <c r="K1836" s="13"/>
      <c r="L1836" s="13">
        <v>7.0000000000000007E-2</v>
      </c>
      <c r="M1836" s="13">
        <v>0.25</v>
      </c>
    </row>
    <row r="1837" spans="2:13" x14ac:dyDescent="0.25">
      <c r="B1837" s="14" t="s">
        <v>196</v>
      </c>
      <c r="C1837" s="14" t="s">
        <v>139</v>
      </c>
      <c r="D1837" t="s">
        <v>46</v>
      </c>
      <c r="E1837" s="16" t="s">
        <v>133</v>
      </c>
      <c r="F1837">
        <v>2029</v>
      </c>
      <c r="G1837" s="12">
        <v>1613834.4453596701</v>
      </c>
      <c r="H1837" s="13">
        <v>0.99</v>
      </c>
      <c r="I1837" s="13">
        <v>0.98180000000000001</v>
      </c>
      <c r="J1837" s="13">
        <v>0.97</v>
      </c>
      <c r="K1837" s="13"/>
      <c r="L1837" s="13">
        <v>7.0000000000000007E-2</v>
      </c>
      <c r="M1837" s="13">
        <v>0.25</v>
      </c>
    </row>
    <row r="1838" spans="2:13" x14ac:dyDescent="0.25">
      <c r="B1838" s="14" t="s">
        <v>196</v>
      </c>
      <c r="C1838" s="14" t="s">
        <v>139</v>
      </c>
      <c r="D1838" t="s">
        <v>46</v>
      </c>
      <c r="E1838" s="16" t="s">
        <v>133</v>
      </c>
      <c r="F1838">
        <v>2030</v>
      </c>
      <c r="G1838" s="12">
        <v>1620938.33521723</v>
      </c>
      <c r="H1838" s="13">
        <v>0.99</v>
      </c>
      <c r="I1838" s="13">
        <v>0.98180000000000001</v>
      </c>
      <c r="J1838" s="13">
        <v>0.97</v>
      </c>
      <c r="K1838" s="13"/>
      <c r="L1838" s="13">
        <v>7.0000000000000007E-2</v>
      </c>
      <c r="M1838" s="13">
        <v>0.25</v>
      </c>
    </row>
    <row r="1839" spans="2:13" x14ac:dyDescent="0.25">
      <c r="B1839" s="14" t="s">
        <v>196</v>
      </c>
      <c r="C1839" s="14" t="s">
        <v>74</v>
      </c>
      <c r="D1839" t="s">
        <v>46</v>
      </c>
      <c r="E1839" s="16" t="s">
        <v>144</v>
      </c>
      <c r="F1839">
        <v>2026</v>
      </c>
      <c r="G1839" s="12">
        <v>305613.89881382597</v>
      </c>
      <c r="H1839" s="13">
        <v>0.85319999999999996</v>
      </c>
      <c r="I1839" s="13"/>
      <c r="J1839" s="13"/>
      <c r="K1839" s="13"/>
      <c r="L1839" s="13">
        <v>0.1</v>
      </c>
      <c r="M1839" s="13">
        <v>0.25</v>
      </c>
    </row>
    <row r="1840" spans="2:13" x14ac:dyDescent="0.25">
      <c r="B1840" s="14" t="s">
        <v>196</v>
      </c>
      <c r="C1840" s="14" t="s">
        <v>74</v>
      </c>
      <c r="D1840" t="s">
        <v>46</v>
      </c>
      <c r="E1840" s="16" t="s">
        <v>144</v>
      </c>
      <c r="F1840">
        <v>2027</v>
      </c>
      <c r="G1840" s="12">
        <v>311281.21546995599</v>
      </c>
      <c r="H1840" s="13">
        <v>0.85980000000000001</v>
      </c>
      <c r="I1840" s="13"/>
      <c r="J1840" s="13"/>
      <c r="K1840" s="13"/>
      <c r="L1840" s="13">
        <v>0.1</v>
      </c>
      <c r="M1840" s="13">
        <v>0.25</v>
      </c>
    </row>
    <row r="1841" spans="2:13" x14ac:dyDescent="0.25">
      <c r="B1841" s="14" t="s">
        <v>196</v>
      </c>
      <c r="C1841" s="14" t="s">
        <v>74</v>
      </c>
      <c r="D1841" t="s">
        <v>46</v>
      </c>
      <c r="E1841" s="16" t="s">
        <v>144</v>
      </c>
      <c r="F1841">
        <v>2028</v>
      </c>
      <c r="G1841" s="12">
        <v>313635.69527881802</v>
      </c>
      <c r="H1841" s="13">
        <v>0.86639999999999995</v>
      </c>
      <c r="I1841" s="13"/>
      <c r="J1841" s="13"/>
      <c r="K1841" s="13"/>
      <c r="L1841" s="13">
        <v>0.1</v>
      </c>
      <c r="M1841" s="13">
        <v>0.25</v>
      </c>
    </row>
    <row r="1842" spans="2:13" x14ac:dyDescent="0.25">
      <c r="B1842" s="14" t="s">
        <v>196</v>
      </c>
      <c r="C1842" s="14" t="s">
        <v>74</v>
      </c>
      <c r="D1842" t="s">
        <v>46</v>
      </c>
      <c r="E1842" s="16" t="s">
        <v>133</v>
      </c>
      <c r="F1842">
        <v>2026</v>
      </c>
      <c r="G1842" s="12">
        <v>1560255</v>
      </c>
      <c r="H1842" s="13">
        <v>0.93</v>
      </c>
      <c r="I1842" s="13"/>
      <c r="J1842" s="13"/>
      <c r="K1842" s="13"/>
      <c r="L1842" s="13">
        <v>0.1</v>
      </c>
      <c r="M1842" s="13">
        <v>0.25</v>
      </c>
    </row>
    <row r="1843" spans="2:13" x14ac:dyDescent="0.25">
      <c r="B1843" s="14" t="s">
        <v>196</v>
      </c>
      <c r="C1843" s="14" t="s">
        <v>74</v>
      </c>
      <c r="D1843" t="s">
        <v>46</v>
      </c>
      <c r="E1843" s="16" t="s">
        <v>133</v>
      </c>
      <c r="F1843">
        <v>2027</v>
      </c>
      <c r="G1843" s="12">
        <v>1571852</v>
      </c>
      <c r="H1843" s="13">
        <v>0.94</v>
      </c>
      <c r="I1843" s="13"/>
      <c r="J1843" s="13"/>
      <c r="K1843" s="13"/>
      <c r="L1843" s="13">
        <v>0.1</v>
      </c>
      <c r="M1843" s="13">
        <v>0.25</v>
      </c>
    </row>
    <row r="1844" spans="2:13" x14ac:dyDescent="0.25">
      <c r="B1844" s="14" t="s">
        <v>196</v>
      </c>
      <c r="C1844" s="14" t="s">
        <v>74</v>
      </c>
      <c r="D1844" t="s">
        <v>46</v>
      </c>
      <c r="E1844" s="16" t="s">
        <v>133</v>
      </c>
      <c r="F1844">
        <v>2028</v>
      </c>
      <c r="G1844" s="12">
        <v>1583741</v>
      </c>
      <c r="H1844" s="13">
        <v>0.94</v>
      </c>
      <c r="I1844" s="13"/>
      <c r="J1844" s="13"/>
      <c r="K1844" s="13"/>
      <c r="L1844" s="13">
        <v>0.1</v>
      </c>
      <c r="M1844" s="13">
        <v>0.25</v>
      </c>
    </row>
    <row r="1845" spans="2:13" x14ac:dyDescent="0.25">
      <c r="B1845" s="14" t="s">
        <v>196</v>
      </c>
      <c r="C1845" s="14" t="s">
        <v>74</v>
      </c>
      <c r="D1845" t="s">
        <v>46</v>
      </c>
      <c r="E1845" s="16" t="s">
        <v>133</v>
      </c>
      <c r="F1845">
        <v>2029</v>
      </c>
      <c r="G1845" s="12">
        <v>1596229</v>
      </c>
      <c r="H1845" s="13">
        <v>0.94</v>
      </c>
      <c r="I1845" s="13"/>
      <c r="J1845" s="13"/>
      <c r="K1845" s="13"/>
      <c r="L1845" s="13">
        <v>0.1</v>
      </c>
      <c r="M1845" s="13">
        <v>0.25</v>
      </c>
    </row>
    <row r="1846" spans="2:13" x14ac:dyDescent="0.25">
      <c r="B1846" s="15" t="s">
        <v>196</v>
      </c>
      <c r="C1846" s="14" t="s">
        <v>74</v>
      </c>
      <c r="D1846" t="s">
        <v>46</v>
      </c>
      <c r="E1846" s="16" t="s">
        <v>133</v>
      </c>
      <c r="F1846">
        <v>2030</v>
      </c>
      <c r="G1846" s="12">
        <v>1603256</v>
      </c>
      <c r="H1846" s="13">
        <v>0.94</v>
      </c>
      <c r="I1846" s="13"/>
      <c r="J1846" s="13"/>
      <c r="K1846" s="13"/>
      <c r="L1846" s="13">
        <v>0.1</v>
      </c>
      <c r="M1846" s="13">
        <v>0.25</v>
      </c>
    </row>
    <row r="1847" spans="2:13" x14ac:dyDescent="0.25">
      <c r="B1847" s="14" t="s">
        <v>197</v>
      </c>
      <c r="C1847" s="14" t="s">
        <v>132</v>
      </c>
      <c r="D1847" t="s">
        <v>46</v>
      </c>
      <c r="E1847" s="16" t="s">
        <v>133</v>
      </c>
      <c r="F1847">
        <v>2026</v>
      </c>
      <c r="G1847" s="12">
        <v>590075</v>
      </c>
      <c r="H1847" s="13">
        <v>0</v>
      </c>
      <c r="I1847" s="13">
        <v>0</v>
      </c>
      <c r="J1847" s="13">
        <v>0</v>
      </c>
      <c r="K1847" s="13">
        <v>0</v>
      </c>
      <c r="L1847" s="13">
        <v>7.0000000000000007E-2</v>
      </c>
      <c r="M1847" s="13">
        <v>0.25</v>
      </c>
    </row>
    <row r="1848" spans="2:13" x14ac:dyDescent="0.25">
      <c r="B1848" s="14" t="s">
        <v>197</v>
      </c>
      <c r="C1848" s="14" t="s">
        <v>70</v>
      </c>
      <c r="D1848" t="s">
        <v>46</v>
      </c>
      <c r="E1848" s="16" t="s">
        <v>133</v>
      </c>
      <c r="F1848">
        <v>2026</v>
      </c>
      <c r="G1848" s="12">
        <v>590075</v>
      </c>
      <c r="H1848" s="13">
        <v>0</v>
      </c>
      <c r="I1848" s="13">
        <v>0</v>
      </c>
      <c r="J1848" s="13">
        <v>0</v>
      </c>
      <c r="K1848" s="13">
        <v>0</v>
      </c>
      <c r="L1848" s="13">
        <v>7.0000000000000007E-2</v>
      </c>
      <c r="M1848" s="13">
        <v>0.25</v>
      </c>
    </row>
    <row r="1849" spans="2:13" x14ac:dyDescent="0.25">
      <c r="B1849" s="14" t="s">
        <v>197</v>
      </c>
      <c r="C1849" s="14" t="s">
        <v>134</v>
      </c>
      <c r="D1849" t="s">
        <v>46</v>
      </c>
      <c r="E1849" s="16" t="s">
        <v>133</v>
      </c>
      <c r="F1849">
        <v>2026</v>
      </c>
      <c r="G1849" s="12">
        <v>590075</v>
      </c>
      <c r="H1849" s="13">
        <v>0.77883099239999998</v>
      </c>
      <c r="I1849" s="13">
        <v>0.77560553070000005</v>
      </c>
      <c r="J1849" s="13">
        <v>0.77096401270000003</v>
      </c>
      <c r="K1849" s="13">
        <v>0</v>
      </c>
      <c r="L1849" s="13">
        <v>0.1</v>
      </c>
      <c r="M1849" s="13">
        <v>0.25</v>
      </c>
    </row>
    <row r="1850" spans="2:13" x14ac:dyDescent="0.25">
      <c r="B1850" s="14" t="s">
        <v>197</v>
      </c>
      <c r="C1850" s="14" t="s">
        <v>134</v>
      </c>
      <c r="D1850" t="s">
        <v>46</v>
      </c>
      <c r="E1850" s="16" t="s">
        <v>133</v>
      </c>
      <c r="F1850">
        <v>2027</v>
      </c>
      <c r="G1850" s="12">
        <v>598315.14963888796</v>
      </c>
      <c r="H1850" s="13">
        <v>0.78543099240000003</v>
      </c>
      <c r="I1850" s="13">
        <v>0.78220553069999998</v>
      </c>
      <c r="J1850" s="13">
        <v>0.77756401269999997</v>
      </c>
      <c r="K1850" s="13">
        <v>0</v>
      </c>
      <c r="L1850" s="13">
        <v>7.0000000000000007E-2</v>
      </c>
      <c r="M1850" s="13">
        <v>0.25</v>
      </c>
    </row>
    <row r="1851" spans="2:13" x14ac:dyDescent="0.25">
      <c r="B1851" s="14" t="s">
        <v>197</v>
      </c>
      <c r="C1851" s="14" t="s">
        <v>134</v>
      </c>
      <c r="D1851" t="s">
        <v>46</v>
      </c>
      <c r="E1851" s="16" t="s">
        <v>133</v>
      </c>
      <c r="F1851">
        <v>2028</v>
      </c>
      <c r="G1851" s="12">
        <v>607128.14970691898</v>
      </c>
      <c r="H1851" s="13">
        <v>0.79203099239999997</v>
      </c>
      <c r="I1851" s="13">
        <v>0.78880553070000003</v>
      </c>
      <c r="J1851" s="13">
        <v>0.78416401270000002</v>
      </c>
      <c r="K1851" s="13">
        <v>0</v>
      </c>
      <c r="L1851" s="13">
        <v>7.0000000000000007E-2</v>
      </c>
      <c r="M1851" s="13">
        <v>0.25</v>
      </c>
    </row>
    <row r="1852" spans="2:13" x14ac:dyDescent="0.25">
      <c r="B1852" s="14" t="s">
        <v>197</v>
      </c>
      <c r="C1852" s="14" t="s">
        <v>134</v>
      </c>
      <c r="D1852" t="s">
        <v>46</v>
      </c>
      <c r="E1852" s="16" t="s">
        <v>133</v>
      </c>
      <c r="F1852">
        <v>2029</v>
      </c>
      <c r="G1852" s="12">
        <v>614439.58728643996</v>
      </c>
      <c r="H1852" s="13">
        <v>0.79863099240000002</v>
      </c>
      <c r="I1852" s="13">
        <v>0.79540553069999997</v>
      </c>
      <c r="J1852" s="13">
        <v>0.79076401269999996</v>
      </c>
      <c r="K1852" s="13">
        <v>0</v>
      </c>
      <c r="L1852" s="13">
        <v>7.0000000000000007E-2</v>
      </c>
      <c r="M1852" s="13">
        <v>0.25</v>
      </c>
    </row>
    <row r="1853" spans="2:13" x14ac:dyDescent="0.25">
      <c r="B1853" s="14" t="s">
        <v>197</v>
      </c>
      <c r="C1853" s="14" t="s">
        <v>134</v>
      </c>
      <c r="D1853" t="s">
        <v>46</v>
      </c>
      <c r="E1853" s="16" t="s">
        <v>133</v>
      </c>
      <c r="F1853">
        <v>2030</v>
      </c>
      <c r="G1853" s="12">
        <v>621379.974019813</v>
      </c>
      <c r="H1853" s="13">
        <v>0.80523099239999996</v>
      </c>
      <c r="I1853" s="13">
        <v>0.80200553070000002</v>
      </c>
      <c r="J1853" s="13">
        <v>0.79736401270000001</v>
      </c>
      <c r="K1853" s="13">
        <v>0</v>
      </c>
      <c r="L1853" s="13">
        <v>7.0000000000000007E-2</v>
      </c>
      <c r="M1853" s="13">
        <v>0.25</v>
      </c>
    </row>
    <row r="1854" spans="2:13" x14ac:dyDescent="0.25">
      <c r="B1854" s="14" t="s">
        <v>197</v>
      </c>
      <c r="C1854" s="14" t="s">
        <v>72</v>
      </c>
      <c r="D1854" t="s">
        <v>46</v>
      </c>
      <c r="E1854" s="16" t="s">
        <v>133</v>
      </c>
      <c r="F1854">
        <v>2026</v>
      </c>
      <c r="G1854" s="12">
        <v>590075</v>
      </c>
      <c r="H1854" s="13">
        <v>0.99</v>
      </c>
      <c r="I1854" s="13">
        <v>0.9859</v>
      </c>
      <c r="J1854" s="13">
        <v>0.98</v>
      </c>
      <c r="K1854" s="13"/>
      <c r="L1854" s="13">
        <v>7.0000000000000007E-2</v>
      </c>
      <c r="M1854" s="13">
        <v>0.25</v>
      </c>
    </row>
    <row r="1855" spans="2:13" x14ac:dyDescent="0.25">
      <c r="B1855" s="14" t="s">
        <v>197</v>
      </c>
      <c r="C1855" s="14" t="s">
        <v>72</v>
      </c>
      <c r="D1855" t="s">
        <v>46</v>
      </c>
      <c r="E1855" s="16" t="s">
        <v>133</v>
      </c>
      <c r="F1855">
        <v>2027</v>
      </c>
      <c r="G1855" s="12">
        <v>598315.14963888796</v>
      </c>
      <c r="H1855" s="13">
        <v>0.75358371329999996</v>
      </c>
      <c r="I1855" s="13">
        <v>0.75049014439999995</v>
      </c>
      <c r="J1855" s="13">
        <v>0.74603842320000002</v>
      </c>
      <c r="K1855" s="13"/>
      <c r="L1855" s="13">
        <v>7.0000000000000007E-2</v>
      </c>
      <c r="M1855" s="13">
        <v>0.25</v>
      </c>
    </row>
    <row r="1856" spans="2:13" x14ac:dyDescent="0.25">
      <c r="B1856" s="14" t="s">
        <v>197</v>
      </c>
      <c r="C1856" s="14" t="s">
        <v>72</v>
      </c>
      <c r="D1856" t="s">
        <v>46</v>
      </c>
      <c r="E1856" s="16" t="s">
        <v>133</v>
      </c>
      <c r="F1856">
        <v>2028</v>
      </c>
      <c r="G1856" s="12">
        <v>607128.14970691898</v>
      </c>
      <c r="H1856" s="13">
        <v>0.76018371330000001</v>
      </c>
      <c r="I1856" s="13">
        <v>0.7570901444</v>
      </c>
      <c r="J1856" s="13">
        <v>0.75263842319999996</v>
      </c>
      <c r="K1856" s="13"/>
      <c r="L1856" s="13">
        <v>7.0000000000000007E-2</v>
      </c>
      <c r="M1856" s="13">
        <v>0.25</v>
      </c>
    </row>
    <row r="1857" spans="2:13" x14ac:dyDescent="0.25">
      <c r="B1857" s="14" t="s">
        <v>197</v>
      </c>
      <c r="C1857" s="14" t="s">
        <v>72</v>
      </c>
      <c r="D1857" t="s">
        <v>46</v>
      </c>
      <c r="E1857" s="16" t="s">
        <v>133</v>
      </c>
      <c r="F1857">
        <v>2029</v>
      </c>
      <c r="G1857" s="12">
        <v>614439.58728643996</v>
      </c>
      <c r="H1857" s="13">
        <v>0.76678371329999995</v>
      </c>
      <c r="I1857" s="13">
        <v>0.76369014440000005</v>
      </c>
      <c r="J1857" s="13">
        <v>0.75923842320000001</v>
      </c>
      <c r="K1857" s="13"/>
      <c r="L1857" s="13">
        <v>7.0000000000000007E-2</v>
      </c>
      <c r="M1857" s="13">
        <v>0.25</v>
      </c>
    </row>
    <row r="1858" spans="2:13" x14ac:dyDescent="0.25">
      <c r="B1858" s="14" t="s">
        <v>197</v>
      </c>
      <c r="C1858" s="14" t="s">
        <v>72</v>
      </c>
      <c r="D1858" t="s">
        <v>46</v>
      </c>
      <c r="E1858" s="16" t="s">
        <v>133</v>
      </c>
      <c r="F1858">
        <v>2030</v>
      </c>
      <c r="G1858" s="12">
        <v>621379.974019813</v>
      </c>
      <c r="H1858" s="13">
        <v>0.7733837133</v>
      </c>
      <c r="I1858" s="13">
        <v>0.77029014439999999</v>
      </c>
      <c r="J1858" s="13">
        <v>0.76583842319999995</v>
      </c>
      <c r="K1858" s="13"/>
      <c r="L1858" s="13">
        <v>7.0000000000000007E-2</v>
      </c>
      <c r="M1858" s="13">
        <v>0.25</v>
      </c>
    </row>
    <row r="1859" spans="2:13" x14ac:dyDescent="0.25">
      <c r="B1859" s="14" t="s">
        <v>197</v>
      </c>
      <c r="C1859" s="14" t="s">
        <v>15</v>
      </c>
      <c r="D1859" t="s">
        <v>46</v>
      </c>
      <c r="E1859" s="16" t="s">
        <v>133</v>
      </c>
      <c r="F1859">
        <v>2026</v>
      </c>
      <c r="G1859" s="12">
        <v>252012</v>
      </c>
      <c r="H1859" s="13">
        <v>0.66904219980000001</v>
      </c>
      <c r="I1859" s="13"/>
      <c r="J1859" s="13"/>
      <c r="K1859" s="13"/>
      <c r="L1859" s="13">
        <v>0.04</v>
      </c>
      <c r="M1859" s="13">
        <v>0.25</v>
      </c>
    </row>
    <row r="1860" spans="2:13" x14ac:dyDescent="0.25">
      <c r="B1860" s="14" t="s">
        <v>197</v>
      </c>
      <c r="C1860" s="14" t="s">
        <v>15</v>
      </c>
      <c r="D1860" t="s">
        <v>46</v>
      </c>
      <c r="E1860" s="16" t="s">
        <v>133</v>
      </c>
      <c r="F1860">
        <v>2027</v>
      </c>
      <c r="G1860" s="12">
        <v>254938</v>
      </c>
      <c r="H1860" s="13">
        <v>0.66904219980000001</v>
      </c>
      <c r="I1860" s="13"/>
      <c r="J1860" s="13"/>
      <c r="K1860" s="13"/>
      <c r="L1860" s="13">
        <v>0.04</v>
      </c>
      <c r="M1860" s="13">
        <v>0.25</v>
      </c>
    </row>
    <row r="1861" spans="2:13" x14ac:dyDescent="0.25">
      <c r="B1861" s="14" t="s">
        <v>197</v>
      </c>
      <c r="C1861" s="14" t="s">
        <v>15</v>
      </c>
      <c r="D1861" t="s">
        <v>46</v>
      </c>
      <c r="E1861" s="16" t="s">
        <v>133</v>
      </c>
      <c r="F1861">
        <v>2028</v>
      </c>
      <c r="G1861" s="12">
        <v>258021</v>
      </c>
      <c r="H1861" s="13">
        <v>0.66904219980000001</v>
      </c>
      <c r="I1861" s="13"/>
      <c r="J1861" s="13"/>
      <c r="K1861" s="13"/>
      <c r="L1861" s="13">
        <v>0.04</v>
      </c>
      <c r="M1861" s="13">
        <v>0.25</v>
      </c>
    </row>
    <row r="1862" spans="2:13" x14ac:dyDescent="0.25">
      <c r="B1862" s="14" t="s">
        <v>197</v>
      </c>
      <c r="C1862" s="14" t="s">
        <v>15</v>
      </c>
      <c r="D1862" t="s">
        <v>46</v>
      </c>
      <c r="E1862" s="16" t="s">
        <v>133</v>
      </c>
      <c r="F1862">
        <v>2029</v>
      </c>
      <c r="G1862" s="12">
        <v>261465</v>
      </c>
      <c r="H1862" s="13">
        <v>0.66904219980000001</v>
      </c>
      <c r="I1862" s="13"/>
      <c r="J1862" s="13"/>
      <c r="K1862" s="13"/>
      <c r="L1862" s="13">
        <v>0.04</v>
      </c>
      <c r="M1862" s="13">
        <v>0.25</v>
      </c>
    </row>
    <row r="1863" spans="2:13" x14ac:dyDescent="0.25">
      <c r="B1863" s="14" t="s">
        <v>197</v>
      </c>
      <c r="C1863" s="14" t="s">
        <v>15</v>
      </c>
      <c r="D1863" t="s">
        <v>46</v>
      </c>
      <c r="E1863" s="16" t="s">
        <v>133</v>
      </c>
      <c r="F1863">
        <v>2030</v>
      </c>
      <c r="G1863" s="12">
        <v>265192</v>
      </c>
      <c r="H1863" s="13">
        <v>0.66904219980000001</v>
      </c>
      <c r="I1863" s="13"/>
      <c r="J1863" s="13"/>
      <c r="K1863" s="13"/>
      <c r="L1863" s="13">
        <v>0.04</v>
      </c>
      <c r="M1863" s="13">
        <v>0.25</v>
      </c>
    </row>
    <row r="1864" spans="2:13" x14ac:dyDescent="0.25">
      <c r="B1864" s="14" t="s">
        <v>197</v>
      </c>
      <c r="C1864" s="14" t="s">
        <v>145</v>
      </c>
      <c r="D1864" t="s">
        <v>46</v>
      </c>
      <c r="E1864" s="16" t="s">
        <v>133</v>
      </c>
      <c r="F1864">
        <v>2027</v>
      </c>
      <c r="G1864" s="12">
        <v>13768</v>
      </c>
      <c r="H1864" s="13">
        <v>0.88</v>
      </c>
      <c r="I1864" s="13">
        <v>0.83750000000000002</v>
      </c>
      <c r="J1864" s="13">
        <v>0.79712499999999997</v>
      </c>
      <c r="K1864" s="13"/>
      <c r="L1864" s="13"/>
      <c r="M1864" s="13">
        <v>0.25</v>
      </c>
    </row>
    <row r="1865" spans="2:13" x14ac:dyDescent="0.25">
      <c r="B1865" s="14" t="s">
        <v>197</v>
      </c>
      <c r="C1865" s="14" t="s">
        <v>145</v>
      </c>
      <c r="D1865" t="s">
        <v>46</v>
      </c>
      <c r="E1865" s="16" t="s">
        <v>133</v>
      </c>
      <c r="F1865">
        <v>2028</v>
      </c>
      <c r="G1865" s="12">
        <v>13974.52</v>
      </c>
      <c r="H1865" s="13">
        <v>0.88500000000000001</v>
      </c>
      <c r="I1865" s="13">
        <v>0.84250000000000003</v>
      </c>
      <c r="J1865" s="13">
        <v>0.80212499999999998</v>
      </c>
      <c r="K1865" s="13">
        <v>0.68205625000000003</v>
      </c>
      <c r="L1865" s="13"/>
      <c r="M1865" s="13">
        <v>0.25</v>
      </c>
    </row>
    <row r="1866" spans="2:13" x14ac:dyDescent="0.25">
      <c r="B1866" s="14" t="s">
        <v>197</v>
      </c>
      <c r="C1866" s="14" t="s">
        <v>145</v>
      </c>
      <c r="D1866" t="s">
        <v>46</v>
      </c>
      <c r="E1866" s="16" t="s">
        <v>133</v>
      </c>
      <c r="F1866">
        <v>2029</v>
      </c>
      <c r="G1866" s="12">
        <v>14184.1378</v>
      </c>
      <c r="H1866" s="13">
        <v>0.89</v>
      </c>
      <c r="I1866" s="13">
        <v>0.84750000000000003</v>
      </c>
      <c r="J1866" s="13">
        <v>0.80712499999999998</v>
      </c>
      <c r="K1866" s="13">
        <v>0.68705625000000003</v>
      </c>
      <c r="L1866" s="13"/>
      <c r="M1866" s="13">
        <v>0.25</v>
      </c>
    </row>
    <row r="1867" spans="2:13" x14ac:dyDescent="0.25">
      <c r="B1867" s="14" t="s">
        <v>197</v>
      </c>
      <c r="C1867" s="14" t="s">
        <v>145</v>
      </c>
      <c r="D1867" t="s">
        <v>46</v>
      </c>
      <c r="E1867" s="16" t="s">
        <v>133</v>
      </c>
      <c r="F1867">
        <v>2030</v>
      </c>
      <c r="G1867" s="12">
        <v>14396.899867</v>
      </c>
      <c r="H1867" s="13">
        <v>0.89500000000000002</v>
      </c>
      <c r="I1867" s="13">
        <v>0.85250000000000004</v>
      </c>
      <c r="J1867" s="13">
        <v>0.81212499999999999</v>
      </c>
      <c r="K1867" s="13">
        <v>0.69205625000000004</v>
      </c>
      <c r="L1867" s="13"/>
      <c r="M1867" s="13">
        <v>0.25</v>
      </c>
    </row>
    <row r="1868" spans="2:13" x14ac:dyDescent="0.25">
      <c r="B1868" s="14" t="s">
        <v>197</v>
      </c>
      <c r="C1868" s="14" t="s">
        <v>52</v>
      </c>
      <c r="D1868" t="s">
        <v>141</v>
      </c>
      <c r="E1868" s="16" t="s">
        <v>133</v>
      </c>
      <c r="F1868">
        <v>2028</v>
      </c>
      <c r="G1868" s="12">
        <v>2389940.4375</v>
      </c>
      <c r="H1868" s="13">
        <v>1</v>
      </c>
      <c r="I1868" s="13"/>
      <c r="J1868" s="13"/>
      <c r="K1868" s="13"/>
      <c r="L1868" s="13"/>
      <c r="M1868" s="13"/>
    </row>
    <row r="1869" spans="2:13" x14ac:dyDescent="0.25">
      <c r="B1869" s="14" t="s">
        <v>197</v>
      </c>
      <c r="C1869" s="14" t="s">
        <v>146</v>
      </c>
      <c r="D1869" t="s">
        <v>46</v>
      </c>
      <c r="E1869" s="16" t="s">
        <v>133</v>
      </c>
      <c r="F1869">
        <v>2027</v>
      </c>
      <c r="G1869" s="12">
        <v>27630.301625706801</v>
      </c>
      <c r="H1869" s="13"/>
      <c r="I1869" s="13"/>
      <c r="J1869" s="13"/>
      <c r="K1869" s="13"/>
      <c r="L1869" s="13"/>
      <c r="M1869" s="13">
        <v>0.25</v>
      </c>
    </row>
    <row r="1870" spans="2:13" x14ac:dyDescent="0.25">
      <c r="B1870" s="14" t="s">
        <v>197</v>
      </c>
      <c r="C1870" s="14" t="s">
        <v>146</v>
      </c>
      <c r="D1870" t="s">
        <v>46</v>
      </c>
      <c r="E1870" s="16" t="s">
        <v>133</v>
      </c>
      <c r="F1870">
        <v>2028</v>
      </c>
      <c r="G1870" s="12">
        <v>39068.885731486997</v>
      </c>
      <c r="H1870" s="13"/>
      <c r="I1870" s="13"/>
      <c r="J1870" s="13"/>
      <c r="K1870" s="13"/>
      <c r="L1870" s="13"/>
      <c r="M1870" s="13">
        <v>0.25</v>
      </c>
    </row>
    <row r="1871" spans="2:13" x14ac:dyDescent="0.25">
      <c r="B1871" s="14" t="s">
        <v>197</v>
      </c>
      <c r="C1871" s="14" t="s">
        <v>146</v>
      </c>
      <c r="D1871" t="s">
        <v>46</v>
      </c>
      <c r="E1871" s="16" t="s">
        <v>133</v>
      </c>
      <c r="F1871">
        <v>2029</v>
      </c>
      <c r="G1871" s="12">
        <v>50507.469837267199</v>
      </c>
      <c r="H1871" s="13"/>
      <c r="I1871" s="13"/>
      <c r="J1871" s="13"/>
      <c r="K1871" s="13"/>
      <c r="L1871" s="13"/>
      <c r="M1871" s="13">
        <v>0.25</v>
      </c>
    </row>
    <row r="1872" spans="2:13" x14ac:dyDescent="0.25">
      <c r="B1872" s="14" t="s">
        <v>197</v>
      </c>
      <c r="C1872" s="14" t="s">
        <v>146</v>
      </c>
      <c r="D1872" t="s">
        <v>46</v>
      </c>
      <c r="E1872" s="16" t="s">
        <v>133</v>
      </c>
      <c r="F1872">
        <v>2030</v>
      </c>
      <c r="G1872" s="12">
        <v>61946.053943047402</v>
      </c>
      <c r="H1872" s="13"/>
      <c r="I1872" s="13"/>
      <c r="J1872" s="13"/>
      <c r="K1872" s="13"/>
      <c r="L1872" s="13"/>
      <c r="M1872" s="13">
        <v>0.25</v>
      </c>
    </row>
    <row r="1873" spans="2:13" x14ac:dyDescent="0.25">
      <c r="B1873" s="14" t="s">
        <v>197</v>
      </c>
      <c r="C1873" s="14" t="s">
        <v>139</v>
      </c>
      <c r="D1873" t="s">
        <v>46</v>
      </c>
      <c r="E1873" s="16" t="s">
        <v>133</v>
      </c>
      <c r="F1873">
        <v>2026</v>
      </c>
      <c r="G1873" s="12">
        <v>590075</v>
      </c>
      <c r="H1873" s="13">
        <v>0.99</v>
      </c>
      <c r="I1873" s="13">
        <v>0.98599999999999999</v>
      </c>
      <c r="J1873" s="13">
        <v>0</v>
      </c>
      <c r="K1873" s="13"/>
      <c r="L1873" s="13">
        <v>0.04</v>
      </c>
      <c r="M1873" s="13">
        <v>0.25</v>
      </c>
    </row>
    <row r="1874" spans="2:13" x14ac:dyDescent="0.25">
      <c r="B1874" s="14" t="s">
        <v>197</v>
      </c>
      <c r="C1874" s="14" t="s">
        <v>139</v>
      </c>
      <c r="D1874" t="s">
        <v>46</v>
      </c>
      <c r="E1874" s="16" t="s">
        <v>133</v>
      </c>
      <c r="F1874">
        <v>2027</v>
      </c>
      <c r="G1874" s="12">
        <v>598315.14963888796</v>
      </c>
      <c r="H1874" s="13">
        <v>0.99</v>
      </c>
      <c r="I1874" s="13">
        <v>0.98599999999999999</v>
      </c>
      <c r="J1874" s="13">
        <v>0</v>
      </c>
      <c r="K1874" s="13"/>
      <c r="L1874" s="13">
        <v>0.04</v>
      </c>
      <c r="M1874" s="13">
        <v>0.25</v>
      </c>
    </row>
    <row r="1875" spans="2:13" x14ac:dyDescent="0.25">
      <c r="B1875" s="14" t="s">
        <v>197</v>
      </c>
      <c r="C1875" s="14" t="s">
        <v>139</v>
      </c>
      <c r="D1875" t="s">
        <v>46</v>
      </c>
      <c r="E1875" s="16" t="s">
        <v>133</v>
      </c>
      <c r="F1875">
        <v>2028</v>
      </c>
      <c r="G1875" s="12">
        <v>607128.14970691898</v>
      </c>
      <c r="H1875" s="13">
        <v>0.99</v>
      </c>
      <c r="I1875" s="13">
        <v>0.98599999999999999</v>
      </c>
      <c r="J1875" s="13">
        <v>0</v>
      </c>
      <c r="K1875" s="13"/>
      <c r="L1875" s="13">
        <v>0.04</v>
      </c>
      <c r="M1875" s="13">
        <v>0.25</v>
      </c>
    </row>
    <row r="1876" spans="2:13" x14ac:dyDescent="0.25">
      <c r="B1876" s="14" t="s">
        <v>197</v>
      </c>
      <c r="C1876" s="14" t="s">
        <v>139</v>
      </c>
      <c r="D1876" t="s">
        <v>46</v>
      </c>
      <c r="E1876" s="16" t="s">
        <v>133</v>
      </c>
      <c r="F1876">
        <v>2029</v>
      </c>
      <c r="G1876" s="12">
        <v>614439.58728643996</v>
      </c>
      <c r="H1876" s="13">
        <v>0.99</v>
      </c>
      <c r="I1876" s="13">
        <v>0.98599999999999999</v>
      </c>
      <c r="J1876" s="13">
        <v>0</v>
      </c>
      <c r="K1876" s="13"/>
      <c r="L1876" s="13">
        <v>0.04</v>
      </c>
      <c r="M1876" s="13">
        <v>0.25</v>
      </c>
    </row>
    <row r="1877" spans="2:13" x14ac:dyDescent="0.25">
      <c r="B1877" s="15" t="s">
        <v>197</v>
      </c>
      <c r="C1877" s="14" t="s">
        <v>139</v>
      </c>
      <c r="D1877" t="s">
        <v>46</v>
      </c>
      <c r="E1877" s="16" t="s">
        <v>133</v>
      </c>
      <c r="F1877">
        <v>2030</v>
      </c>
      <c r="G1877" s="12">
        <v>621379.974019813</v>
      </c>
      <c r="H1877" s="13">
        <v>0.99</v>
      </c>
      <c r="I1877" s="13">
        <v>0.98599999999999999</v>
      </c>
      <c r="J1877" s="13">
        <v>0</v>
      </c>
      <c r="K1877" s="13"/>
      <c r="L1877" s="13">
        <v>0.04</v>
      </c>
      <c r="M1877" s="13">
        <v>0.25</v>
      </c>
    </row>
    <row r="1878" spans="2:13" x14ac:dyDescent="0.25">
      <c r="B1878" s="14" t="s">
        <v>198</v>
      </c>
      <c r="C1878" s="14" t="s">
        <v>132</v>
      </c>
      <c r="D1878" t="s">
        <v>46</v>
      </c>
      <c r="E1878" s="16" t="s">
        <v>133</v>
      </c>
      <c r="F1878">
        <v>2026</v>
      </c>
      <c r="G1878" s="12">
        <v>22574</v>
      </c>
      <c r="H1878" s="13">
        <v>0.81591973240000004</v>
      </c>
      <c r="I1878" s="13">
        <v>0.80916160940000004</v>
      </c>
      <c r="J1878" s="13">
        <v>0.79943650550000001</v>
      </c>
      <c r="K1878" s="13">
        <v>0</v>
      </c>
      <c r="L1878" s="13">
        <v>0.04</v>
      </c>
      <c r="M1878" s="13">
        <v>0.25</v>
      </c>
    </row>
    <row r="1879" spans="2:13" x14ac:dyDescent="0.25">
      <c r="B1879" s="14" t="s">
        <v>198</v>
      </c>
      <c r="C1879" s="14" t="s">
        <v>132</v>
      </c>
      <c r="D1879" t="s">
        <v>46</v>
      </c>
      <c r="E1879" s="16" t="s">
        <v>133</v>
      </c>
      <c r="F1879">
        <v>2027</v>
      </c>
      <c r="G1879" s="12">
        <v>22829.608517165201</v>
      </c>
      <c r="H1879" s="13">
        <v>0.82251973239999998</v>
      </c>
      <c r="I1879" s="13">
        <v>0.81576160939999998</v>
      </c>
      <c r="J1879" s="13">
        <v>0.80603650549999994</v>
      </c>
      <c r="K1879" s="13">
        <v>0</v>
      </c>
      <c r="L1879" s="13">
        <v>0.04</v>
      </c>
      <c r="M1879" s="13">
        <v>0.25</v>
      </c>
    </row>
    <row r="1880" spans="2:13" x14ac:dyDescent="0.25">
      <c r="B1880" s="14" t="s">
        <v>198</v>
      </c>
      <c r="C1880" s="14" t="s">
        <v>132</v>
      </c>
      <c r="D1880" t="s">
        <v>46</v>
      </c>
      <c r="E1880" s="16" t="s">
        <v>133</v>
      </c>
      <c r="F1880">
        <v>2028</v>
      </c>
      <c r="G1880" s="12">
        <v>23111.694410610398</v>
      </c>
      <c r="H1880" s="13">
        <v>0.82911973240000003</v>
      </c>
      <c r="I1880" s="13">
        <v>0.82236160940000003</v>
      </c>
      <c r="J1880" s="13">
        <v>0.81263650549999999</v>
      </c>
      <c r="K1880" s="13">
        <v>0</v>
      </c>
      <c r="L1880" s="13">
        <v>0.04</v>
      </c>
      <c r="M1880" s="13">
        <v>0.25</v>
      </c>
    </row>
    <row r="1881" spans="2:13" x14ac:dyDescent="0.25">
      <c r="B1881" s="14" t="s">
        <v>198</v>
      </c>
      <c r="C1881" s="14" t="s">
        <v>132</v>
      </c>
      <c r="D1881" t="s">
        <v>46</v>
      </c>
      <c r="E1881" s="16" t="s">
        <v>133</v>
      </c>
      <c r="F1881">
        <v>2029</v>
      </c>
      <c r="G1881" s="12">
        <v>23397.853746560198</v>
      </c>
      <c r="H1881" s="13">
        <v>0.83571973239999997</v>
      </c>
      <c r="I1881" s="13">
        <v>0.82896160939999997</v>
      </c>
      <c r="J1881" s="13">
        <v>0.81923650550000005</v>
      </c>
      <c r="K1881" s="13">
        <v>0</v>
      </c>
      <c r="L1881" s="13">
        <v>0.04</v>
      </c>
      <c r="M1881" s="13">
        <v>0.25</v>
      </c>
    </row>
    <row r="1882" spans="2:13" x14ac:dyDescent="0.25">
      <c r="B1882" s="14" t="s">
        <v>198</v>
      </c>
      <c r="C1882" s="14" t="s">
        <v>132</v>
      </c>
      <c r="D1882" t="s">
        <v>46</v>
      </c>
      <c r="E1882" s="16" t="s">
        <v>133</v>
      </c>
      <c r="F1882">
        <v>2030</v>
      </c>
      <c r="G1882" s="12">
        <v>23730.857671313199</v>
      </c>
      <c r="H1882" s="13">
        <v>0.84231973240000002</v>
      </c>
      <c r="I1882" s="13">
        <v>0.83556160940000002</v>
      </c>
      <c r="J1882" s="13">
        <v>0.82583650549999998</v>
      </c>
      <c r="K1882" s="13">
        <v>0</v>
      </c>
      <c r="L1882" s="13">
        <v>0.04</v>
      </c>
      <c r="M1882" s="13">
        <v>0.25</v>
      </c>
    </row>
    <row r="1883" spans="2:13" x14ac:dyDescent="0.25">
      <c r="B1883" s="14" t="s">
        <v>198</v>
      </c>
      <c r="C1883" s="14" t="s">
        <v>70</v>
      </c>
      <c r="D1883" t="s">
        <v>46</v>
      </c>
      <c r="E1883" s="16" t="s">
        <v>133</v>
      </c>
      <c r="F1883">
        <v>2026</v>
      </c>
      <c r="G1883" s="12">
        <v>22574</v>
      </c>
      <c r="H1883" s="13">
        <v>0.70499999999999996</v>
      </c>
      <c r="I1883" s="13">
        <v>0.66749999999999998</v>
      </c>
      <c r="J1883" s="13">
        <v>0</v>
      </c>
      <c r="K1883" s="13">
        <v>0</v>
      </c>
      <c r="L1883" s="13">
        <v>0.04</v>
      </c>
      <c r="M1883" s="13">
        <v>0.25</v>
      </c>
    </row>
    <row r="1884" spans="2:13" x14ac:dyDescent="0.25">
      <c r="B1884" s="14" t="s">
        <v>198</v>
      </c>
      <c r="C1884" s="14" t="s">
        <v>70</v>
      </c>
      <c r="D1884" t="s">
        <v>46</v>
      </c>
      <c r="E1884" s="16" t="s">
        <v>133</v>
      </c>
      <c r="F1884">
        <v>2027</v>
      </c>
      <c r="G1884" s="12">
        <v>22829.608517165201</v>
      </c>
      <c r="H1884" s="13">
        <v>0.9466</v>
      </c>
      <c r="I1884" s="13">
        <v>0.89659999999999995</v>
      </c>
      <c r="J1884" s="13">
        <v>6.6E-3</v>
      </c>
      <c r="K1884" s="13">
        <v>0</v>
      </c>
      <c r="L1884" s="13">
        <v>0.04</v>
      </c>
      <c r="M1884" s="13">
        <v>0.25</v>
      </c>
    </row>
    <row r="1885" spans="2:13" x14ac:dyDescent="0.25">
      <c r="B1885" s="14" t="s">
        <v>198</v>
      </c>
      <c r="C1885" s="14" t="s">
        <v>70</v>
      </c>
      <c r="D1885" t="s">
        <v>46</v>
      </c>
      <c r="E1885" s="16" t="s">
        <v>133</v>
      </c>
      <c r="F1885">
        <v>2028</v>
      </c>
      <c r="G1885" s="12">
        <v>23111.694410610398</v>
      </c>
      <c r="H1885" s="13">
        <v>0.95320000000000005</v>
      </c>
      <c r="I1885" s="13">
        <v>0.9032</v>
      </c>
      <c r="J1885" s="13">
        <v>1.32E-2</v>
      </c>
      <c r="K1885" s="13">
        <v>0</v>
      </c>
      <c r="L1885" s="13">
        <v>0.04</v>
      </c>
      <c r="M1885" s="13">
        <v>0.25</v>
      </c>
    </row>
    <row r="1886" spans="2:13" x14ac:dyDescent="0.25">
      <c r="B1886" s="14" t="s">
        <v>198</v>
      </c>
      <c r="C1886" s="14" t="s">
        <v>70</v>
      </c>
      <c r="D1886" t="s">
        <v>46</v>
      </c>
      <c r="E1886" s="16" t="s">
        <v>133</v>
      </c>
      <c r="F1886">
        <v>2029</v>
      </c>
      <c r="G1886" s="12">
        <v>23397.853746560198</v>
      </c>
      <c r="H1886" s="13">
        <v>0.95979999999999999</v>
      </c>
      <c r="I1886" s="13">
        <v>0.90980000000000005</v>
      </c>
      <c r="J1886" s="13">
        <v>1.9800000000000002E-2</v>
      </c>
      <c r="K1886" s="13">
        <v>0</v>
      </c>
      <c r="L1886" s="13">
        <v>0.04</v>
      </c>
      <c r="M1886" s="13">
        <v>0.25</v>
      </c>
    </row>
    <row r="1887" spans="2:13" x14ac:dyDescent="0.25">
      <c r="B1887" s="14" t="s">
        <v>198</v>
      </c>
      <c r="C1887" s="14" t="s">
        <v>70</v>
      </c>
      <c r="D1887" t="s">
        <v>46</v>
      </c>
      <c r="E1887" s="16" t="s">
        <v>133</v>
      </c>
      <c r="F1887">
        <v>2030</v>
      </c>
      <c r="G1887" s="12">
        <v>23730.857671313199</v>
      </c>
      <c r="H1887" s="13">
        <v>0.96640000000000004</v>
      </c>
      <c r="I1887" s="13">
        <v>0.91639999999999999</v>
      </c>
      <c r="J1887" s="13">
        <v>2.64E-2</v>
      </c>
      <c r="K1887" s="13">
        <v>0</v>
      </c>
      <c r="L1887" s="13">
        <v>0.04</v>
      </c>
      <c r="M1887" s="13">
        <v>0.25</v>
      </c>
    </row>
    <row r="1888" spans="2:13" x14ac:dyDescent="0.25">
      <c r="B1888" s="14" t="s">
        <v>198</v>
      </c>
      <c r="C1888" s="14" t="s">
        <v>72</v>
      </c>
      <c r="D1888" t="s">
        <v>46</v>
      </c>
      <c r="E1888" s="16" t="s">
        <v>133</v>
      </c>
      <c r="F1888">
        <v>2026</v>
      </c>
      <c r="G1888" s="12">
        <v>22574</v>
      </c>
      <c r="H1888" s="13">
        <v>0.99</v>
      </c>
      <c r="I1888" s="13">
        <v>0.98180000000000001</v>
      </c>
      <c r="J1888" s="13">
        <v>0.97</v>
      </c>
      <c r="K1888" s="13"/>
      <c r="L1888" s="13">
        <v>0.04</v>
      </c>
      <c r="M1888" s="13">
        <v>0.25</v>
      </c>
    </row>
    <row r="1889" spans="2:13" x14ac:dyDescent="0.25">
      <c r="B1889" s="14" t="s">
        <v>198</v>
      </c>
      <c r="C1889" s="14" t="s">
        <v>72</v>
      </c>
      <c r="D1889" t="s">
        <v>46</v>
      </c>
      <c r="E1889" s="16" t="s">
        <v>133</v>
      </c>
      <c r="F1889">
        <v>2027</v>
      </c>
      <c r="G1889" s="12">
        <v>22829.608517165201</v>
      </c>
      <c r="H1889" s="13">
        <v>0.99</v>
      </c>
      <c r="I1889" s="13">
        <v>0.98180000000000001</v>
      </c>
      <c r="J1889" s="13">
        <v>0.97</v>
      </c>
      <c r="K1889" s="13"/>
      <c r="L1889" s="13">
        <v>0.04</v>
      </c>
      <c r="M1889" s="13">
        <v>0.25</v>
      </c>
    </row>
    <row r="1890" spans="2:13" x14ac:dyDescent="0.25">
      <c r="B1890" s="14" t="s">
        <v>198</v>
      </c>
      <c r="C1890" s="14" t="s">
        <v>72</v>
      </c>
      <c r="D1890" t="s">
        <v>46</v>
      </c>
      <c r="E1890" s="16" t="s">
        <v>133</v>
      </c>
      <c r="F1890">
        <v>2028</v>
      </c>
      <c r="G1890" s="12">
        <v>23111.694410610398</v>
      </c>
      <c r="H1890" s="13">
        <v>0.99</v>
      </c>
      <c r="I1890" s="13">
        <v>0.98180000000000001</v>
      </c>
      <c r="J1890" s="13">
        <v>0.97</v>
      </c>
      <c r="K1890" s="13"/>
      <c r="L1890" s="13">
        <v>0.04</v>
      </c>
      <c r="M1890" s="13">
        <v>0.25</v>
      </c>
    </row>
    <row r="1891" spans="2:13" x14ac:dyDescent="0.25">
      <c r="B1891" s="14" t="s">
        <v>198</v>
      </c>
      <c r="C1891" s="14" t="s">
        <v>72</v>
      </c>
      <c r="D1891" t="s">
        <v>46</v>
      </c>
      <c r="E1891" s="16" t="s">
        <v>133</v>
      </c>
      <c r="F1891">
        <v>2029</v>
      </c>
      <c r="G1891" s="12">
        <v>23397.853746560198</v>
      </c>
      <c r="H1891" s="13">
        <v>0.99</v>
      </c>
      <c r="I1891" s="13">
        <v>0.98180000000000001</v>
      </c>
      <c r="J1891" s="13">
        <v>0.97</v>
      </c>
      <c r="K1891" s="13"/>
      <c r="L1891" s="13">
        <v>0.04</v>
      </c>
      <c r="M1891" s="13">
        <v>0.25</v>
      </c>
    </row>
    <row r="1892" spans="2:13" x14ac:dyDescent="0.25">
      <c r="B1892" s="14" t="s">
        <v>198</v>
      </c>
      <c r="C1892" s="14" t="s">
        <v>72</v>
      </c>
      <c r="D1892" t="s">
        <v>46</v>
      </c>
      <c r="E1892" s="16" t="s">
        <v>133</v>
      </c>
      <c r="F1892">
        <v>2030</v>
      </c>
      <c r="G1892" s="12">
        <v>23730.857671313199</v>
      </c>
      <c r="H1892" s="13">
        <v>0.99</v>
      </c>
      <c r="I1892" s="13">
        <v>0.98180000000000001</v>
      </c>
      <c r="J1892" s="13">
        <v>0.97</v>
      </c>
      <c r="K1892" s="13"/>
      <c r="L1892" s="13">
        <v>0.04</v>
      </c>
      <c r="M1892" s="13">
        <v>0.25</v>
      </c>
    </row>
    <row r="1893" spans="2:13" x14ac:dyDescent="0.25">
      <c r="B1893" s="14" t="s">
        <v>198</v>
      </c>
      <c r="C1893" s="14" t="s">
        <v>135</v>
      </c>
      <c r="D1893" t="s">
        <v>46</v>
      </c>
      <c r="E1893" s="16" t="s">
        <v>133</v>
      </c>
      <c r="F1893">
        <v>2027</v>
      </c>
      <c r="G1893" s="12">
        <v>22829.608517165201</v>
      </c>
      <c r="H1893" s="13">
        <v>0</v>
      </c>
      <c r="I1893" s="13">
        <v>0</v>
      </c>
      <c r="J1893" s="13">
        <v>0</v>
      </c>
      <c r="K1893" s="13">
        <v>0</v>
      </c>
      <c r="L1893" s="13">
        <v>0.15</v>
      </c>
      <c r="M1893" s="13">
        <v>0.25</v>
      </c>
    </row>
    <row r="1894" spans="2:13" x14ac:dyDescent="0.25">
      <c r="B1894" s="14" t="s">
        <v>198</v>
      </c>
      <c r="C1894" s="14" t="s">
        <v>135</v>
      </c>
      <c r="D1894" t="s">
        <v>46</v>
      </c>
      <c r="E1894" s="16" t="s">
        <v>133</v>
      </c>
      <c r="F1894">
        <v>2028</v>
      </c>
      <c r="G1894" s="12">
        <v>23111.694410610398</v>
      </c>
      <c r="H1894" s="13">
        <v>0.71263650550000002</v>
      </c>
      <c r="I1894" s="13">
        <v>1.32E-2</v>
      </c>
      <c r="J1894" s="13">
        <v>1.32E-2</v>
      </c>
      <c r="K1894" s="13">
        <v>0</v>
      </c>
      <c r="L1894" s="13">
        <v>0.15</v>
      </c>
      <c r="M1894" s="13">
        <v>0.25</v>
      </c>
    </row>
    <row r="1895" spans="2:13" x14ac:dyDescent="0.25">
      <c r="B1895" s="14" t="s">
        <v>198</v>
      </c>
      <c r="C1895" s="14" t="s">
        <v>135</v>
      </c>
      <c r="D1895" t="s">
        <v>46</v>
      </c>
      <c r="E1895" s="16" t="s">
        <v>133</v>
      </c>
      <c r="F1895">
        <v>2029</v>
      </c>
      <c r="G1895" s="12">
        <v>23397.853746560198</v>
      </c>
      <c r="H1895" s="13">
        <v>0.71923650549999996</v>
      </c>
      <c r="I1895" s="13">
        <v>1.9800000000000002E-2</v>
      </c>
      <c r="J1895" s="13">
        <v>1.9800000000000002E-2</v>
      </c>
      <c r="K1895" s="13">
        <v>0</v>
      </c>
      <c r="L1895" s="13">
        <v>0.15</v>
      </c>
      <c r="M1895" s="13">
        <v>0.25</v>
      </c>
    </row>
    <row r="1896" spans="2:13" x14ac:dyDescent="0.25">
      <c r="B1896" s="14" t="s">
        <v>198</v>
      </c>
      <c r="C1896" s="14" t="s">
        <v>135</v>
      </c>
      <c r="D1896" t="s">
        <v>46</v>
      </c>
      <c r="E1896" s="16" t="s">
        <v>133</v>
      </c>
      <c r="F1896">
        <v>2030</v>
      </c>
      <c r="G1896" s="12">
        <v>23730.857671313199</v>
      </c>
      <c r="H1896" s="13">
        <v>0.72583650550000001</v>
      </c>
      <c r="I1896" s="13">
        <v>2.64E-2</v>
      </c>
      <c r="J1896" s="13">
        <v>2.64E-2</v>
      </c>
      <c r="K1896" s="13">
        <v>0</v>
      </c>
      <c r="L1896" s="13">
        <v>0.15</v>
      </c>
      <c r="M1896" s="13">
        <v>0.25</v>
      </c>
    </row>
    <row r="1897" spans="2:13" x14ac:dyDescent="0.25">
      <c r="B1897" s="14" t="s">
        <v>198</v>
      </c>
      <c r="C1897" s="14" t="s">
        <v>15</v>
      </c>
      <c r="D1897" t="s">
        <v>46</v>
      </c>
      <c r="E1897" s="16" t="s">
        <v>133</v>
      </c>
      <c r="F1897">
        <v>2026</v>
      </c>
      <c r="G1897" s="12">
        <v>9814</v>
      </c>
      <c r="H1897" s="13">
        <v>0.78</v>
      </c>
      <c r="I1897" s="13"/>
      <c r="J1897" s="13"/>
      <c r="K1897" s="13"/>
      <c r="L1897" s="13">
        <v>0.04</v>
      </c>
      <c r="M1897" s="13">
        <v>0.25</v>
      </c>
    </row>
    <row r="1898" spans="2:13" x14ac:dyDescent="0.25">
      <c r="B1898" s="14" t="s">
        <v>198</v>
      </c>
      <c r="C1898" s="14" t="s">
        <v>15</v>
      </c>
      <c r="D1898" t="s">
        <v>46</v>
      </c>
      <c r="E1898" s="16" t="s">
        <v>133</v>
      </c>
      <c r="F1898">
        <v>2027</v>
      </c>
      <c r="G1898" s="12">
        <v>9975</v>
      </c>
      <c r="H1898" s="13">
        <v>0.78</v>
      </c>
      <c r="I1898" s="13"/>
      <c r="J1898" s="13"/>
      <c r="K1898" s="13"/>
      <c r="L1898" s="13">
        <v>0.04</v>
      </c>
      <c r="M1898" s="13">
        <v>0.25</v>
      </c>
    </row>
    <row r="1899" spans="2:13" x14ac:dyDescent="0.25">
      <c r="B1899" s="14" t="s">
        <v>198</v>
      </c>
      <c r="C1899" s="14" t="s">
        <v>15</v>
      </c>
      <c r="D1899" t="s">
        <v>46</v>
      </c>
      <c r="E1899" s="16" t="s">
        <v>133</v>
      </c>
      <c r="F1899">
        <v>2028</v>
      </c>
      <c r="G1899" s="12">
        <v>9928</v>
      </c>
      <c r="H1899" s="13">
        <v>0.78</v>
      </c>
      <c r="I1899" s="13"/>
      <c r="J1899" s="13"/>
      <c r="K1899" s="13"/>
      <c r="L1899" s="13">
        <v>0.04</v>
      </c>
      <c r="M1899" s="13">
        <v>0.25</v>
      </c>
    </row>
    <row r="1900" spans="2:13" x14ac:dyDescent="0.25">
      <c r="B1900" s="14" t="s">
        <v>198</v>
      </c>
      <c r="C1900" s="14" t="s">
        <v>15</v>
      </c>
      <c r="D1900" t="s">
        <v>46</v>
      </c>
      <c r="E1900" s="16" t="s">
        <v>133</v>
      </c>
      <c r="F1900">
        <v>2029</v>
      </c>
      <c r="G1900" s="12">
        <v>9913</v>
      </c>
      <c r="H1900" s="13">
        <v>0.78</v>
      </c>
      <c r="I1900" s="13"/>
      <c r="J1900" s="13"/>
      <c r="K1900" s="13"/>
      <c r="L1900" s="13">
        <v>0.04</v>
      </c>
      <c r="M1900" s="13">
        <v>0.25</v>
      </c>
    </row>
    <row r="1901" spans="2:13" x14ac:dyDescent="0.25">
      <c r="B1901" s="14" t="s">
        <v>198</v>
      </c>
      <c r="C1901" s="14" t="s">
        <v>15</v>
      </c>
      <c r="D1901" t="s">
        <v>46</v>
      </c>
      <c r="E1901" s="16" t="s">
        <v>133</v>
      </c>
      <c r="F1901">
        <v>2030</v>
      </c>
      <c r="G1901" s="12">
        <v>10043</v>
      </c>
      <c r="H1901" s="13">
        <v>0.78</v>
      </c>
      <c r="I1901" s="13"/>
      <c r="J1901" s="13"/>
      <c r="K1901" s="13"/>
      <c r="L1901" s="13">
        <v>0.04</v>
      </c>
      <c r="M1901" s="13">
        <v>0.25</v>
      </c>
    </row>
    <row r="1902" spans="2:13" x14ac:dyDescent="0.25">
      <c r="B1902" s="14" t="s">
        <v>198</v>
      </c>
      <c r="C1902" s="14" t="s">
        <v>52</v>
      </c>
      <c r="D1902" t="s">
        <v>141</v>
      </c>
      <c r="E1902" s="16" t="s">
        <v>133</v>
      </c>
      <c r="F1902">
        <v>2029</v>
      </c>
      <c r="G1902" s="12">
        <v>99977.0625</v>
      </c>
      <c r="H1902" s="13">
        <v>0.85</v>
      </c>
      <c r="I1902" s="13"/>
      <c r="J1902" s="13"/>
      <c r="K1902" s="13"/>
      <c r="L1902" s="13"/>
      <c r="M1902" s="13"/>
    </row>
    <row r="1903" spans="2:13" x14ac:dyDescent="0.25">
      <c r="B1903" s="14" t="s">
        <v>198</v>
      </c>
      <c r="C1903" s="14" t="s">
        <v>52</v>
      </c>
      <c r="D1903" t="s">
        <v>138</v>
      </c>
      <c r="E1903" s="16" t="s">
        <v>133</v>
      </c>
      <c r="F1903">
        <v>2026</v>
      </c>
      <c r="G1903" s="12">
        <v>22574</v>
      </c>
      <c r="H1903" s="13">
        <v>0.84</v>
      </c>
      <c r="I1903" s="13">
        <v>0.56999999999999995</v>
      </c>
      <c r="J1903" s="13"/>
      <c r="K1903" s="13"/>
      <c r="L1903" s="13"/>
      <c r="M1903" s="13"/>
    </row>
    <row r="1904" spans="2:13" x14ac:dyDescent="0.25">
      <c r="B1904" s="14" t="s">
        <v>198</v>
      </c>
      <c r="C1904" s="14" t="s">
        <v>52</v>
      </c>
      <c r="D1904" t="s">
        <v>138</v>
      </c>
      <c r="E1904" s="16" t="s">
        <v>133</v>
      </c>
      <c r="F1904">
        <v>2027</v>
      </c>
      <c r="G1904" s="12">
        <v>22879</v>
      </c>
      <c r="H1904" s="13">
        <v>0.85</v>
      </c>
      <c r="I1904" s="13">
        <v>0.70359300000000002</v>
      </c>
      <c r="J1904" s="13"/>
      <c r="K1904" s="13"/>
      <c r="L1904" s="13"/>
      <c r="M1904" s="13"/>
    </row>
    <row r="1905" spans="2:13" x14ac:dyDescent="0.25">
      <c r="B1905" s="14" t="s">
        <v>198</v>
      </c>
      <c r="C1905" s="14" t="s">
        <v>52</v>
      </c>
      <c r="D1905" t="s">
        <v>138</v>
      </c>
      <c r="E1905" s="16" t="s">
        <v>133</v>
      </c>
      <c r="F1905">
        <v>2028</v>
      </c>
      <c r="G1905" s="12">
        <v>23162</v>
      </c>
      <c r="H1905" s="13">
        <v>0.85</v>
      </c>
      <c r="I1905" s="13">
        <v>0.71042400000000006</v>
      </c>
      <c r="J1905" s="13"/>
      <c r="K1905" s="13"/>
      <c r="L1905" s="13"/>
      <c r="M1905" s="13"/>
    </row>
    <row r="1906" spans="2:13" x14ac:dyDescent="0.25">
      <c r="B1906" s="14" t="s">
        <v>198</v>
      </c>
      <c r="C1906" s="14" t="s">
        <v>52</v>
      </c>
      <c r="D1906" t="s">
        <v>138</v>
      </c>
      <c r="E1906" s="16" t="s">
        <v>133</v>
      </c>
      <c r="F1906">
        <v>2029</v>
      </c>
      <c r="G1906" s="12">
        <v>23448</v>
      </c>
      <c r="H1906" s="13">
        <v>0.85</v>
      </c>
      <c r="I1906" s="13">
        <v>0.71725499999999998</v>
      </c>
      <c r="J1906" s="13"/>
      <c r="K1906" s="13"/>
      <c r="L1906" s="13"/>
      <c r="M1906" s="13"/>
    </row>
    <row r="1907" spans="2:13" x14ac:dyDescent="0.25">
      <c r="B1907" s="14" t="s">
        <v>198</v>
      </c>
      <c r="C1907" s="14" t="s">
        <v>52</v>
      </c>
      <c r="D1907" t="s">
        <v>138</v>
      </c>
      <c r="E1907" s="16" t="s">
        <v>133</v>
      </c>
      <c r="F1907">
        <v>2030</v>
      </c>
      <c r="G1907" s="12">
        <v>23782</v>
      </c>
      <c r="H1907" s="13">
        <v>0.85</v>
      </c>
      <c r="I1907" s="13">
        <v>0.72408600000000001</v>
      </c>
      <c r="J1907" s="13"/>
      <c r="K1907" s="13"/>
      <c r="L1907" s="13"/>
      <c r="M1907" s="13"/>
    </row>
    <row r="1908" spans="2:13" x14ac:dyDescent="0.25">
      <c r="B1908" s="14" t="s">
        <v>198</v>
      </c>
      <c r="C1908" s="14" t="s">
        <v>139</v>
      </c>
      <c r="D1908" t="s">
        <v>46</v>
      </c>
      <c r="E1908" s="16" t="s">
        <v>133</v>
      </c>
      <c r="F1908">
        <v>2026</v>
      </c>
      <c r="G1908" s="12">
        <v>22574</v>
      </c>
      <c r="H1908" s="13">
        <v>0.99</v>
      </c>
      <c r="I1908" s="13">
        <v>0.99</v>
      </c>
      <c r="J1908" s="13">
        <v>0</v>
      </c>
      <c r="K1908" s="13"/>
      <c r="L1908" s="13">
        <v>0.04</v>
      </c>
      <c r="M1908" s="13">
        <v>0.25</v>
      </c>
    </row>
    <row r="1909" spans="2:13" x14ac:dyDescent="0.25">
      <c r="B1909" s="14" t="s">
        <v>198</v>
      </c>
      <c r="C1909" s="14" t="s">
        <v>139</v>
      </c>
      <c r="D1909" t="s">
        <v>46</v>
      </c>
      <c r="E1909" s="16" t="s">
        <v>133</v>
      </c>
      <c r="F1909">
        <v>2027</v>
      </c>
      <c r="G1909" s="12">
        <v>22829.608517165201</v>
      </c>
      <c r="H1909" s="13">
        <v>0.99</v>
      </c>
      <c r="I1909" s="13">
        <v>0.99</v>
      </c>
      <c r="J1909" s="13">
        <v>0</v>
      </c>
      <c r="K1909" s="13"/>
      <c r="L1909" s="13">
        <v>0.04</v>
      </c>
      <c r="M1909" s="13">
        <v>0.25</v>
      </c>
    </row>
    <row r="1910" spans="2:13" x14ac:dyDescent="0.25">
      <c r="B1910" s="14" t="s">
        <v>198</v>
      </c>
      <c r="C1910" s="14" t="s">
        <v>139</v>
      </c>
      <c r="D1910" t="s">
        <v>46</v>
      </c>
      <c r="E1910" s="16" t="s">
        <v>133</v>
      </c>
      <c r="F1910">
        <v>2028</v>
      </c>
      <c r="G1910" s="12">
        <v>23111.694410610398</v>
      </c>
      <c r="H1910" s="13">
        <v>0.99</v>
      </c>
      <c r="I1910" s="13">
        <v>0.99</v>
      </c>
      <c r="J1910" s="13">
        <v>0</v>
      </c>
      <c r="K1910" s="13"/>
      <c r="L1910" s="13">
        <v>0.04</v>
      </c>
      <c r="M1910" s="13">
        <v>0.25</v>
      </c>
    </row>
    <row r="1911" spans="2:13" x14ac:dyDescent="0.25">
      <c r="B1911" s="14" t="s">
        <v>198</v>
      </c>
      <c r="C1911" s="14" t="s">
        <v>139</v>
      </c>
      <c r="D1911" t="s">
        <v>46</v>
      </c>
      <c r="E1911" s="16" t="s">
        <v>133</v>
      </c>
      <c r="F1911">
        <v>2029</v>
      </c>
      <c r="G1911" s="12">
        <v>23397.853746560198</v>
      </c>
      <c r="H1911" s="13">
        <v>0.99</v>
      </c>
      <c r="I1911" s="13">
        <v>0.99</v>
      </c>
      <c r="J1911" s="13">
        <v>0</v>
      </c>
      <c r="K1911" s="13"/>
      <c r="L1911" s="13">
        <v>0.04</v>
      </c>
      <c r="M1911" s="13">
        <v>0.25</v>
      </c>
    </row>
    <row r="1912" spans="2:13" x14ac:dyDescent="0.25">
      <c r="B1912" s="15" t="s">
        <v>198</v>
      </c>
      <c r="C1912" s="14" t="s">
        <v>139</v>
      </c>
      <c r="D1912" t="s">
        <v>46</v>
      </c>
      <c r="E1912" s="16" t="s">
        <v>133</v>
      </c>
      <c r="F1912">
        <v>2030</v>
      </c>
      <c r="G1912" s="12">
        <v>23730.857671313199</v>
      </c>
      <c r="H1912" s="13">
        <v>0.99</v>
      </c>
      <c r="I1912" s="13">
        <v>0.99</v>
      </c>
      <c r="J1912" s="13">
        <v>0</v>
      </c>
      <c r="K1912" s="13"/>
      <c r="L1912" s="13">
        <v>0.04</v>
      </c>
      <c r="M1912" s="13">
        <v>0.25</v>
      </c>
    </row>
    <row r="1913" spans="2:13" x14ac:dyDescent="0.25">
      <c r="B1913" s="14" t="s">
        <v>199</v>
      </c>
      <c r="C1913" s="14" t="s">
        <v>132</v>
      </c>
      <c r="D1913" t="s">
        <v>46</v>
      </c>
      <c r="E1913" s="16" t="s">
        <v>133</v>
      </c>
      <c r="F1913">
        <v>2026</v>
      </c>
      <c r="G1913" s="12">
        <v>256073</v>
      </c>
      <c r="H1913" s="13">
        <v>0.96</v>
      </c>
      <c r="I1913" s="13">
        <v>0.95589999999999997</v>
      </c>
      <c r="J1913" s="13">
        <v>0.95</v>
      </c>
      <c r="K1913" s="13">
        <v>0</v>
      </c>
      <c r="L1913" s="13">
        <v>7.0000000000000007E-2</v>
      </c>
      <c r="M1913" s="13">
        <v>0.25</v>
      </c>
    </row>
    <row r="1914" spans="2:13" x14ac:dyDescent="0.25">
      <c r="B1914" s="14" t="s">
        <v>199</v>
      </c>
      <c r="C1914" s="14" t="s">
        <v>132</v>
      </c>
      <c r="D1914" t="s">
        <v>46</v>
      </c>
      <c r="E1914" s="16" t="s">
        <v>133</v>
      </c>
      <c r="F1914">
        <v>2027</v>
      </c>
      <c r="G1914" s="12">
        <v>257733.064856001</v>
      </c>
      <c r="H1914" s="13">
        <v>0</v>
      </c>
      <c r="I1914" s="13">
        <v>0</v>
      </c>
      <c r="J1914" s="13">
        <v>0</v>
      </c>
      <c r="K1914" s="13">
        <v>0</v>
      </c>
      <c r="L1914" s="13">
        <v>7.0000000000000007E-2</v>
      </c>
      <c r="M1914" s="13">
        <v>0.25</v>
      </c>
    </row>
    <row r="1915" spans="2:13" x14ac:dyDescent="0.25">
      <c r="B1915" s="14" t="s">
        <v>199</v>
      </c>
      <c r="C1915" s="14" t="s">
        <v>132</v>
      </c>
      <c r="D1915" t="s">
        <v>46</v>
      </c>
      <c r="E1915" s="16" t="s">
        <v>133</v>
      </c>
      <c r="F1915">
        <v>2028</v>
      </c>
      <c r="G1915" s="12">
        <v>257233.70414108201</v>
      </c>
      <c r="H1915" s="13">
        <v>0</v>
      </c>
      <c r="I1915" s="13">
        <v>0</v>
      </c>
      <c r="J1915" s="13">
        <v>0</v>
      </c>
      <c r="K1915" s="13">
        <v>0</v>
      </c>
      <c r="L1915" s="13">
        <v>7.0000000000000007E-2</v>
      </c>
      <c r="M1915" s="13">
        <v>0.25</v>
      </c>
    </row>
    <row r="1916" spans="2:13" x14ac:dyDescent="0.25">
      <c r="B1916" s="14" t="s">
        <v>199</v>
      </c>
      <c r="C1916" s="14" t="s">
        <v>70</v>
      </c>
      <c r="D1916" t="s">
        <v>46</v>
      </c>
      <c r="E1916" s="16" t="s">
        <v>133</v>
      </c>
      <c r="F1916">
        <v>2026</v>
      </c>
      <c r="G1916" s="12">
        <v>256073</v>
      </c>
      <c r="H1916" s="13">
        <v>0.95</v>
      </c>
      <c r="I1916" s="13">
        <v>0.94</v>
      </c>
      <c r="J1916" s="13">
        <v>0</v>
      </c>
      <c r="K1916" s="13">
        <v>0</v>
      </c>
      <c r="L1916" s="13">
        <v>7.0000000000000007E-2</v>
      </c>
      <c r="M1916" s="13">
        <v>0.25</v>
      </c>
    </row>
    <row r="1917" spans="2:13" x14ac:dyDescent="0.25">
      <c r="B1917" s="14" t="s">
        <v>199</v>
      </c>
      <c r="C1917" s="14" t="s">
        <v>70</v>
      </c>
      <c r="D1917" t="s">
        <v>46</v>
      </c>
      <c r="E1917" s="16" t="s">
        <v>133</v>
      </c>
      <c r="F1917">
        <v>2027</v>
      </c>
      <c r="G1917" s="12">
        <v>257733.064856001</v>
      </c>
      <c r="H1917" s="13">
        <v>0</v>
      </c>
      <c r="I1917" s="13">
        <v>0</v>
      </c>
      <c r="J1917" s="13">
        <v>0</v>
      </c>
      <c r="K1917" s="13">
        <v>0</v>
      </c>
      <c r="L1917" s="13">
        <v>7.0000000000000007E-2</v>
      </c>
      <c r="M1917" s="13">
        <v>0.25</v>
      </c>
    </row>
    <row r="1918" spans="2:13" x14ac:dyDescent="0.25">
      <c r="B1918" s="14" t="s">
        <v>199</v>
      </c>
      <c r="C1918" s="14" t="s">
        <v>70</v>
      </c>
      <c r="D1918" t="s">
        <v>46</v>
      </c>
      <c r="E1918" s="16" t="s">
        <v>133</v>
      </c>
      <c r="F1918">
        <v>2028</v>
      </c>
      <c r="G1918" s="12">
        <v>257233.70414108201</v>
      </c>
      <c r="H1918" s="13">
        <v>0</v>
      </c>
      <c r="I1918" s="13">
        <v>0</v>
      </c>
      <c r="J1918" s="13">
        <v>0</v>
      </c>
      <c r="K1918" s="13">
        <v>0</v>
      </c>
      <c r="L1918" s="13">
        <v>7.0000000000000007E-2</v>
      </c>
      <c r="M1918" s="13">
        <v>0.25</v>
      </c>
    </row>
    <row r="1919" spans="2:13" x14ac:dyDescent="0.25">
      <c r="B1919" s="14" t="s">
        <v>199</v>
      </c>
      <c r="C1919" s="14" t="s">
        <v>134</v>
      </c>
      <c r="D1919" t="s">
        <v>46</v>
      </c>
      <c r="E1919" s="16" t="s">
        <v>133</v>
      </c>
      <c r="F1919">
        <v>2026</v>
      </c>
      <c r="G1919" s="12">
        <v>256073</v>
      </c>
      <c r="H1919" s="13">
        <v>0</v>
      </c>
      <c r="I1919" s="13">
        <v>0</v>
      </c>
      <c r="J1919" s="13">
        <v>0</v>
      </c>
      <c r="K1919" s="13">
        <v>0</v>
      </c>
      <c r="L1919" s="13">
        <v>7.0000000000000007E-2</v>
      </c>
      <c r="M1919" s="13">
        <v>0.25</v>
      </c>
    </row>
    <row r="1920" spans="2:13" x14ac:dyDescent="0.25">
      <c r="B1920" s="14" t="s">
        <v>199</v>
      </c>
      <c r="C1920" s="14" t="s">
        <v>134</v>
      </c>
      <c r="D1920" t="s">
        <v>46</v>
      </c>
      <c r="E1920" s="16" t="s">
        <v>133</v>
      </c>
      <c r="F1920">
        <v>2027</v>
      </c>
      <c r="G1920" s="12">
        <v>256612</v>
      </c>
      <c r="H1920" s="13">
        <v>0.96660000000000001</v>
      </c>
      <c r="I1920" s="13">
        <v>0.96250000000000002</v>
      </c>
      <c r="J1920" s="13">
        <v>0.95660000000000001</v>
      </c>
      <c r="K1920" s="13">
        <v>0</v>
      </c>
      <c r="L1920" s="13">
        <v>7.0000000000000007E-2</v>
      </c>
      <c r="M1920" s="13">
        <v>0.25</v>
      </c>
    </row>
    <row r="1921" spans="2:13" x14ac:dyDescent="0.25">
      <c r="B1921" s="14" t="s">
        <v>199</v>
      </c>
      <c r="C1921" s="14" t="s">
        <v>134</v>
      </c>
      <c r="D1921" t="s">
        <v>46</v>
      </c>
      <c r="E1921" s="16" t="s">
        <v>133</v>
      </c>
      <c r="F1921">
        <v>2028</v>
      </c>
      <c r="G1921" s="12">
        <v>257152.13452414001</v>
      </c>
      <c r="H1921" s="13">
        <v>0.97</v>
      </c>
      <c r="I1921" s="13">
        <v>0.96589999999999998</v>
      </c>
      <c r="J1921" s="13">
        <v>0.96</v>
      </c>
      <c r="K1921" s="13">
        <v>0</v>
      </c>
      <c r="L1921" s="13">
        <v>7.0000000000000007E-2</v>
      </c>
      <c r="M1921" s="13">
        <v>0.25</v>
      </c>
    </row>
    <row r="1922" spans="2:13" x14ac:dyDescent="0.25">
      <c r="B1922" s="14" t="s">
        <v>199</v>
      </c>
      <c r="C1922" s="14" t="s">
        <v>134</v>
      </c>
      <c r="D1922" t="s">
        <v>46</v>
      </c>
      <c r="E1922" s="16" t="s">
        <v>133</v>
      </c>
      <c r="F1922">
        <v>2029</v>
      </c>
      <c r="G1922" s="12">
        <v>257300.767047011</v>
      </c>
      <c r="H1922" s="13">
        <v>0.6687034945</v>
      </c>
      <c r="I1922" s="13">
        <v>0.6687034945</v>
      </c>
      <c r="J1922" s="13">
        <v>0.6687034945</v>
      </c>
      <c r="K1922" s="13">
        <v>0</v>
      </c>
      <c r="L1922" s="13">
        <v>7.0000000000000007E-2</v>
      </c>
      <c r="M1922" s="13">
        <v>0.25</v>
      </c>
    </row>
    <row r="1923" spans="2:13" x14ac:dyDescent="0.25">
      <c r="B1923" s="14" t="s">
        <v>199</v>
      </c>
      <c r="C1923" s="14" t="s">
        <v>134</v>
      </c>
      <c r="D1923" t="s">
        <v>46</v>
      </c>
      <c r="E1923" s="16" t="s">
        <v>133</v>
      </c>
      <c r="F1923">
        <v>2030</v>
      </c>
      <c r="G1923" s="12">
        <v>258101.39497010401</v>
      </c>
      <c r="H1923" s="13">
        <v>0.67530349450000005</v>
      </c>
      <c r="I1923" s="13">
        <v>0.67530349450000005</v>
      </c>
      <c r="J1923" s="13">
        <v>0.67530349450000005</v>
      </c>
      <c r="K1923" s="13">
        <v>0</v>
      </c>
      <c r="L1923" s="13">
        <v>7.0000000000000007E-2</v>
      </c>
      <c r="M1923" s="13">
        <v>0.25</v>
      </c>
    </row>
    <row r="1924" spans="2:13" x14ac:dyDescent="0.25">
      <c r="B1924" s="14" t="s">
        <v>199</v>
      </c>
      <c r="C1924" s="14" t="s">
        <v>72</v>
      </c>
      <c r="D1924" t="s">
        <v>46</v>
      </c>
      <c r="E1924" s="16" t="s">
        <v>133</v>
      </c>
      <c r="F1924">
        <v>2026</v>
      </c>
      <c r="G1924" s="12">
        <v>256073</v>
      </c>
      <c r="H1924" s="13">
        <v>0.97</v>
      </c>
      <c r="I1924" s="13">
        <v>0.96</v>
      </c>
      <c r="J1924" s="13">
        <v>0.95</v>
      </c>
      <c r="K1924" s="13"/>
      <c r="L1924" s="13">
        <v>7.0000000000000007E-2</v>
      </c>
      <c r="M1924" s="13">
        <v>0.25</v>
      </c>
    </row>
    <row r="1925" spans="2:13" x14ac:dyDescent="0.25">
      <c r="B1925" s="14" t="s">
        <v>199</v>
      </c>
      <c r="C1925" s="14" t="s">
        <v>72</v>
      </c>
      <c r="D1925" t="s">
        <v>46</v>
      </c>
      <c r="E1925" s="16" t="s">
        <v>133</v>
      </c>
      <c r="F1925">
        <v>2027</v>
      </c>
      <c r="G1925" s="12">
        <v>256612</v>
      </c>
      <c r="H1925" s="13">
        <v>0.98</v>
      </c>
      <c r="I1925" s="13">
        <v>0.97</v>
      </c>
      <c r="J1925" s="13">
        <v>0.96</v>
      </c>
      <c r="K1925" s="13"/>
      <c r="L1925" s="13">
        <v>7.0000000000000007E-2</v>
      </c>
      <c r="M1925" s="13">
        <v>0.25</v>
      </c>
    </row>
    <row r="1926" spans="2:13" x14ac:dyDescent="0.25">
      <c r="B1926" s="14" t="s">
        <v>199</v>
      </c>
      <c r="C1926" s="14" t="s">
        <v>72</v>
      </c>
      <c r="D1926" t="s">
        <v>46</v>
      </c>
      <c r="E1926" s="16" t="s">
        <v>133</v>
      </c>
      <c r="F1926">
        <v>2028</v>
      </c>
      <c r="G1926" s="12">
        <v>270346</v>
      </c>
      <c r="H1926" s="13">
        <v>0.99</v>
      </c>
      <c r="I1926" s="13">
        <v>0.98</v>
      </c>
      <c r="J1926" s="13">
        <v>0.97</v>
      </c>
      <c r="K1926" s="13"/>
      <c r="L1926" s="13">
        <v>7.0000000000000007E-2</v>
      </c>
      <c r="M1926" s="13">
        <v>0.25</v>
      </c>
    </row>
    <row r="1927" spans="2:13" x14ac:dyDescent="0.25">
      <c r="B1927" s="14" t="s">
        <v>199</v>
      </c>
      <c r="C1927" s="14" t="s">
        <v>72</v>
      </c>
      <c r="D1927" t="s">
        <v>46</v>
      </c>
      <c r="E1927" s="16" t="s">
        <v>133</v>
      </c>
      <c r="F1927">
        <v>2029</v>
      </c>
      <c r="G1927" s="12">
        <v>257300.767047011</v>
      </c>
      <c r="H1927" s="13">
        <v>0.80258699710000003</v>
      </c>
      <c r="I1927" s="13">
        <v>0.80258699710000003</v>
      </c>
      <c r="J1927" s="13">
        <v>0.80258699710000003</v>
      </c>
      <c r="K1927" s="13"/>
      <c r="L1927" s="13">
        <v>0.08</v>
      </c>
      <c r="M1927" s="13">
        <v>0.25</v>
      </c>
    </row>
    <row r="1928" spans="2:13" x14ac:dyDescent="0.25">
      <c r="B1928" s="14" t="s">
        <v>199</v>
      </c>
      <c r="C1928" s="14" t="s">
        <v>72</v>
      </c>
      <c r="D1928" t="s">
        <v>46</v>
      </c>
      <c r="E1928" s="16" t="s">
        <v>133</v>
      </c>
      <c r="F1928">
        <v>2030</v>
      </c>
      <c r="G1928" s="12">
        <v>258101.39497010401</v>
      </c>
      <c r="H1928" s="13">
        <v>0.80918699709999997</v>
      </c>
      <c r="I1928" s="13">
        <v>0.80918699709999997</v>
      </c>
      <c r="J1928" s="13">
        <v>0.80918699709999997</v>
      </c>
      <c r="K1928" s="13"/>
      <c r="L1928" s="13">
        <v>0.08</v>
      </c>
      <c r="M1928" s="13">
        <v>0.25</v>
      </c>
    </row>
    <row r="1929" spans="2:13" x14ac:dyDescent="0.25">
      <c r="B1929" s="14" t="s">
        <v>199</v>
      </c>
      <c r="C1929" s="14" t="s">
        <v>102</v>
      </c>
      <c r="D1929" t="s">
        <v>46</v>
      </c>
      <c r="E1929" s="16" t="s">
        <v>133</v>
      </c>
      <c r="F1929">
        <v>2026</v>
      </c>
      <c r="G1929" s="12">
        <v>370828</v>
      </c>
      <c r="H1929" s="13">
        <v>0.72483333329999999</v>
      </c>
      <c r="I1929" s="13"/>
      <c r="J1929" s="13"/>
      <c r="K1929" s="13"/>
      <c r="L1929" s="13">
        <v>7.0000000000000007E-2</v>
      </c>
      <c r="M1929" s="13">
        <v>0.25</v>
      </c>
    </row>
    <row r="1930" spans="2:13" x14ac:dyDescent="0.25">
      <c r="B1930" s="14" t="s">
        <v>199</v>
      </c>
      <c r="C1930" s="14" t="s">
        <v>102</v>
      </c>
      <c r="D1930" t="s">
        <v>46</v>
      </c>
      <c r="E1930" s="16" t="s">
        <v>133</v>
      </c>
      <c r="F1930">
        <v>2027</v>
      </c>
      <c r="G1930" s="12">
        <v>373231.99624490301</v>
      </c>
      <c r="H1930" s="13">
        <v>0.87639999999999996</v>
      </c>
      <c r="I1930" s="13"/>
      <c r="J1930" s="13"/>
      <c r="K1930" s="13"/>
      <c r="L1930" s="13">
        <v>7.0000000000000007E-2</v>
      </c>
      <c r="M1930" s="13">
        <v>0.25</v>
      </c>
    </row>
    <row r="1931" spans="2:13" x14ac:dyDescent="0.25">
      <c r="B1931" s="14" t="s">
        <v>199</v>
      </c>
      <c r="C1931" s="14" t="s">
        <v>102</v>
      </c>
      <c r="D1931" t="s">
        <v>46</v>
      </c>
      <c r="E1931" s="16" t="s">
        <v>133</v>
      </c>
      <c r="F1931">
        <v>2028</v>
      </c>
      <c r="G1931" s="12">
        <v>372508.85505004099</v>
      </c>
      <c r="H1931" s="13">
        <v>0.88300000000000001</v>
      </c>
      <c r="I1931" s="13"/>
      <c r="J1931" s="13"/>
      <c r="K1931" s="13"/>
      <c r="L1931" s="13">
        <v>7.0000000000000007E-2</v>
      </c>
      <c r="M1931" s="13">
        <v>0.25</v>
      </c>
    </row>
    <row r="1932" spans="2:13" x14ac:dyDescent="0.25">
      <c r="B1932" s="14" t="s">
        <v>199</v>
      </c>
      <c r="C1932" s="14" t="s">
        <v>102</v>
      </c>
      <c r="D1932" t="s">
        <v>46</v>
      </c>
      <c r="E1932" s="16" t="s">
        <v>133</v>
      </c>
      <c r="F1932">
        <v>2029</v>
      </c>
      <c r="G1932" s="12">
        <v>372605.97111959901</v>
      </c>
      <c r="H1932" s="13">
        <v>0.88959999999999995</v>
      </c>
      <c r="I1932" s="13"/>
      <c r="J1932" s="13"/>
      <c r="K1932" s="13"/>
      <c r="L1932" s="13">
        <v>7.0000000000000007E-2</v>
      </c>
      <c r="M1932" s="13">
        <v>0.25</v>
      </c>
    </row>
    <row r="1933" spans="2:13" x14ac:dyDescent="0.25">
      <c r="B1933" s="14" t="s">
        <v>199</v>
      </c>
      <c r="C1933" s="14" t="s">
        <v>102</v>
      </c>
      <c r="D1933" t="s">
        <v>46</v>
      </c>
      <c r="E1933" s="16" t="s">
        <v>133</v>
      </c>
      <c r="F1933">
        <v>2030</v>
      </c>
      <c r="G1933" s="12">
        <v>373765.38758078299</v>
      </c>
      <c r="H1933" s="13">
        <v>0.8962</v>
      </c>
      <c r="I1933" s="13"/>
      <c r="J1933" s="13"/>
      <c r="K1933" s="13"/>
      <c r="L1933" s="13">
        <v>7.0000000000000007E-2</v>
      </c>
      <c r="M1933" s="13">
        <v>0.25</v>
      </c>
    </row>
    <row r="1934" spans="2:13" x14ac:dyDescent="0.25">
      <c r="B1934" s="14" t="s">
        <v>199</v>
      </c>
      <c r="C1934" s="14" t="s">
        <v>15</v>
      </c>
      <c r="D1934" t="s">
        <v>136</v>
      </c>
      <c r="E1934" s="16" t="s">
        <v>133</v>
      </c>
      <c r="F1934">
        <v>2026</v>
      </c>
      <c r="G1934" s="12">
        <v>0</v>
      </c>
      <c r="H1934" s="13">
        <v>0</v>
      </c>
      <c r="I1934" s="13"/>
      <c r="J1934" s="13"/>
      <c r="K1934" s="13"/>
      <c r="L1934" s="13">
        <v>0.05</v>
      </c>
      <c r="M1934" s="13">
        <v>0.25</v>
      </c>
    </row>
    <row r="1935" spans="2:13" x14ac:dyDescent="0.25">
      <c r="B1935" s="14" t="s">
        <v>199</v>
      </c>
      <c r="C1935" s="14" t="s">
        <v>15</v>
      </c>
      <c r="D1935" t="s">
        <v>46</v>
      </c>
      <c r="E1935" s="16" t="s">
        <v>133</v>
      </c>
      <c r="F1935">
        <v>2026</v>
      </c>
      <c r="G1935" s="12">
        <v>110477</v>
      </c>
      <c r="H1935" s="13">
        <v>0.76200000000000001</v>
      </c>
      <c r="I1935" s="13"/>
      <c r="J1935" s="13"/>
      <c r="K1935" s="13"/>
      <c r="L1935" s="13">
        <v>0.04</v>
      </c>
      <c r="M1935" s="13">
        <v>0.25</v>
      </c>
    </row>
    <row r="1936" spans="2:13" x14ac:dyDescent="0.25">
      <c r="B1936" s="14" t="s">
        <v>199</v>
      </c>
      <c r="C1936" s="14" t="s">
        <v>15</v>
      </c>
      <c r="D1936" t="s">
        <v>46</v>
      </c>
      <c r="E1936" s="16" t="s">
        <v>133</v>
      </c>
      <c r="F1936">
        <v>2027</v>
      </c>
      <c r="G1936" s="12">
        <v>111647</v>
      </c>
      <c r="H1936" s="13">
        <v>0.76200000000000001</v>
      </c>
      <c r="I1936" s="13"/>
      <c r="J1936" s="13"/>
      <c r="K1936" s="13"/>
      <c r="L1936" s="13">
        <v>0.04</v>
      </c>
      <c r="M1936" s="13">
        <v>0.25</v>
      </c>
    </row>
    <row r="1937" spans="2:13" x14ac:dyDescent="0.25">
      <c r="B1937" s="14" t="s">
        <v>199</v>
      </c>
      <c r="C1937" s="14" t="s">
        <v>15</v>
      </c>
      <c r="D1937" t="s">
        <v>46</v>
      </c>
      <c r="E1937" s="16" t="s">
        <v>133</v>
      </c>
      <c r="F1937">
        <v>2028</v>
      </c>
      <c r="G1937" s="12">
        <v>112988</v>
      </c>
      <c r="H1937" s="13">
        <v>0.76200000000000001</v>
      </c>
      <c r="I1937" s="13"/>
      <c r="J1937" s="13"/>
      <c r="K1937" s="13"/>
      <c r="L1937" s="13">
        <v>0.04</v>
      </c>
      <c r="M1937" s="13">
        <v>0.25</v>
      </c>
    </row>
    <row r="1938" spans="2:13" x14ac:dyDescent="0.25">
      <c r="B1938" s="14" t="s">
        <v>199</v>
      </c>
      <c r="C1938" s="14" t="s">
        <v>15</v>
      </c>
      <c r="D1938" t="s">
        <v>46</v>
      </c>
      <c r="E1938" s="16" t="s">
        <v>133</v>
      </c>
      <c r="F1938">
        <v>2029</v>
      </c>
      <c r="G1938" s="12">
        <v>114018</v>
      </c>
      <c r="H1938" s="13">
        <v>0.61</v>
      </c>
      <c r="I1938" s="13"/>
      <c r="J1938" s="13"/>
      <c r="K1938" s="13"/>
      <c r="L1938" s="13">
        <v>0.04</v>
      </c>
      <c r="M1938" s="13">
        <v>0.25</v>
      </c>
    </row>
    <row r="1939" spans="2:13" x14ac:dyDescent="0.25">
      <c r="B1939" s="14" t="s">
        <v>199</v>
      </c>
      <c r="C1939" s="14" t="s">
        <v>15</v>
      </c>
      <c r="D1939" t="s">
        <v>46</v>
      </c>
      <c r="E1939" s="16" t="s">
        <v>133</v>
      </c>
      <c r="F1939">
        <v>2030</v>
      </c>
      <c r="G1939" s="12">
        <v>114908</v>
      </c>
      <c r="H1939" s="13">
        <v>0.61</v>
      </c>
      <c r="I1939" s="13"/>
      <c r="J1939" s="13"/>
      <c r="K1939" s="13"/>
      <c r="L1939" s="13">
        <v>0.04</v>
      </c>
      <c r="M1939" s="13">
        <v>0.25</v>
      </c>
    </row>
    <row r="1940" spans="2:13" x14ac:dyDescent="0.25">
      <c r="B1940" s="14" t="s">
        <v>199</v>
      </c>
      <c r="C1940" s="14" t="s">
        <v>145</v>
      </c>
      <c r="D1940" t="s">
        <v>46</v>
      </c>
      <c r="E1940" s="16" t="s">
        <v>133</v>
      </c>
      <c r="F1940">
        <v>2026</v>
      </c>
      <c r="G1940" s="12">
        <v>337993.45644639002</v>
      </c>
      <c r="H1940" s="13">
        <v>0.88912481190000003</v>
      </c>
      <c r="I1940" s="13">
        <v>0.85011632319999997</v>
      </c>
      <c r="J1940" s="13">
        <v>0.81585034850000004</v>
      </c>
      <c r="K1940" s="13">
        <v>0.62888414079999999</v>
      </c>
      <c r="L1940" s="13"/>
      <c r="M1940" s="13">
        <v>0.25</v>
      </c>
    </row>
    <row r="1941" spans="2:13" x14ac:dyDescent="0.25">
      <c r="B1941" s="14" t="s">
        <v>199</v>
      </c>
      <c r="C1941" s="14" t="s">
        <v>145</v>
      </c>
      <c r="D1941" t="s">
        <v>46</v>
      </c>
      <c r="E1941" s="16" t="s">
        <v>133</v>
      </c>
      <c r="F1941">
        <v>2027</v>
      </c>
      <c r="G1941" s="12">
        <v>304834.39941367903</v>
      </c>
      <c r="H1941" s="13">
        <v>0.88912481190000003</v>
      </c>
      <c r="I1941" s="13">
        <v>0.85511632319999997</v>
      </c>
      <c r="J1941" s="13">
        <v>0.82085034850000005</v>
      </c>
      <c r="K1941" s="13">
        <v>0.6338841408</v>
      </c>
      <c r="L1941" s="13"/>
      <c r="M1941" s="13">
        <v>0.25</v>
      </c>
    </row>
    <row r="1942" spans="2:13" x14ac:dyDescent="0.25">
      <c r="B1942" s="14" t="s">
        <v>199</v>
      </c>
      <c r="C1942" s="14" t="s">
        <v>145</v>
      </c>
      <c r="D1942" t="s">
        <v>46</v>
      </c>
      <c r="E1942" s="16" t="s">
        <v>133</v>
      </c>
      <c r="F1942">
        <v>2028</v>
      </c>
      <c r="G1942" s="12">
        <v>272653.39610481501</v>
      </c>
      <c r="H1942" s="13">
        <v>0.88912481190000003</v>
      </c>
      <c r="I1942" s="13">
        <v>0.86</v>
      </c>
      <c r="J1942" s="13">
        <v>0.82585034850000005</v>
      </c>
      <c r="K1942" s="13">
        <v>0.6388841408</v>
      </c>
      <c r="L1942" s="13"/>
      <c r="M1942" s="13">
        <v>0.25</v>
      </c>
    </row>
    <row r="1943" spans="2:13" x14ac:dyDescent="0.25">
      <c r="B1943" s="14" t="s">
        <v>199</v>
      </c>
      <c r="C1943" s="14" t="s">
        <v>145</v>
      </c>
      <c r="D1943" t="s">
        <v>46</v>
      </c>
      <c r="E1943" s="16" t="s">
        <v>133</v>
      </c>
      <c r="F1943">
        <v>2029</v>
      </c>
      <c r="G1943" s="12">
        <v>239831.048255576</v>
      </c>
      <c r="H1943" s="13">
        <v>0.88912481190000003</v>
      </c>
      <c r="I1943" s="13">
        <v>0.86</v>
      </c>
      <c r="J1943" s="13">
        <v>0.83085034849999995</v>
      </c>
      <c r="K1943" s="13">
        <v>0.6438841408</v>
      </c>
      <c r="L1943" s="13"/>
      <c r="M1943" s="13">
        <v>0.25</v>
      </c>
    </row>
    <row r="1944" spans="2:13" x14ac:dyDescent="0.25">
      <c r="B1944" s="14" t="s">
        <v>199</v>
      </c>
      <c r="C1944" s="14" t="s">
        <v>145</v>
      </c>
      <c r="D1944" t="s">
        <v>46</v>
      </c>
      <c r="E1944" s="16" t="s">
        <v>133</v>
      </c>
      <c r="F1944">
        <v>2030</v>
      </c>
      <c r="G1944" s="12">
        <v>240360.46438059001</v>
      </c>
      <c r="H1944" s="13">
        <v>0.88912481190000003</v>
      </c>
      <c r="I1944" s="13">
        <v>0.86</v>
      </c>
      <c r="J1944" s="13">
        <v>0.83585034849999995</v>
      </c>
      <c r="K1944" s="13">
        <v>0.64888414080000001</v>
      </c>
      <c r="L1944" s="13"/>
      <c r="M1944" s="13">
        <v>0.25</v>
      </c>
    </row>
    <row r="1945" spans="2:13" x14ac:dyDescent="0.25">
      <c r="B1945" s="14" t="s">
        <v>199</v>
      </c>
      <c r="C1945" s="14" t="s">
        <v>52</v>
      </c>
      <c r="D1945" t="s">
        <v>141</v>
      </c>
      <c r="E1945" s="16" t="s">
        <v>133</v>
      </c>
      <c r="F1945">
        <v>2028</v>
      </c>
      <c r="G1945" s="12">
        <v>1068259.5</v>
      </c>
      <c r="H1945" s="13">
        <v>0.85</v>
      </c>
      <c r="I1945" s="13"/>
      <c r="J1945" s="13"/>
      <c r="K1945" s="13"/>
      <c r="L1945" s="13"/>
      <c r="M1945" s="13"/>
    </row>
    <row r="1946" spans="2:13" x14ac:dyDescent="0.25">
      <c r="B1946" s="14" t="s">
        <v>199</v>
      </c>
      <c r="C1946" s="14" t="s">
        <v>52</v>
      </c>
      <c r="D1946" t="s">
        <v>138</v>
      </c>
      <c r="E1946" s="16" t="s">
        <v>133</v>
      </c>
      <c r="F1946">
        <v>2026</v>
      </c>
      <c r="G1946" s="12">
        <v>256073</v>
      </c>
      <c r="H1946" s="13">
        <v>0.96</v>
      </c>
      <c r="I1946" s="13">
        <v>0.75</v>
      </c>
      <c r="J1946" s="13"/>
      <c r="K1946" s="13"/>
      <c r="L1946" s="13"/>
      <c r="M1946" s="13"/>
    </row>
    <row r="1947" spans="2:13" x14ac:dyDescent="0.25">
      <c r="B1947" s="14" t="s">
        <v>199</v>
      </c>
      <c r="C1947" s="14" t="s">
        <v>52</v>
      </c>
      <c r="D1947" t="s">
        <v>138</v>
      </c>
      <c r="E1947" s="16" t="s">
        <v>133</v>
      </c>
      <c r="F1947">
        <v>2027</v>
      </c>
      <c r="G1947" s="12">
        <v>256612</v>
      </c>
      <c r="H1947" s="13">
        <v>0.97</v>
      </c>
      <c r="I1947" s="13">
        <v>0.76</v>
      </c>
      <c r="J1947" s="13"/>
      <c r="K1947" s="13"/>
      <c r="L1947" s="13"/>
      <c r="M1947" s="13"/>
    </row>
    <row r="1948" spans="2:13" x14ac:dyDescent="0.25">
      <c r="B1948" s="14" t="s">
        <v>199</v>
      </c>
      <c r="C1948" s="14" t="s">
        <v>52</v>
      </c>
      <c r="D1948" t="s">
        <v>138</v>
      </c>
      <c r="E1948" s="16" t="s">
        <v>133</v>
      </c>
      <c r="F1948">
        <v>2028</v>
      </c>
      <c r="G1948" s="12">
        <v>256115</v>
      </c>
      <c r="H1948" s="13">
        <v>0.97</v>
      </c>
      <c r="I1948" s="13">
        <v>0.76</v>
      </c>
      <c r="J1948" s="13"/>
      <c r="K1948" s="13"/>
      <c r="L1948" s="13"/>
      <c r="M1948" s="13"/>
    </row>
    <row r="1949" spans="2:13" x14ac:dyDescent="0.25">
      <c r="B1949" s="14" t="s">
        <v>199</v>
      </c>
      <c r="C1949" s="14" t="s">
        <v>52</v>
      </c>
      <c r="D1949" t="s">
        <v>138</v>
      </c>
      <c r="E1949" s="16" t="s">
        <v>133</v>
      </c>
      <c r="F1949">
        <v>2029</v>
      </c>
      <c r="G1949" s="12">
        <v>256182</v>
      </c>
      <c r="H1949" s="13">
        <v>0.97</v>
      </c>
      <c r="I1949" s="13">
        <v>0.78970499999999999</v>
      </c>
      <c r="J1949" s="13"/>
      <c r="K1949" s="13"/>
      <c r="L1949" s="13"/>
      <c r="M1949" s="13"/>
    </row>
    <row r="1950" spans="2:13" x14ac:dyDescent="0.25">
      <c r="B1950" s="14" t="s">
        <v>199</v>
      </c>
      <c r="C1950" s="14" t="s">
        <v>52</v>
      </c>
      <c r="D1950" t="s">
        <v>138</v>
      </c>
      <c r="E1950" s="16" t="s">
        <v>133</v>
      </c>
      <c r="F1950">
        <v>2030</v>
      </c>
      <c r="G1950" s="12">
        <v>256979</v>
      </c>
      <c r="H1950" s="13">
        <v>0.97</v>
      </c>
      <c r="I1950" s="13">
        <v>0.79653600000000002</v>
      </c>
      <c r="J1950" s="13"/>
      <c r="K1950" s="13"/>
      <c r="L1950" s="13"/>
      <c r="M1950" s="13"/>
    </row>
    <row r="1951" spans="2:13" x14ac:dyDescent="0.25">
      <c r="B1951" s="14" t="s">
        <v>199</v>
      </c>
      <c r="C1951" s="14" t="s">
        <v>139</v>
      </c>
      <c r="D1951" t="s">
        <v>46</v>
      </c>
      <c r="E1951" s="16" t="s">
        <v>133</v>
      </c>
      <c r="F1951">
        <v>2026</v>
      </c>
      <c r="G1951" s="12">
        <v>256073</v>
      </c>
      <c r="H1951" s="13">
        <v>0.96</v>
      </c>
      <c r="I1951" s="13">
        <v>0.92</v>
      </c>
      <c r="J1951" s="13">
        <v>0</v>
      </c>
      <c r="K1951" s="13"/>
      <c r="L1951" s="13">
        <v>0.04</v>
      </c>
      <c r="M1951" s="13">
        <v>0.25</v>
      </c>
    </row>
    <row r="1952" spans="2:13" x14ac:dyDescent="0.25">
      <c r="B1952" s="14" t="s">
        <v>199</v>
      </c>
      <c r="C1952" s="14" t="s">
        <v>139</v>
      </c>
      <c r="D1952" t="s">
        <v>46</v>
      </c>
      <c r="E1952" s="16" t="s">
        <v>133</v>
      </c>
      <c r="F1952">
        <v>2027</v>
      </c>
      <c r="G1952" s="12">
        <v>256612</v>
      </c>
      <c r="H1952" s="13">
        <v>0.97</v>
      </c>
      <c r="I1952" s="13">
        <v>0.93</v>
      </c>
      <c r="J1952" s="13">
        <v>0</v>
      </c>
      <c r="K1952" s="13"/>
      <c r="L1952" s="13">
        <v>0.04</v>
      </c>
      <c r="M1952" s="13">
        <v>0.25</v>
      </c>
    </row>
    <row r="1953" spans="2:13" x14ac:dyDescent="0.25">
      <c r="B1953" s="14" t="s">
        <v>199</v>
      </c>
      <c r="C1953" s="14" t="s">
        <v>139</v>
      </c>
      <c r="D1953" t="s">
        <v>46</v>
      </c>
      <c r="E1953" s="16" t="s">
        <v>133</v>
      </c>
      <c r="F1953">
        <v>2028</v>
      </c>
      <c r="G1953" s="12">
        <v>270346</v>
      </c>
      <c r="H1953" s="13">
        <v>0.98</v>
      </c>
      <c r="I1953" s="13">
        <v>0.94</v>
      </c>
      <c r="J1953" s="13">
        <v>0</v>
      </c>
      <c r="K1953" s="13"/>
      <c r="L1953" s="13">
        <v>0.04</v>
      </c>
      <c r="M1953" s="13">
        <v>0.25</v>
      </c>
    </row>
    <row r="1954" spans="2:13" x14ac:dyDescent="0.25">
      <c r="B1954" s="14" t="s">
        <v>199</v>
      </c>
      <c r="C1954" s="14" t="s">
        <v>139</v>
      </c>
      <c r="D1954" t="s">
        <v>46</v>
      </c>
      <c r="E1954" s="16" t="s">
        <v>133</v>
      </c>
      <c r="F1954">
        <v>2029</v>
      </c>
      <c r="G1954" s="12">
        <v>257300.767047011</v>
      </c>
      <c r="H1954" s="13">
        <v>0.79707264889999996</v>
      </c>
      <c r="I1954" s="13">
        <v>0.79707264889999996</v>
      </c>
      <c r="J1954" s="13">
        <v>0</v>
      </c>
      <c r="K1954" s="13"/>
      <c r="L1954" s="13">
        <v>0.04</v>
      </c>
      <c r="M1954" s="13">
        <v>0.25</v>
      </c>
    </row>
    <row r="1955" spans="2:13" x14ac:dyDescent="0.25">
      <c r="B1955" s="14" t="s">
        <v>199</v>
      </c>
      <c r="C1955" s="14" t="s">
        <v>139</v>
      </c>
      <c r="D1955" t="s">
        <v>46</v>
      </c>
      <c r="E1955" s="16" t="s">
        <v>133</v>
      </c>
      <c r="F1955">
        <v>2030</v>
      </c>
      <c r="G1955" s="12">
        <v>258101.39497010401</v>
      </c>
      <c r="H1955" s="13">
        <v>0.80367264890000001</v>
      </c>
      <c r="I1955" s="13">
        <v>0.80367264890000001</v>
      </c>
      <c r="J1955" s="13">
        <v>0</v>
      </c>
      <c r="K1955" s="13"/>
      <c r="L1955" s="13">
        <v>0.04</v>
      </c>
      <c r="M1955" s="13">
        <v>0.25</v>
      </c>
    </row>
    <row r="1956" spans="2:13" x14ac:dyDescent="0.25">
      <c r="B1956" s="14" t="s">
        <v>199</v>
      </c>
      <c r="C1956" s="14" t="s">
        <v>101</v>
      </c>
      <c r="D1956" t="s">
        <v>46</v>
      </c>
      <c r="E1956" s="16" t="s">
        <v>133</v>
      </c>
      <c r="F1956">
        <v>2027</v>
      </c>
      <c r="G1956" s="12">
        <v>343619.059287226</v>
      </c>
      <c r="H1956" s="13">
        <v>0.3533</v>
      </c>
      <c r="I1956" s="13"/>
      <c r="J1956" s="13"/>
      <c r="K1956" s="13"/>
      <c r="L1956" s="13">
        <v>0.05</v>
      </c>
      <c r="M1956" s="13">
        <v>0.25</v>
      </c>
    </row>
    <row r="1957" spans="2:13" x14ac:dyDescent="0.25">
      <c r="B1957" s="14" t="s">
        <v>199</v>
      </c>
      <c r="C1957" s="14" t="s">
        <v>101</v>
      </c>
      <c r="D1957" t="s">
        <v>46</v>
      </c>
      <c r="E1957" s="16" t="s">
        <v>133</v>
      </c>
      <c r="F1957">
        <v>2028</v>
      </c>
      <c r="G1957" s="12">
        <v>344223.17881800898</v>
      </c>
      <c r="H1957" s="13">
        <v>0.71319999999999995</v>
      </c>
      <c r="I1957" s="13"/>
      <c r="J1957" s="13"/>
      <c r="K1957" s="13"/>
      <c r="L1957" s="13">
        <v>0.05</v>
      </c>
      <c r="M1957" s="13">
        <v>0.25</v>
      </c>
    </row>
    <row r="1958" spans="2:13" x14ac:dyDescent="0.25">
      <c r="B1958" s="14" t="s">
        <v>199</v>
      </c>
      <c r="C1958" s="14" t="s">
        <v>101</v>
      </c>
      <c r="D1958" t="s">
        <v>46</v>
      </c>
      <c r="E1958" s="16" t="s">
        <v>133</v>
      </c>
      <c r="F1958">
        <v>2029</v>
      </c>
      <c r="G1958" s="12">
        <v>344828.36045637098</v>
      </c>
      <c r="H1958" s="13">
        <v>0.7198</v>
      </c>
      <c r="I1958" s="13"/>
      <c r="J1958" s="13"/>
      <c r="K1958" s="13"/>
      <c r="L1958" s="13">
        <v>0.05</v>
      </c>
      <c r="M1958" s="13">
        <v>0.25</v>
      </c>
    </row>
    <row r="1959" spans="2:13" x14ac:dyDescent="0.25">
      <c r="B1959" s="14" t="s">
        <v>199</v>
      </c>
      <c r="C1959" s="14" t="s">
        <v>101</v>
      </c>
      <c r="D1959" t="s">
        <v>46</v>
      </c>
      <c r="E1959" s="16" t="s">
        <v>133</v>
      </c>
      <c r="F1959">
        <v>2030</v>
      </c>
      <c r="G1959" s="12">
        <v>345434.606069614</v>
      </c>
      <c r="H1959" s="13">
        <v>0.72640000000000005</v>
      </c>
      <c r="I1959" s="13"/>
      <c r="J1959" s="13"/>
      <c r="K1959" s="13"/>
      <c r="L1959" s="13">
        <v>0.05</v>
      </c>
      <c r="M1959" s="13">
        <v>0.25</v>
      </c>
    </row>
    <row r="1960" spans="2:13" x14ac:dyDescent="0.25">
      <c r="B1960" s="14" t="s">
        <v>199</v>
      </c>
      <c r="C1960" s="14" t="s">
        <v>74</v>
      </c>
      <c r="D1960" t="s">
        <v>46</v>
      </c>
      <c r="E1960" s="16" t="s">
        <v>133</v>
      </c>
      <c r="F1960">
        <v>2026</v>
      </c>
      <c r="G1960" s="12">
        <v>256073</v>
      </c>
      <c r="H1960" s="13">
        <v>0.96</v>
      </c>
      <c r="I1960" s="13"/>
      <c r="J1960" s="13"/>
      <c r="K1960" s="13"/>
      <c r="L1960" s="13">
        <v>0.2</v>
      </c>
      <c r="M1960" s="13">
        <v>0.25</v>
      </c>
    </row>
    <row r="1961" spans="2:13" x14ac:dyDescent="0.25">
      <c r="B1961" s="14" t="s">
        <v>199</v>
      </c>
      <c r="C1961" s="14" t="s">
        <v>74</v>
      </c>
      <c r="D1961" t="s">
        <v>46</v>
      </c>
      <c r="E1961" s="16" t="s">
        <v>133</v>
      </c>
      <c r="F1961">
        <v>2027</v>
      </c>
      <c r="G1961" s="12">
        <v>256612</v>
      </c>
      <c r="H1961" s="13">
        <v>0.97</v>
      </c>
      <c r="I1961" s="13"/>
      <c r="J1961" s="13"/>
      <c r="K1961" s="13"/>
      <c r="L1961" s="13">
        <v>0.2</v>
      </c>
      <c r="M1961" s="13">
        <v>0.25</v>
      </c>
    </row>
    <row r="1962" spans="2:13" x14ac:dyDescent="0.25">
      <c r="B1962" s="14" t="s">
        <v>199</v>
      </c>
      <c r="C1962" s="14" t="s">
        <v>74</v>
      </c>
      <c r="D1962" t="s">
        <v>46</v>
      </c>
      <c r="E1962" s="16" t="s">
        <v>133</v>
      </c>
      <c r="F1962">
        <v>2028</v>
      </c>
      <c r="G1962" s="12">
        <v>256115</v>
      </c>
      <c r="H1962" s="13">
        <v>0.97</v>
      </c>
      <c r="I1962" s="13"/>
      <c r="J1962" s="13"/>
      <c r="K1962" s="13"/>
      <c r="L1962" s="13">
        <v>0.2</v>
      </c>
      <c r="M1962" s="13">
        <v>0.25</v>
      </c>
    </row>
    <row r="1963" spans="2:13" x14ac:dyDescent="0.25">
      <c r="B1963" s="14" t="s">
        <v>199</v>
      </c>
      <c r="C1963" s="14" t="s">
        <v>74</v>
      </c>
      <c r="D1963" t="s">
        <v>46</v>
      </c>
      <c r="E1963" s="16" t="s">
        <v>133</v>
      </c>
      <c r="F1963">
        <v>2029</v>
      </c>
      <c r="G1963" s="12">
        <v>256182</v>
      </c>
      <c r="H1963" s="13">
        <v>0.97</v>
      </c>
      <c r="I1963" s="13"/>
      <c r="J1963" s="13"/>
      <c r="K1963" s="13"/>
      <c r="L1963" s="13">
        <v>0.2</v>
      </c>
      <c r="M1963" s="13">
        <v>0.25</v>
      </c>
    </row>
    <row r="1964" spans="2:13" x14ac:dyDescent="0.25">
      <c r="B1964" s="15" t="s">
        <v>199</v>
      </c>
      <c r="C1964" s="14" t="s">
        <v>74</v>
      </c>
      <c r="D1964" t="s">
        <v>46</v>
      </c>
      <c r="E1964" s="16" t="s">
        <v>133</v>
      </c>
      <c r="F1964">
        <v>2030</v>
      </c>
      <c r="G1964" s="12">
        <v>256979</v>
      </c>
      <c r="H1964" s="13">
        <v>0.97</v>
      </c>
      <c r="I1964" s="13"/>
      <c r="J1964" s="13"/>
      <c r="K1964" s="13"/>
      <c r="L1964" s="13">
        <v>0.2</v>
      </c>
      <c r="M1964" s="13">
        <v>0.25</v>
      </c>
    </row>
    <row r="1965" spans="2:13" x14ac:dyDescent="0.25">
      <c r="B1965" s="14" t="s">
        <v>200</v>
      </c>
      <c r="C1965" s="14" t="s">
        <v>132</v>
      </c>
      <c r="D1965" t="s">
        <v>46</v>
      </c>
      <c r="E1965" s="16" t="s">
        <v>133</v>
      </c>
      <c r="F1965">
        <v>2026</v>
      </c>
      <c r="G1965" s="12">
        <v>775111</v>
      </c>
      <c r="H1965" s="13">
        <v>0.63897550020000005</v>
      </c>
      <c r="I1965" s="13">
        <v>0.59531217439999995</v>
      </c>
      <c r="J1965" s="13">
        <v>0.53247958350000002</v>
      </c>
      <c r="K1965" s="13">
        <v>0</v>
      </c>
      <c r="L1965" s="13">
        <v>0.25</v>
      </c>
      <c r="M1965" s="13">
        <v>0.25</v>
      </c>
    </row>
    <row r="1966" spans="2:13" x14ac:dyDescent="0.25">
      <c r="B1966" s="14" t="s">
        <v>200</v>
      </c>
      <c r="C1966" s="14" t="s">
        <v>132</v>
      </c>
      <c r="D1966" t="s">
        <v>46</v>
      </c>
      <c r="E1966" s="16" t="s">
        <v>133</v>
      </c>
      <c r="F1966">
        <v>2027</v>
      </c>
      <c r="G1966" s="12">
        <v>785691.66175415996</v>
      </c>
      <c r="H1966" s="13">
        <v>0.32278775009999999</v>
      </c>
      <c r="I1966" s="13">
        <v>0.3009560872</v>
      </c>
      <c r="J1966" s="13">
        <v>0.26953979179999998</v>
      </c>
      <c r="K1966" s="13">
        <v>0</v>
      </c>
      <c r="L1966" s="13">
        <v>0.25</v>
      </c>
      <c r="M1966" s="13">
        <v>0.25</v>
      </c>
    </row>
    <row r="1967" spans="2:13" x14ac:dyDescent="0.25">
      <c r="B1967" s="14" t="s">
        <v>200</v>
      </c>
      <c r="C1967" s="14" t="s">
        <v>132</v>
      </c>
      <c r="D1967" t="s">
        <v>46</v>
      </c>
      <c r="E1967" s="16" t="s">
        <v>133</v>
      </c>
      <c r="F1967">
        <v>2028</v>
      </c>
      <c r="G1967" s="12">
        <v>797456.187413348</v>
      </c>
      <c r="H1967" s="13">
        <v>0</v>
      </c>
      <c r="I1967" s="13">
        <v>0</v>
      </c>
      <c r="J1967" s="13">
        <v>0</v>
      </c>
      <c r="K1967" s="13">
        <v>0</v>
      </c>
      <c r="L1967" s="13">
        <v>0.25</v>
      </c>
      <c r="M1967" s="13">
        <v>0.25</v>
      </c>
    </row>
    <row r="1968" spans="2:13" x14ac:dyDescent="0.25">
      <c r="B1968" s="14" t="s">
        <v>200</v>
      </c>
      <c r="C1968" s="14" t="s">
        <v>70</v>
      </c>
      <c r="D1968" t="s">
        <v>46</v>
      </c>
      <c r="E1968" s="16" t="s">
        <v>133</v>
      </c>
      <c r="F1968">
        <v>2026</v>
      </c>
      <c r="G1968" s="12">
        <v>775111</v>
      </c>
      <c r="H1968" s="13">
        <v>0.73657023170000002</v>
      </c>
      <c r="I1968" s="13">
        <v>0.61871899460000002</v>
      </c>
      <c r="J1968" s="13">
        <v>0</v>
      </c>
      <c r="K1968" s="13">
        <v>0</v>
      </c>
      <c r="L1968" s="13">
        <v>0.2</v>
      </c>
      <c r="M1968" s="13">
        <v>0.25</v>
      </c>
    </row>
    <row r="1969" spans="2:13" x14ac:dyDescent="0.25">
      <c r="B1969" s="14" t="s">
        <v>200</v>
      </c>
      <c r="C1969" s="14" t="s">
        <v>70</v>
      </c>
      <c r="D1969" t="s">
        <v>46</v>
      </c>
      <c r="E1969" s="16" t="s">
        <v>133</v>
      </c>
      <c r="F1969">
        <v>2027</v>
      </c>
      <c r="G1969" s="12">
        <v>785691.66175415996</v>
      </c>
      <c r="H1969" s="13">
        <v>0.37158511589999998</v>
      </c>
      <c r="I1969" s="13">
        <v>0.31265949729999998</v>
      </c>
      <c r="J1969" s="13">
        <v>3.3E-3</v>
      </c>
      <c r="K1969" s="13">
        <v>0</v>
      </c>
      <c r="L1969" s="13">
        <v>0.2</v>
      </c>
      <c r="M1969" s="13">
        <v>0.25</v>
      </c>
    </row>
    <row r="1970" spans="2:13" x14ac:dyDescent="0.25">
      <c r="B1970" s="14" t="s">
        <v>200</v>
      </c>
      <c r="C1970" s="14" t="s">
        <v>70</v>
      </c>
      <c r="D1970" t="s">
        <v>46</v>
      </c>
      <c r="E1970" s="16" t="s">
        <v>133</v>
      </c>
      <c r="F1970">
        <v>2028</v>
      </c>
      <c r="G1970" s="12">
        <v>797456.187413348</v>
      </c>
      <c r="H1970" s="13">
        <v>0</v>
      </c>
      <c r="I1970" s="13">
        <v>0</v>
      </c>
      <c r="J1970" s="13">
        <v>0</v>
      </c>
      <c r="K1970" s="13">
        <v>0</v>
      </c>
      <c r="L1970" s="13">
        <v>0.2</v>
      </c>
      <c r="M1970" s="13">
        <v>0.25</v>
      </c>
    </row>
    <row r="1971" spans="2:13" x14ac:dyDescent="0.25">
      <c r="B1971" s="14" t="s">
        <v>200</v>
      </c>
      <c r="C1971" s="14" t="s">
        <v>134</v>
      </c>
      <c r="D1971" t="s">
        <v>46</v>
      </c>
      <c r="E1971" s="16" t="s">
        <v>133</v>
      </c>
      <c r="F1971">
        <v>2026</v>
      </c>
      <c r="G1971" s="12">
        <v>775111</v>
      </c>
      <c r="H1971" s="13">
        <v>0</v>
      </c>
      <c r="I1971" s="13">
        <v>0</v>
      </c>
      <c r="J1971" s="13">
        <v>0</v>
      </c>
      <c r="K1971" s="13">
        <v>0</v>
      </c>
      <c r="L1971" s="13">
        <v>0</v>
      </c>
      <c r="M1971" s="13">
        <v>0.25</v>
      </c>
    </row>
    <row r="1972" spans="2:13" x14ac:dyDescent="0.25">
      <c r="B1972" s="14" t="s">
        <v>200</v>
      </c>
      <c r="C1972" s="14" t="s">
        <v>134</v>
      </c>
      <c r="D1972" t="s">
        <v>46</v>
      </c>
      <c r="E1972" s="16" t="s">
        <v>133</v>
      </c>
      <c r="F1972">
        <v>2027</v>
      </c>
      <c r="G1972" s="12">
        <v>785691.66175415996</v>
      </c>
      <c r="H1972" s="13">
        <v>0.32278775009999999</v>
      </c>
      <c r="I1972" s="13">
        <v>0.3009560872</v>
      </c>
      <c r="J1972" s="13">
        <v>0.26953979179999998</v>
      </c>
      <c r="K1972" s="13">
        <v>0</v>
      </c>
      <c r="L1972" s="13">
        <v>7.0000000000000007E-2</v>
      </c>
      <c r="M1972" s="13">
        <v>0.25</v>
      </c>
    </row>
    <row r="1973" spans="2:13" x14ac:dyDescent="0.25">
      <c r="B1973" s="14" t="s">
        <v>200</v>
      </c>
      <c r="C1973" s="14" t="s">
        <v>134</v>
      </c>
      <c r="D1973" t="s">
        <v>46</v>
      </c>
      <c r="E1973" s="16" t="s">
        <v>133</v>
      </c>
      <c r="F1973">
        <v>2028</v>
      </c>
      <c r="G1973" s="12">
        <v>797456.187413348</v>
      </c>
      <c r="H1973" s="13">
        <v>0.65217550020000004</v>
      </c>
      <c r="I1973" s="13">
        <v>0.60851217440000005</v>
      </c>
      <c r="J1973" s="13">
        <v>0.54567958350000001</v>
      </c>
      <c r="K1973" s="13">
        <v>0</v>
      </c>
      <c r="L1973" s="13">
        <v>7.0000000000000007E-2</v>
      </c>
      <c r="M1973" s="13">
        <v>0.25</v>
      </c>
    </row>
    <row r="1974" spans="2:13" x14ac:dyDescent="0.25">
      <c r="B1974" s="14" t="s">
        <v>200</v>
      </c>
      <c r="C1974" s="14" t="s">
        <v>134</v>
      </c>
      <c r="D1974" t="s">
        <v>46</v>
      </c>
      <c r="E1974" s="16" t="s">
        <v>133</v>
      </c>
      <c r="F1974">
        <v>2029</v>
      </c>
      <c r="G1974" s="12">
        <v>806817.87891933206</v>
      </c>
      <c r="H1974" s="13">
        <v>0.65877550019999997</v>
      </c>
      <c r="I1974" s="13">
        <v>0.61511217439999999</v>
      </c>
      <c r="J1974" s="13">
        <v>0.55227958349999995</v>
      </c>
      <c r="K1974" s="13">
        <v>0</v>
      </c>
      <c r="L1974" s="13">
        <v>7.0000000000000007E-2</v>
      </c>
      <c r="M1974" s="13">
        <v>0.25</v>
      </c>
    </row>
    <row r="1975" spans="2:13" x14ac:dyDescent="0.25">
      <c r="B1975" s="14" t="s">
        <v>200</v>
      </c>
      <c r="C1975" s="14" t="s">
        <v>134</v>
      </c>
      <c r="D1975" t="s">
        <v>46</v>
      </c>
      <c r="E1975" s="16" t="s">
        <v>133</v>
      </c>
      <c r="F1975">
        <v>2030</v>
      </c>
      <c r="G1975" s="12">
        <v>815285.33385125594</v>
      </c>
      <c r="H1975" s="13">
        <v>0.66537550020000003</v>
      </c>
      <c r="I1975" s="13">
        <v>0.62171217440000004</v>
      </c>
      <c r="J1975" s="13">
        <v>0.5588795835</v>
      </c>
      <c r="K1975" s="13">
        <v>0</v>
      </c>
      <c r="L1975" s="13">
        <v>7.0000000000000007E-2</v>
      </c>
      <c r="M1975" s="13">
        <v>0.25</v>
      </c>
    </row>
    <row r="1976" spans="2:13" x14ac:dyDescent="0.25">
      <c r="B1976" s="14" t="s">
        <v>200</v>
      </c>
      <c r="C1976" s="14" t="s">
        <v>72</v>
      </c>
      <c r="D1976" t="s">
        <v>46</v>
      </c>
      <c r="E1976" s="16" t="s">
        <v>133</v>
      </c>
      <c r="F1976">
        <v>2026</v>
      </c>
      <c r="G1976" s="12">
        <v>774355</v>
      </c>
      <c r="H1976" s="13">
        <v>0.7</v>
      </c>
      <c r="I1976" s="13">
        <v>0.67949999999999999</v>
      </c>
      <c r="J1976" s="13">
        <v>0.65</v>
      </c>
      <c r="K1976" s="13"/>
      <c r="L1976" s="13">
        <v>0.04</v>
      </c>
      <c r="M1976" s="13">
        <v>0.25</v>
      </c>
    </row>
    <row r="1977" spans="2:13" x14ac:dyDescent="0.25">
      <c r="B1977" s="14" t="s">
        <v>200</v>
      </c>
      <c r="C1977" s="14" t="s">
        <v>72</v>
      </c>
      <c r="D1977" t="s">
        <v>46</v>
      </c>
      <c r="E1977" s="16" t="s">
        <v>133</v>
      </c>
      <c r="F1977">
        <v>2027</v>
      </c>
      <c r="G1977" s="12">
        <v>784925.34196733404</v>
      </c>
      <c r="H1977" s="13">
        <v>0.70660000000000001</v>
      </c>
      <c r="I1977" s="13">
        <v>0.68610000000000004</v>
      </c>
      <c r="J1977" s="13">
        <v>0.65659999999999996</v>
      </c>
      <c r="K1977" s="13"/>
      <c r="L1977" s="13">
        <v>7.0000000000000007E-2</v>
      </c>
      <c r="M1977" s="13">
        <v>0.25</v>
      </c>
    </row>
    <row r="1978" spans="2:13" x14ac:dyDescent="0.25">
      <c r="B1978" s="14" t="s">
        <v>200</v>
      </c>
      <c r="C1978" s="14" t="s">
        <v>72</v>
      </c>
      <c r="D1978" t="s">
        <v>46</v>
      </c>
      <c r="E1978" s="16" t="s">
        <v>133</v>
      </c>
      <c r="F1978">
        <v>2028</v>
      </c>
      <c r="G1978" s="12">
        <v>796678.39316493098</v>
      </c>
      <c r="H1978" s="13">
        <v>0.71319999999999995</v>
      </c>
      <c r="I1978" s="13">
        <v>0.69269999999999998</v>
      </c>
      <c r="J1978" s="13">
        <v>0.66320000000000001</v>
      </c>
      <c r="K1978" s="13"/>
      <c r="L1978" s="13">
        <v>7.0000000000000007E-2</v>
      </c>
      <c r="M1978" s="13">
        <v>0.25</v>
      </c>
    </row>
    <row r="1979" spans="2:13" x14ac:dyDescent="0.25">
      <c r="B1979" s="14" t="s">
        <v>200</v>
      </c>
      <c r="C1979" s="14" t="s">
        <v>72</v>
      </c>
      <c r="D1979" t="s">
        <v>46</v>
      </c>
      <c r="E1979" s="16" t="s">
        <v>133</v>
      </c>
      <c r="F1979">
        <v>2029</v>
      </c>
      <c r="G1979" s="12">
        <v>806030.95379962295</v>
      </c>
      <c r="H1979" s="13">
        <v>0.7198</v>
      </c>
      <c r="I1979" s="13">
        <v>0.69930000000000003</v>
      </c>
      <c r="J1979" s="13">
        <v>0.66979999999999995</v>
      </c>
      <c r="K1979" s="13"/>
      <c r="L1979" s="13">
        <v>7.0000000000000007E-2</v>
      </c>
      <c r="M1979" s="13">
        <v>0.25</v>
      </c>
    </row>
    <row r="1980" spans="2:13" x14ac:dyDescent="0.25">
      <c r="B1980" s="14" t="s">
        <v>200</v>
      </c>
      <c r="C1980" s="14" t="s">
        <v>72</v>
      </c>
      <c r="D1980" t="s">
        <v>46</v>
      </c>
      <c r="E1980" s="16" t="s">
        <v>133</v>
      </c>
      <c r="F1980">
        <v>2030</v>
      </c>
      <c r="G1980" s="12">
        <v>814490.15004868899</v>
      </c>
      <c r="H1980" s="13">
        <v>0.72640000000000005</v>
      </c>
      <c r="I1980" s="13">
        <v>0.70589999999999997</v>
      </c>
      <c r="J1980" s="13">
        <v>0.6764</v>
      </c>
      <c r="K1980" s="13"/>
      <c r="L1980" s="13">
        <v>7.0000000000000007E-2</v>
      </c>
      <c r="M1980" s="13">
        <v>0.25</v>
      </c>
    </row>
    <row r="1981" spans="2:13" x14ac:dyDescent="0.25">
      <c r="B1981" s="14" t="s">
        <v>200</v>
      </c>
      <c r="C1981" s="14" t="s">
        <v>135</v>
      </c>
      <c r="D1981" t="s">
        <v>46</v>
      </c>
      <c r="E1981" s="16" t="s">
        <v>133</v>
      </c>
      <c r="F1981">
        <v>2027</v>
      </c>
      <c r="G1981" s="12">
        <v>785691.66175415996</v>
      </c>
      <c r="H1981" s="13">
        <v>0</v>
      </c>
      <c r="I1981" s="13">
        <v>0</v>
      </c>
      <c r="J1981" s="13">
        <v>0</v>
      </c>
      <c r="K1981" s="13">
        <v>0</v>
      </c>
      <c r="L1981" s="13">
        <v>0.15</v>
      </c>
      <c r="M1981" s="13">
        <v>0.25</v>
      </c>
    </row>
    <row r="1982" spans="2:13" x14ac:dyDescent="0.25">
      <c r="B1982" s="14" t="s">
        <v>200</v>
      </c>
      <c r="C1982" s="14" t="s">
        <v>135</v>
      </c>
      <c r="D1982" t="s">
        <v>46</v>
      </c>
      <c r="E1982" s="16" t="s">
        <v>133</v>
      </c>
      <c r="F1982">
        <v>2028</v>
      </c>
      <c r="G1982" s="12">
        <v>797456.187413348</v>
      </c>
      <c r="H1982" s="13">
        <v>0.22283979179999999</v>
      </c>
      <c r="I1982" s="13">
        <v>6.6E-3</v>
      </c>
      <c r="J1982" s="13">
        <v>6.6E-3</v>
      </c>
      <c r="K1982" s="13">
        <v>0</v>
      </c>
      <c r="L1982" s="13">
        <v>0.15</v>
      </c>
      <c r="M1982" s="13">
        <v>0.25</v>
      </c>
    </row>
    <row r="1983" spans="2:13" x14ac:dyDescent="0.25">
      <c r="B1983" s="14" t="s">
        <v>200</v>
      </c>
      <c r="C1983" s="14" t="s">
        <v>135</v>
      </c>
      <c r="D1983" t="s">
        <v>46</v>
      </c>
      <c r="E1983" s="16" t="s">
        <v>133</v>
      </c>
      <c r="F1983">
        <v>2029</v>
      </c>
      <c r="G1983" s="12">
        <v>806817.87891933206</v>
      </c>
      <c r="H1983" s="13">
        <v>0.45227958350000003</v>
      </c>
      <c r="I1983" s="13">
        <v>1.9800000000000002E-2</v>
      </c>
      <c r="J1983" s="13">
        <v>1.9800000000000002E-2</v>
      </c>
      <c r="K1983" s="13">
        <v>0</v>
      </c>
      <c r="L1983" s="13">
        <v>0.15</v>
      </c>
      <c r="M1983" s="13">
        <v>0.25</v>
      </c>
    </row>
    <row r="1984" spans="2:13" x14ac:dyDescent="0.25">
      <c r="B1984" s="14" t="s">
        <v>200</v>
      </c>
      <c r="C1984" s="14" t="s">
        <v>135</v>
      </c>
      <c r="D1984" t="s">
        <v>46</v>
      </c>
      <c r="E1984" s="16" t="s">
        <v>133</v>
      </c>
      <c r="F1984">
        <v>2030</v>
      </c>
      <c r="G1984" s="12">
        <v>815285.33385125594</v>
      </c>
      <c r="H1984" s="13">
        <v>0.45887958350000002</v>
      </c>
      <c r="I1984" s="13">
        <v>2.64E-2</v>
      </c>
      <c r="J1984" s="13">
        <v>2.64E-2</v>
      </c>
      <c r="K1984" s="13">
        <v>0</v>
      </c>
      <c r="L1984" s="13">
        <v>0.15</v>
      </c>
      <c r="M1984" s="13">
        <v>0.25</v>
      </c>
    </row>
    <row r="1985" spans="2:13" x14ac:dyDescent="0.25">
      <c r="B1985" s="14" t="s">
        <v>200</v>
      </c>
      <c r="C1985" s="14" t="s">
        <v>102</v>
      </c>
      <c r="D1985" t="s">
        <v>46</v>
      </c>
      <c r="E1985" s="16" t="s">
        <v>133</v>
      </c>
      <c r="F1985">
        <v>2028</v>
      </c>
      <c r="G1985" s="12">
        <v>797456.187413348</v>
      </c>
      <c r="H1985" s="13">
        <v>0.18145042880000001</v>
      </c>
      <c r="I1985" s="13"/>
      <c r="J1985" s="13"/>
      <c r="K1985" s="13"/>
      <c r="L1985" s="13">
        <v>7.0000000000000007E-2</v>
      </c>
      <c r="M1985" s="13">
        <v>0.25</v>
      </c>
    </row>
    <row r="1986" spans="2:13" x14ac:dyDescent="0.25">
      <c r="B1986" s="14" t="s">
        <v>200</v>
      </c>
      <c r="C1986" s="14" t="s">
        <v>102</v>
      </c>
      <c r="D1986" t="s">
        <v>46</v>
      </c>
      <c r="E1986" s="16" t="s">
        <v>133</v>
      </c>
      <c r="F1986">
        <v>2029</v>
      </c>
      <c r="G1986" s="12">
        <v>806817.87891933206</v>
      </c>
      <c r="H1986" s="13">
        <v>0.55095128650000003</v>
      </c>
      <c r="I1986" s="13"/>
      <c r="J1986" s="13"/>
      <c r="K1986" s="13"/>
      <c r="L1986" s="13">
        <v>7.0000000000000007E-2</v>
      </c>
      <c r="M1986" s="13">
        <v>0.25</v>
      </c>
    </row>
    <row r="1987" spans="2:13" x14ac:dyDescent="0.25">
      <c r="B1987" s="14" t="s">
        <v>200</v>
      </c>
      <c r="C1987" s="14" t="s">
        <v>102</v>
      </c>
      <c r="D1987" t="s">
        <v>46</v>
      </c>
      <c r="E1987" s="16" t="s">
        <v>133</v>
      </c>
      <c r="F1987">
        <v>2030</v>
      </c>
      <c r="G1987" s="12">
        <v>815285.33385125594</v>
      </c>
      <c r="H1987" s="13">
        <v>0.55755128649999997</v>
      </c>
      <c r="I1987" s="13"/>
      <c r="J1987" s="13"/>
      <c r="K1987" s="13"/>
      <c r="L1987" s="13">
        <v>7.0000000000000007E-2</v>
      </c>
      <c r="M1987" s="13">
        <v>0.25</v>
      </c>
    </row>
    <row r="1988" spans="2:13" x14ac:dyDescent="0.25">
      <c r="B1988" s="14" t="s">
        <v>200</v>
      </c>
      <c r="C1988" s="14" t="s">
        <v>15</v>
      </c>
      <c r="D1988" t="s">
        <v>136</v>
      </c>
      <c r="E1988" s="16" t="s">
        <v>133</v>
      </c>
      <c r="F1988">
        <v>2028</v>
      </c>
      <c r="G1988" s="12">
        <v>0</v>
      </c>
      <c r="H1988" s="13">
        <v>0</v>
      </c>
      <c r="I1988" s="13"/>
      <c r="J1988" s="13"/>
      <c r="K1988" s="13"/>
      <c r="L1988" s="13">
        <v>0.05</v>
      </c>
      <c r="M1988" s="13">
        <v>0.25</v>
      </c>
    </row>
    <row r="1989" spans="2:13" x14ac:dyDescent="0.25">
      <c r="B1989" s="14" t="s">
        <v>200</v>
      </c>
      <c r="C1989" s="14" t="s">
        <v>15</v>
      </c>
      <c r="D1989" t="s">
        <v>46</v>
      </c>
      <c r="E1989" s="16" t="s">
        <v>133</v>
      </c>
      <c r="F1989">
        <v>2028</v>
      </c>
      <c r="G1989" s="12">
        <v>308454</v>
      </c>
      <c r="H1989" s="13">
        <v>0</v>
      </c>
      <c r="I1989" s="13"/>
      <c r="J1989" s="13"/>
      <c r="K1989" s="13"/>
      <c r="L1989" s="13">
        <v>0.05</v>
      </c>
      <c r="M1989" s="13">
        <v>0.25</v>
      </c>
    </row>
    <row r="1990" spans="2:13" x14ac:dyDescent="0.25">
      <c r="B1990" s="14" t="s">
        <v>200</v>
      </c>
      <c r="C1990" s="14" t="s">
        <v>121</v>
      </c>
      <c r="D1990" t="s">
        <v>138</v>
      </c>
      <c r="E1990" s="16" t="s">
        <v>133</v>
      </c>
      <c r="F1990">
        <v>2026</v>
      </c>
      <c r="G1990" s="12">
        <v>775111</v>
      </c>
      <c r="H1990" s="13">
        <v>0.54</v>
      </c>
      <c r="I1990" s="13">
        <v>0.47</v>
      </c>
      <c r="J1990" s="13"/>
      <c r="K1990" s="13"/>
      <c r="L1990" s="13"/>
      <c r="M1990" s="13"/>
    </row>
    <row r="1991" spans="2:13" x14ac:dyDescent="0.25">
      <c r="B1991" s="14" t="s">
        <v>200</v>
      </c>
      <c r="C1991" s="14" t="s">
        <v>52</v>
      </c>
      <c r="D1991" t="s">
        <v>137</v>
      </c>
      <c r="E1991" s="16" t="s">
        <v>133</v>
      </c>
      <c r="F1991">
        <v>2027</v>
      </c>
      <c r="G1991" s="12">
        <v>5341521.3333333302</v>
      </c>
      <c r="H1991" s="13">
        <v>0.85</v>
      </c>
      <c r="I1991" s="13"/>
      <c r="J1991" s="13"/>
      <c r="K1991" s="13"/>
      <c r="L1991" s="13"/>
      <c r="M1991" s="13"/>
    </row>
    <row r="1992" spans="2:13" x14ac:dyDescent="0.25">
      <c r="B1992" s="14" t="s">
        <v>200</v>
      </c>
      <c r="C1992" s="14" t="s">
        <v>52</v>
      </c>
      <c r="D1992" t="s">
        <v>141</v>
      </c>
      <c r="E1992" s="16" t="s">
        <v>133</v>
      </c>
      <c r="F1992">
        <v>2029</v>
      </c>
      <c r="G1992" s="12">
        <v>3438401.0625</v>
      </c>
      <c r="H1992" s="13">
        <v>0.85</v>
      </c>
      <c r="I1992" s="13"/>
      <c r="J1992" s="13"/>
      <c r="K1992" s="13"/>
      <c r="L1992" s="13"/>
      <c r="M1992" s="13"/>
    </row>
    <row r="1993" spans="2:13" x14ac:dyDescent="0.25">
      <c r="B1993" s="14" t="s">
        <v>200</v>
      </c>
      <c r="C1993" s="14" t="s">
        <v>52</v>
      </c>
      <c r="D1993" t="s">
        <v>138</v>
      </c>
      <c r="E1993" s="16" t="s">
        <v>133</v>
      </c>
      <c r="F1993">
        <v>2027</v>
      </c>
      <c r="G1993" s="12">
        <v>745329</v>
      </c>
      <c r="H1993" s="13">
        <v>0.9</v>
      </c>
      <c r="I1993" s="13">
        <v>0.87975000000000003</v>
      </c>
      <c r="J1993" s="13"/>
      <c r="K1993" s="13"/>
      <c r="L1993" s="13"/>
      <c r="M1993" s="13"/>
    </row>
    <row r="1994" spans="2:13" x14ac:dyDescent="0.25">
      <c r="B1994" s="14" t="s">
        <v>200</v>
      </c>
      <c r="C1994" s="14" t="s">
        <v>52</v>
      </c>
      <c r="D1994" t="s">
        <v>138</v>
      </c>
      <c r="E1994" s="16" t="s">
        <v>133</v>
      </c>
      <c r="F1994">
        <v>2028</v>
      </c>
      <c r="G1994" s="12">
        <v>756489</v>
      </c>
      <c r="H1994" s="13">
        <v>0.9</v>
      </c>
      <c r="I1994" s="13">
        <v>0.87975000000000003</v>
      </c>
      <c r="J1994" s="13"/>
      <c r="K1994" s="13"/>
      <c r="L1994" s="13"/>
      <c r="M1994" s="13"/>
    </row>
    <row r="1995" spans="2:13" x14ac:dyDescent="0.25">
      <c r="B1995" s="14" t="s">
        <v>200</v>
      </c>
      <c r="C1995" s="14" t="s">
        <v>52</v>
      </c>
      <c r="D1995" t="s">
        <v>138</v>
      </c>
      <c r="E1995" s="16" t="s">
        <v>133</v>
      </c>
      <c r="F1995">
        <v>2029</v>
      </c>
      <c r="G1995" s="12">
        <v>765370</v>
      </c>
      <c r="H1995" s="13">
        <v>0.9</v>
      </c>
      <c r="I1995" s="13">
        <v>0.87975000000000003</v>
      </c>
      <c r="J1995" s="13"/>
      <c r="K1995" s="13"/>
      <c r="L1995" s="13"/>
      <c r="M1995" s="13"/>
    </row>
    <row r="1996" spans="2:13" x14ac:dyDescent="0.25">
      <c r="B1996" s="14" t="s">
        <v>200</v>
      </c>
      <c r="C1996" s="14" t="s">
        <v>52</v>
      </c>
      <c r="D1996" t="s">
        <v>138</v>
      </c>
      <c r="E1996" s="16" t="s">
        <v>133</v>
      </c>
      <c r="F1996">
        <v>2030</v>
      </c>
      <c r="G1996" s="12">
        <v>773402</v>
      </c>
      <c r="H1996" s="13">
        <v>0.9</v>
      </c>
      <c r="I1996" s="13">
        <v>0.87975000000000003</v>
      </c>
      <c r="J1996" s="13"/>
      <c r="K1996" s="13"/>
      <c r="L1996" s="13"/>
      <c r="M1996" s="13"/>
    </row>
    <row r="1997" spans="2:13" x14ac:dyDescent="0.25">
      <c r="B1997" s="14" t="s">
        <v>200</v>
      </c>
      <c r="C1997" s="14" t="s">
        <v>139</v>
      </c>
      <c r="D1997" t="s">
        <v>46</v>
      </c>
      <c r="E1997" s="16" t="s">
        <v>133</v>
      </c>
      <c r="F1997">
        <v>2026</v>
      </c>
      <c r="G1997" s="12">
        <v>774355</v>
      </c>
      <c r="H1997" s="13">
        <v>0.7</v>
      </c>
      <c r="I1997" s="13">
        <v>0.65</v>
      </c>
      <c r="J1997" s="13">
        <v>0</v>
      </c>
      <c r="K1997" s="13"/>
      <c r="L1997" s="13">
        <v>0.04</v>
      </c>
      <c r="M1997" s="13">
        <v>0.25</v>
      </c>
    </row>
    <row r="1998" spans="2:13" x14ac:dyDescent="0.25">
      <c r="B1998" s="14" t="s">
        <v>200</v>
      </c>
      <c r="C1998" s="14" t="s">
        <v>139</v>
      </c>
      <c r="D1998" t="s">
        <v>46</v>
      </c>
      <c r="E1998" s="16" t="s">
        <v>133</v>
      </c>
      <c r="F1998">
        <v>2027</v>
      </c>
      <c r="G1998" s="12">
        <v>784925.34196733404</v>
      </c>
      <c r="H1998" s="13">
        <v>0.70660000000000001</v>
      </c>
      <c r="I1998" s="13">
        <v>0.65659999999999996</v>
      </c>
      <c r="J1998" s="13">
        <v>0</v>
      </c>
      <c r="K1998" s="13"/>
      <c r="L1998" s="13">
        <v>0.04</v>
      </c>
      <c r="M1998" s="13">
        <v>0.25</v>
      </c>
    </row>
    <row r="1999" spans="2:13" x14ac:dyDescent="0.25">
      <c r="B1999" s="14" t="s">
        <v>200</v>
      </c>
      <c r="C1999" s="14" t="s">
        <v>139</v>
      </c>
      <c r="D1999" t="s">
        <v>46</v>
      </c>
      <c r="E1999" s="16" t="s">
        <v>133</v>
      </c>
      <c r="F1999">
        <v>2028</v>
      </c>
      <c r="G1999" s="12">
        <v>796678.39316493098</v>
      </c>
      <c r="H1999" s="13">
        <v>0.71319999999999995</v>
      </c>
      <c r="I1999" s="13">
        <v>0.66320000000000001</v>
      </c>
      <c r="J1999" s="13">
        <v>0</v>
      </c>
      <c r="K1999" s="13"/>
      <c r="L1999" s="13">
        <v>0.04</v>
      </c>
      <c r="M1999" s="13">
        <v>0.25</v>
      </c>
    </row>
    <row r="2000" spans="2:13" x14ac:dyDescent="0.25">
      <c r="B2000" s="14" t="s">
        <v>200</v>
      </c>
      <c r="C2000" s="14" t="s">
        <v>139</v>
      </c>
      <c r="D2000" t="s">
        <v>46</v>
      </c>
      <c r="E2000" s="16" t="s">
        <v>133</v>
      </c>
      <c r="F2000">
        <v>2029</v>
      </c>
      <c r="G2000" s="12">
        <v>806030.95379962295</v>
      </c>
      <c r="H2000" s="13">
        <v>0.7198</v>
      </c>
      <c r="I2000" s="13">
        <v>0.66979999999999995</v>
      </c>
      <c r="J2000" s="13">
        <v>0</v>
      </c>
      <c r="K2000" s="13"/>
      <c r="L2000" s="13">
        <v>0.04</v>
      </c>
      <c r="M2000" s="13">
        <v>0.25</v>
      </c>
    </row>
    <row r="2001" spans="2:13" x14ac:dyDescent="0.25">
      <c r="B2001" s="15" t="s">
        <v>200</v>
      </c>
      <c r="C2001" s="14" t="s">
        <v>139</v>
      </c>
      <c r="D2001" t="s">
        <v>46</v>
      </c>
      <c r="E2001" s="16" t="s">
        <v>133</v>
      </c>
      <c r="F2001">
        <v>2030</v>
      </c>
      <c r="G2001" s="12">
        <v>814490.15004868899</v>
      </c>
      <c r="H2001" s="13">
        <v>0.72640000000000005</v>
      </c>
      <c r="I2001" s="13">
        <v>0.6764</v>
      </c>
      <c r="J2001" s="13">
        <v>0</v>
      </c>
      <c r="K2001" s="13"/>
      <c r="L2001" s="13">
        <v>0.04</v>
      </c>
      <c r="M2001" s="13">
        <v>0.25</v>
      </c>
    </row>
    <row r="2002" spans="2:13" x14ac:dyDescent="0.25">
      <c r="B2002" s="14" t="s">
        <v>201</v>
      </c>
      <c r="C2002" s="14" t="s">
        <v>132</v>
      </c>
      <c r="D2002" t="s">
        <v>46</v>
      </c>
      <c r="E2002" s="16" t="s">
        <v>144</v>
      </c>
      <c r="F2002">
        <v>2027</v>
      </c>
      <c r="G2002" s="12">
        <v>32977.065000000002</v>
      </c>
      <c r="H2002" s="13">
        <v>0.85660000000000003</v>
      </c>
      <c r="I2002" s="13">
        <v>0.85660000000000003</v>
      </c>
      <c r="J2002" s="13">
        <v>0.85660000000000003</v>
      </c>
      <c r="K2002" s="13">
        <v>0</v>
      </c>
      <c r="L2002" s="13">
        <v>0.2</v>
      </c>
      <c r="M2002" s="13">
        <v>0.25</v>
      </c>
    </row>
    <row r="2003" spans="2:13" x14ac:dyDescent="0.25">
      <c r="B2003" s="14" t="s">
        <v>201</v>
      </c>
      <c r="C2003" s="14" t="s">
        <v>132</v>
      </c>
      <c r="D2003" t="s">
        <v>46</v>
      </c>
      <c r="E2003" s="16" t="s">
        <v>144</v>
      </c>
      <c r="F2003">
        <v>2028</v>
      </c>
      <c r="G2003" s="12">
        <v>33141.950324999998</v>
      </c>
      <c r="H2003" s="13">
        <v>0.86319999999999997</v>
      </c>
      <c r="I2003" s="13">
        <v>0.86319999999999997</v>
      </c>
      <c r="J2003" s="13">
        <v>0.86319999999999997</v>
      </c>
      <c r="K2003" s="13">
        <v>0</v>
      </c>
      <c r="L2003" s="13">
        <v>0.2</v>
      </c>
      <c r="M2003" s="13">
        <v>0.25</v>
      </c>
    </row>
    <row r="2004" spans="2:13" x14ac:dyDescent="0.25">
      <c r="B2004" s="14" t="s">
        <v>201</v>
      </c>
      <c r="C2004" s="14" t="s">
        <v>132</v>
      </c>
      <c r="D2004" t="s">
        <v>46</v>
      </c>
      <c r="E2004" s="16" t="s">
        <v>133</v>
      </c>
      <c r="F2004">
        <v>2026</v>
      </c>
      <c r="G2004" s="12">
        <v>587902</v>
      </c>
      <c r="H2004" s="13">
        <v>0.84</v>
      </c>
      <c r="I2004" s="13">
        <v>0.82769999999999999</v>
      </c>
      <c r="J2004" s="13">
        <v>0.81</v>
      </c>
      <c r="K2004" s="13">
        <v>0</v>
      </c>
      <c r="L2004" s="13">
        <v>0.2</v>
      </c>
      <c r="M2004" s="13">
        <v>0.25</v>
      </c>
    </row>
    <row r="2005" spans="2:13" x14ac:dyDescent="0.25">
      <c r="B2005" s="14" t="s">
        <v>201</v>
      </c>
      <c r="C2005" s="14" t="s">
        <v>132</v>
      </c>
      <c r="D2005" t="s">
        <v>46</v>
      </c>
      <c r="E2005" s="16" t="s">
        <v>133</v>
      </c>
      <c r="F2005">
        <v>2027</v>
      </c>
      <c r="G2005" s="12">
        <v>601292.60685088497</v>
      </c>
      <c r="H2005" s="13">
        <v>0.84660000000000002</v>
      </c>
      <c r="I2005" s="13">
        <v>0.83430000000000004</v>
      </c>
      <c r="J2005" s="13">
        <v>0.81659999999999999</v>
      </c>
      <c r="K2005" s="13">
        <v>0</v>
      </c>
      <c r="L2005" s="13">
        <v>0.2</v>
      </c>
      <c r="M2005" s="13">
        <v>0.25</v>
      </c>
    </row>
    <row r="2006" spans="2:13" x14ac:dyDescent="0.25">
      <c r="B2006" s="14" t="s">
        <v>201</v>
      </c>
      <c r="C2006" s="14" t="s">
        <v>132</v>
      </c>
      <c r="D2006" t="s">
        <v>46</v>
      </c>
      <c r="E2006" s="16" t="s">
        <v>133</v>
      </c>
      <c r="F2006">
        <v>2028</v>
      </c>
      <c r="G2006" s="12">
        <v>613535.25446593901</v>
      </c>
      <c r="H2006" s="13">
        <v>0.85319999999999996</v>
      </c>
      <c r="I2006" s="13">
        <v>0.84089999999999998</v>
      </c>
      <c r="J2006" s="13">
        <v>0.82320000000000004</v>
      </c>
      <c r="K2006" s="13">
        <v>0</v>
      </c>
      <c r="L2006" s="13">
        <v>0.2</v>
      </c>
      <c r="M2006" s="13">
        <v>0.25</v>
      </c>
    </row>
    <row r="2007" spans="2:13" x14ac:dyDescent="0.25">
      <c r="B2007" s="14" t="s">
        <v>201</v>
      </c>
      <c r="C2007" s="14" t="s">
        <v>132</v>
      </c>
      <c r="D2007" t="s">
        <v>46</v>
      </c>
      <c r="E2007" s="16" t="s">
        <v>133</v>
      </c>
      <c r="F2007">
        <v>2029</v>
      </c>
      <c r="G2007" s="12">
        <v>625457.14876510098</v>
      </c>
      <c r="H2007" s="13">
        <v>0.85980000000000001</v>
      </c>
      <c r="I2007" s="13">
        <v>0.84750000000000003</v>
      </c>
      <c r="J2007" s="13">
        <v>0.82979999999999998</v>
      </c>
      <c r="K2007" s="13">
        <v>0</v>
      </c>
      <c r="L2007" s="13">
        <v>0.2</v>
      </c>
      <c r="M2007" s="13">
        <v>0.25</v>
      </c>
    </row>
    <row r="2008" spans="2:13" x14ac:dyDescent="0.25">
      <c r="B2008" s="14" t="s">
        <v>201</v>
      </c>
      <c r="C2008" s="14" t="s">
        <v>132</v>
      </c>
      <c r="D2008" t="s">
        <v>46</v>
      </c>
      <c r="E2008" s="16" t="s">
        <v>133</v>
      </c>
      <c r="F2008">
        <v>2030</v>
      </c>
      <c r="G2008" s="12">
        <v>635905.26598649798</v>
      </c>
      <c r="H2008" s="13">
        <v>0.86639999999999995</v>
      </c>
      <c r="I2008" s="13">
        <v>0.85409999999999997</v>
      </c>
      <c r="J2008" s="13">
        <v>0.83640000000000003</v>
      </c>
      <c r="K2008" s="13">
        <v>0</v>
      </c>
      <c r="L2008" s="13">
        <v>0.2</v>
      </c>
      <c r="M2008" s="13">
        <v>0.25</v>
      </c>
    </row>
    <row r="2009" spans="2:13" x14ac:dyDescent="0.25">
      <c r="B2009" s="14" t="s">
        <v>201</v>
      </c>
      <c r="C2009" s="14" t="s">
        <v>70</v>
      </c>
      <c r="D2009" t="s">
        <v>46</v>
      </c>
      <c r="E2009" s="16" t="s">
        <v>144</v>
      </c>
      <c r="F2009">
        <v>2027</v>
      </c>
      <c r="G2009" s="12">
        <v>32977.065000000002</v>
      </c>
      <c r="H2009" s="13">
        <v>0.85660000000000003</v>
      </c>
      <c r="I2009" s="13">
        <v>0.85660000000000003</v>
      </c>
      <c r="J2009" s="13">
        <v>6.6E-3</v>
      </c>
      <c r="K2009" s="13">
        <v>0</v>
      </c>
      <c r="L2009" s="13">
        <v>0.2</v>
      </c>
      <c r="M2009" s="13">
        <v>0.25</v>
      </c>
    </row>
    <row r="2010" spans="2:13" x14ac:dyDescent="0.25">
      <c r="B2010" s="14" t="s">
        <v>201</v>
      </c>
      <c r="C2010" s="14" t="s">
        <v>70</v>
      </c>
      <c r="D2010" t="s">
        <v>46</v>
      </c>
      <c r="E2010" s="16" t="s">
        <v>144</v>
      </c>
      <c r="F2010">
        <v>2028</v>
      </c>
      <c r="G2010" s="12">
        <v>33141.950324999998</v>
      </c>
      <c r="H2010" s="13">
        <v>0.86319999999999997</v>
      </c>
      <c r="I2010" s="13">
        <v>0.86319999999999997</v>
      </c>
      <c r="J2010" s="13">
        <v>1.32E-2</v>
      </c>
      <c r="K2010" s="13">
        <v>0</v>
      </c>
      <c r="L2010" s="13">
        <v>0.2</v>
      </c>
      <c r="M2010" s="13">
        <v>0.25</v>
      </c>
    </row>
    <row r="2011" spans="2:13" x14ac:dyDescent="0.25">
      <c r="B2011" s="14" t="s">
        <v>201</v>
      </c>
      <c r="C2011" s="14" t="s">
        <v>70</v>
      </c>
      <c r="D2011" t="s">
        <v>46</v>
      </c>
      <c r="E2011" s="16" t="s">
        <v>133</v>
      </c>
      <c r="F2011">
        <v>2026</v>
      </c>
      <c r="G2011" s="12">
        <v>587902</v>
      </c>
      <c r="H2011" s="13">
        <v>0.75</v>
      </c>
      <c r="I2011" s="13">
        <v>0.73</v>
      </c>
      <c r="J2011" s="13">
        <v>0</v>
      </c>
      <c r="K2011" s="13">
        <v>0</v>
      </c>
      <c r="L2011" s="13">
        <v>0.2</v>
      </c>
      <c r="M2011" s="13">
        <v>0.25</v>
      </c>
    </row>
    <row r="2012" spans="2:13" x14ac:dyDescent="0.25">
      <c r="B2012" s="14" t="s">
        <v>201</v>
      </c>
      <c r="C2012" s="14" t="s">
        <v>70</v>
      </c>
      <c r="D2012" t="s">
        <v>46</v>
      </c>
      <c r="E2012" s="16" t="s">
        <v>133</v>
      </c>
      <c r="F2012">
        <v>2027</v>
      </c>
      <c r="G2012" s="12">
        <v>601292.60685088497</v>
      </c>
      <c r="H2012" s="13">
        <v>0.75660000000000005</v>
      </c>
      <c r="I2012" s="13">
        <v>0.73660000000000003</v>
      </c>
      <c r="J2012" s="13">
        <v>6.6E-3</v>
      </c>
      <c r="K2012" s="13">
        <v>0</v>
      </c>
      <c r="L2012" s="13">
        <v>0.2</v>
      </c>
      <c r="M2012" s="13">
        <v>0.25</v>
      </c>
    </row>
    <row r="2013" spans="2:13" x14ac:dyDescent="0.25">
      <c r="B2013" s="14" t="s">
        <v>201</v>
      </c>
      <c r="C2013" s="14" t="s">
        <v>70</v>
      </c>
      <c r="D2013" t="s">
        <v>46</v>
      </c>
      <c r="E2013" s="16" t="s">
        <v>133</v>
      </c>
      <c r="F2013">
        <v>2028</v>
      </c>
      <c r="G2013" s="12">
        <v>613535.25446593901</v>
      </c>
      <c r="H2013" s="13">
        <v>0.76319999999999999</v>
      </c>
      <c r="I2013" s="13">
        <v>0.74319999999999997</v>
      </c>
      <c r="J2013" s="13">
        <v>1.32E-2</v>
      </c>
      <c r="K2013" s="13">
        <v>0</v>
      </c>
      <c r="L2013" s="13">
        <v>0.2</v>
      </c>
      <c r="M2013" s="13">
        <v>0.25</v>
      </c>
    </row>
    <row r="2014" spans="2:13" x14ac:dyDescent="0.25">
      <c r="B2014" s="14" t="s">
        <v>201</v>
      </c>
      <c r="C2014" s="14" t="s">
        <v>70</v>
      </c>
      <c r="D2014" t="s">
        <v>46</v>
      </c>
      <c r="E2014" s="16" t="s">
        <v>133</v>
      </c>
      <c r="F2014">
        <v>2029</v>
      </c>
      <c r="G2014" s="12">
        <v>625457.14876510098</v>
      </c>
      <c r="H2014" s="13">
        <v>0.76980000000000004</v>
      </c>
      <c r="I2014" s="13">
        <v>0.74980000000000002</v>
      </c>
      <c r="J2014" s="13">
        <v>1.9800000000000002E-2</v>
      </c>
      <c r="K2014" s="13">
        <v>0</v>
      </c>
      <c r="L2014" s="13">
        <v>0.2</v>
      </c>
      <c r="M2014" s="13">
        <v>0.25</v>
      </c>
    </row>
    <row r="2015" spans="2:13" x14ac:dyDescent="0.25">
      <c r="B2015" s="14" t="s">
        <v>201</v>
      </c>
      <c r="C2015" s="14" t="s">
        <v>70</v>
      </c>
      <c r="D2015" t="s">
        <v>46</v>
      </c>
      <c r="E2015" s="16" t="s">
        <v>133</v>
      </c>
      <c r="F2015">
        <v>2030</v>
      </c>
      <c r="G2015" s="12">
        <v>635905.26598649798</v>
      </c>
      <c r="H2015" s="13">
        <v>0.77639999999999998</v>
      </c>
      <c r="I2015" s="13">
        <v>0.75639999999999996</v>
      </c>
      <c r="J2015" s="13">
        <v>2.64E-2</v>
      </c>
      <c r="K2015" s="13">
        <v>0</v>
      </c>
      <c r="L2015" s="13">
        <v>0.2</v>
      </c>
      <c r="M2015" s="13">
        <v>0.25</v>
      </c>
    </row>
    <row r="2016" spans="2:13" x14ac:dyDescent="0.25">
      <c r="B2016" s="14" t="s">
        <v>201</v>
      </c>
      <c r="C2016" s="14" t="s">
        <v>72</v>
      </c>
      <c r="D2016" t="s">
        <v>46</v>
      </c>
      <c r="E2016" s="16" t="s">
        <v>144</v>
      </c>
      <c r="F2016">
        <v>2027</v>
      </c>
      <c r="G2016" s="12">
        <v>33560</v>
      </c>
      <c r="H2016" s="13">
        <v>1</v>
      </c>
      <c r="I2016" s="13">
        <v>1</v>
      </c>
      <c r="J2016" s="13">
        <v>1</v>
      </c>
      <c r="K2016" s="13"/>
      <c r="L2016" s="13">
        <v>7.0000000000000007E-2</v>
      </c>
      <c r="M2016" s="13"/>
    </row>
    <row r="2017" spans="2:13" x14ac:dyDescent="0.25">
      <c r="B2017" s="14" t="s">
        <v>201</v>
      </c>
      <c r="C2017" s="14" t="s">
        <v>72</v>
      </c>
      <c r="D2017" t="s">
        <v>46</v>
      </c>
      <c r="E2017" s="16" t="s">
        <v>144</v>
      </c>
      <c r="F2017">
        <v>2028</v>
      </c>
      <c r="G2017" s="12">
        <v>34244</v>
      </c>
      <c r="H2017" s="13">
        <v>1</v>
      </c>
      <c r="I2017" s="13">
        <v>1</v>
      </c>
      <c r="J2017" s="13">
        <v>1</v>
      </c>
      <c r="K2017" s="13"/>
      <c r="L2017" s="13">
        <v>7.0000000000000007E-2</v>
      </c>
      <c r="M2017" s="13"/>
    </row>
    <row r="2018" spans="2:13" x14ac:dyDescent="0.25">
      <c r="B2018" s="14" t="s">
        <v>201</v>
      </c>
      <c r="C2018" s="14" t="s">
        <v>72</v>
      </c>
      <c r="D2018" t="s">
        <v>46</v>
      </c>
      <c r="E2018" s="16" t="s">
        <v>133</v>
      </c>
      <c r="F2018">
        <v>2026</v>
      </c>
      <c r="G2018" s="12">
        <v>587902</v>
      </c>
      <c r="H2018" s="13">
        <v>0.8</v>
      </c>
      <c r="I2018" s="13">
        <v>0.75900000000000001</v>
      </c>
      <c r="J2018" s="13">
        <v>0.7</v>
      </c>
      <c r="K2018" s="13"/>
      <c r="L2018" s="13">
        <v>0.08</v>
      </c>
      <c r="M2018" s="13">
        <v>0.25</v>
      </c>
    </row>
    <row r="2019" spans="2:13" x14ac:dyDescent="0.25">
      <c r="B2019" s="14" t="s">
        <v>201</v>
      </c>
      <c r="C2019" s="14" t="s">
        <v>72</v>
      </c>
      <c r="D2019" t="s">
        <v>46</v>
      </c>
      <c r="E2019" s="16" t="s">
        <v>133</v>
      </c>
      <c r="F2019">
        <v>2027</v>
      </c>
      <c r="G2019" s="12">
        <v>601292</v>
      </c>
      <c r="H2019" s="13">
        <v>0.8</v>
      </c>
      <c r="I2019" s="13">
        <v>0.75900000000000001</v>
      </c>
      <c r="J2019" s="13">
        <v>0.7</v>
      </c>
      <c r="K2019" s="13"/>
      <c r="L2019" s="13">
        <v>0.08</v>
      </c>
      <c r="M2019" s="13">
        <v>0.25</v>
      </c>
    </row>
    <row r="2020" spans="2:13" x14ac:dyDescent="0.25">
      <c r="B2020" s="14" t="s">
        <v>201</v>
      </c>
      <c r="C2020" s="14" t="s">
        <v>72</v>
      </c>
      <c r="D2020" t="s">
        <v>46</v>
      </c>
      <c r="E2020" s="16" t="s">
        <v>133</v>
      </c>
      <c r="F2020">
        <v>2028</v>
      </c>
      <c r="G2020" s="12">
        <v>613535.25446593901</v>
      </c>
      <c r="H2020" s="13">
        <v>0.81320000000000003</v>
      </c>
      <c r="I2020" s="13">
        <v>0.7722</v>
      </c>
      <c r="J2020" s="13">
        <v>0.71319999999999995</v>
      </c>
      <c r="K2020" s="13"/>
      <c r="L2020" s="13">
        <v>0.08</v>
      </c>
      <c r="M2020" s="13">
        <v>0.25</v>
      </c>
    </row>
    <row r="2021" spans="2:13" x14ac:dyDescent="0.25">
      <c r="B2021" s="14" t="s">
        <v>201</v>
      </c>
      <c r="C2021" s="14" t="s">
        <v>72</v>
      </c>
      <c r="D2021" t="s">
        <v>46</v>
      </c>
      <c r="E2021" s="16" t="s">
        <v>133</v>
      </c>
      <c r="F2021">
        <v>2029</v>
      </c>
      <c r="G2021" s="12">
        <v>625457.14876510098</v>
      </c>
      <c r="H2021" s="13">
        <v>0.81979999999999997</v>
      </c>
      <c r="I2021" s="13">
        <v>0.77880000000000005</v>
      </c>
      <c r="J2021" s="13">
        <v>0.7198</v>
      </c>
      <c r="K2021" s="13"/>
      <c r="L2021" s="13">
        <v>0.08</v>
      </c>
      <c r="M2021" s="13">
        <v>0.25</v>
      </c>
    </row>
    <row r="2022" spans="2:13" x14ac:dyDescent="0.25">
      <c r="B2022" s="14" t="s">
        <v>201</v>
      </c>
      <c r="C2022" s="14" t="s">
        <v>72</v>
      </c>
      <c r="D2022" t="s">
        <v>46</v>
      </c>
      <c r="E2022" s="16" t="s">
        <v>133</v>
      </c>
      <c r="F2022">
        <v>2030</v>
      </c>
      <c r="G2022" s="12">
        <v>635905.26598649798</v>
      </c>
      <c r="H2022" s="13">
        <v>0.82640000000000002</v>
      </c>
      <c r="I2022" s="13">
        <v>0.78539999999999999</v>
      </c>
      <c r="J2022" s="13">
        <v>0.72640000000000005</v>
      </c>
      <c r="K2022" s="13"/>
      <c r="L2022" s="13">
        <v>0.08</v>
      </c>
      <c r="M2022" s="13">
        <v>0.25</v>
      </c>
    </row>
    <row r="2023" spans="2:13" x14ac:dyDescent="0.25">
      <c r="B2023" s="14" t="s">
        <v>201</v>
      </c>
      <c r="C2023" s="14" t="s">
        <v>102</v>
      </c>
      <c r="D2023" t="s">
        <v>46</v>
      </c>
      <c r="E2023" s="16" t="s">
        <v>133</v>
      </c>
      <c r="F2023">
        <v>2030</v>
      </c>
      <c r="G2023" s="12">
        <v>635905.26598649798</v>
      </c>
      <c r="H2023" s="13">
        <v>3.1568208200000003E-2</v>
      </c>
      <c r="I2023" s="13"/>
      <c r="J2023" s="13"/>
      <c r="K2023" s="13"/>
      <c r="L2023" s="13">
        <v>7.0000000000000007E-2</v>
      </c>
      <c r="M2023" s="13">
        <v>0.25</v>
      </c>
    </row>
    <row r="2024" spans="2:13" x14ac:dyDescent="0.25">
      <c r="B2024" s="14" t="s">
        <v>201</v>
      </c>
      <c r="C2024" s="14" t="s">
        <v>145</v>
      </c>
      <c r="D2024" t="s">
        <v>46</v>
      </c>
      <c r="E2024" s="16" t="s">
        <v>133</v>
      </c>
      <c r="F2024">
        <v>2026</v>
      </c>
      <c r="G2024" s="12">
        <v>495809.15012727701</v>
      </c>
      <c r="H2024" s="13">
        <v>0.75584995509999997</v>
      </c>
      <c r="I2024" s="13">
        <v>0.61491504249999995</v>
      </c>
      <c r="J2024" s="13">
        <v>0.55831164060000005</v>
      </c>
      <c r="K2024" s="13">
        <v>0.47395074529999998</v>
      </c>
      <c r="L2024" s="13"/>
      <c r="M2024" s="13">
        <v>0.25</v>
      </c>
    </row>
    <row r="2025" spans="2:13" x14ac:dyDescent="0.25">
      <c r="B2025" s="14" t="s">
        <v>201</v>
      </c>
      <c r="C2025" s="14" t="s">
        <v>145</v>
      </c>
      <c r="D2025" t="s">
        <v>46</v>
      </c>
      <c r="E2025" s="16" t="s">
        <v>133</v>
      </c>
      <c r="F2025">
        <v>2027</v>
      </c>
      <c r="G2025" s="12">
        <v>478798.33052233898</v>
      </c>
      <c r="H2025" s="13">
        <v>0.76084995509999997</v>
      </c>
      <c r="I2025" s="13">
        <v>0.61991504249999996</v>
      </c>
      <c r="J2025" s="13">
        <v>0.56331164060000005</v>
      </c>
      <c r="K2025" s="13">
        <v>0.47895074529999998</v>
      </c>
      <c r="L2025" s="13"/>
      <c r="M2025" s="13">
        <v>0.25</v>
      </c>
    </row>
    <row r="2026" spans="2:13" x14ac:dyDescent="0.25">
      <c r="B2026" s="14" t="s">
        <v>201</v>
      </c>
      <c r="C2026" s="14" t="s">
        <v>145</v>
      </c>
      <c r="D2026" t="s">
        <v>46</v>
      </c>
      <c r="E2026" s="16" t="s">
        <v>133</v>
      </c>
      <c r="F2026">
        <v>2028</v>
      </c>
      <c r="G2026" s="12">
        <v>459072.376849055</v>
      </c>
      <c r="H2026" s="13">
        <v>0.76584995509999998</v>
      </c>
      <c r="I2026" s="13">
        <v>0.62491504249999996</v>
      </c>
      <c r="J2026" s="13">
        <v>0.56831164059999995</v>
      </c>
      <c r="K2026" s="13">
        <v>0.48395074529999998</v>
      </c>
      <c r="L2026" s="13"/>
      <c r="M2026" s="13">
        <v>0.25</v>
      </c>
    </row>
    <row r="2027" spans="2:13" x14ac:dyDescent="0.25">
      <c r="B2027" s="14" t="s">
        <v>201</v>
      </c>
      <c r="C2027" s="14" t="s">
        <v>145</v>
      </c>
      <c r="D2027" t="s">
        <v>46</v>
      </c>
      <c r="E2027" s="16" t="s">
        <v>133</v>
      </c>
      <c r="F2027">
        <v>2029</v>
      </c>
      <c r="G2027" s="12">
        <v>439252.41045653197</v>
      </c>
      <c r="H2027" s="13">
        <v>0.77084995509999998</v>
      </c>
      <c r="I2027" s="13">
        <v>0.62991504249999997</v>
      </c>
      <c r="J2027" s="13">
        <v>0.57331164059999995</v>
      </c>
      <c r="K2027" s="13">
        <v>0.48895074529999999</v>
      </c>
      <c r="L2027" s="13"/>
      <c r="M2027" s="13">
        <v>0.25</v>
      </c>
    </row>
    <row r="2028" spans="2:13" x14ac:dyDescent="0.25">
      <c r="B2028" s="14" t="s">
        <v>201</v>
      </c>
      <c r="C2028" s="14" t="s">
        <v>145</v>
      </c>
      <c r="D2028" t="s">
        <v>46</v>
      </c>
      <c r="E2028" s="16" t="s">
        <v>133</v>
      </c>
      <c r="F2028">
        <v>2030</v>
      </c>
      <c r="G2028" s="12">
        <v>451509.476014368</v>
      </c>
      <c r="H2028" s="13">
        <v>0.77584995509999999</v>
      </c>
      <c r="I2028" s="13">
        <v>0.63491504249999997</v>
      </c>
      <c r="J2028" s="13">
        <v>0.57831164059999995</v>
      </c>
      <c r="K2028" s="13">
        <v>0.49395074529999999</v>
      </c>
      <c r="L2028" s="13"/>
      <c r="M2028" s="13">
        <v>0.25</v>
      </c>
    </row>
    <row r="2029" spans="2:13" x14ac:dyDescent="0.25">
      <c r="B2029" s="14" t="s">
        <v>201</v>
      </c>
      <c r="C2029" s="14" t="s">
        <v>121</v>
      </c>
      <c r="D2029" t="s">
        <v>141</v>
      </c>
      <c r="E2029" s="16" t="s">
        <v>133</v>
      </c>
      <c r="F2029">
        <v>2027</v>
      </c>
      <c r="G2029" s="12">
        <v>3119377.0589443902</v>
      </c>
      <c r="H2029" s="13">
        <v>0.85</v>
      </c>
      <c r="I2029" s="13"/>
      <c r="J2029" s="13"/>
      <c r="K2029" s="13"/>
      <c r="L2029" s="13"/>
      <c r="M2029" s="13"/>
    </row>
    <row r="2030" spans="2:13" x14ac:dyDescent="0.25">
      <c r="B2030" s="14" t="s">
        <v>201</v>
      </c>
      <c r="C2030" s="14" t="s">
        <v>121</v>
      </c>
      <c r="D2030" t="s">
        <v>138</v>
      </c>
      <c r="E2030" s="16" t="s">
        <v>144</v>
      </c>
      <c r="F2030">
        <v>2027</v>
      </c>
      <c r="G2030" s="12">
        <v>33560</v>
      </c>
      <c r="H2030" s="13">
        <v>0.85</v>
      </c>
      <c r="I2030" s="13">
        <v>0.87975000000000003</v>
      </c>
      <c r="J2030" s="13"/>
      <c r="K2030" s="13"/>
      <c r="L2030" s="13"/>
      <c r="M2030" s="13"/>
    </row>
    <row r="2031" spans="2:13" x14ac:dyDescent="0.25">
      <c r="B2031" s="14" t="s">
        <v>201</v>
      </c>
      <c r="C2031" s="14" t="s">
        <v>121</v>
      </c>
      <c r="D2031" t="s">
        <v>138</v>
      </c>
      <c r="E2031" s="16" t="s">
        <v>144</v>
      </c>
      <c r="F2031">
        <v>2028</v>
      </c>
      <c r="G2031" s="12">
        <v>34244</v>
      </c>
      <c r="H2031" s="13">
        <v>0.85</v>
      </c>
      <c r="I2031" s="13">
        <v>0.87975000000000003</v>
      </c>
      <c r="J2031" s="13"/>
      <c r="K2031" s="13"/>
      <c r="L2031" s="13"/>
      <c r="M2031" s="13"/>
    </row>
    <row r="2032" spans="2:13" x14ac:dyDescent="0.25">
      <c r="B2032" s="14" t="s">
        <v>201</v>
      </c>
      <c r="C2032" s="14" t="s">
        <v>121</v>
      </c>
      <c r="D2032" t="s">
        <v>138</v>
      </c>
      <c r="E2032" s="16" t="s">
        <v>133</v>
      </c>
      <c r="F2032">
        <v>2026</v>
      </c>
      <c r="G2032" s="12">
        <v>587902</v>
      </c>
      <c r="H2032" s="13">
        <v>0.95</v>
      </c>
      <c r="I2032" s="13">
        <v>0.7</v>
      </c>
      <c r="J2032" s="13"/>
      <c r="K2032" s="13"/>
      <c r="L2032" s="13"/>
      <c r="M2032" s="13"/>
    </row>
    <row r="2033" spans="2:13" x14ac:dyDescent="0.25">
      <c r="B2033" s="14" t="s">
        <v>201</v>
      </c>
      <c r="C2033" s="14" t="s">
        <v>121</v>
      </c>
      <c r="D2033" t="s">
        <v>138</v>
      </c>
      <c r="E2033" s="16" t="s">
        <v>133</v>
      </c>
      <c r="F2033">
        <v>2027</v>
      </c>
      <c r="G2033" s="12">
        <v>601292</v>
      </c>
      <c r="H2033" s="13">
        <v>0.95</v>
      </c>
      <c r="I2033" s="13">
        <v>0.72450000000000003</v>
      </c>
      <c r="J2033" s="13"/>
      <c r="K2033" s="13"/>
      <c r="L2033" s="13"/>
      <c r="M2033" s="13"/>
    </row>
    <row r="2034" spans="2:13" x14ac:dyDescent="0.25">
      <c r="B2034" s="14" t="s">
        <v>201</v>
      </c>
      <c r="C2034" s="14" t="s">
        <v>121</v>
      </c>
      <c r="D2034" t="s">
        <v>138</v>
      </c>
      <c r="E2034" s="16" t="s">
        <v>133</v>
      </c>
      <c r="F2034">
        <v>2028</v>
      </c>
      <c r="G2034" s="12">
        <v>613535</v>
      </c>
      <c r="H2034" s="13">
        <v>0.95</v>
      </c>
      <c r="I2034" s="13">
        <v>0.72450000000000003</v>
      </c>
      <c r="J2034" s="13"/>
      <c r="K2034" s="13"/>
      <c r="L2034" s="13"/>
      <c r="M2034" s="13"/>
    </row>
    <row r="2035" spans="2:13" x14ac:dyDescent="0.25">
      <c r="B2035" s="14" t="s">
        <v>201</v>
      </c>
      <c r="C2035" s="14" t="s">
        <v>52</v>
      </c>
      <c r="D2035" t="s">
        <v>137</v>
      </c>
      <c r="E2035" s="16" t="s">
        <v>133</v>
      </c>
      <c r="F2035">
        <v>2029</v>
      </c>
      <c r="G2035" s="12">
        <v>3320572.9772727299</v>
      </c>
      <c r="H2035" s="13">
        <v>0.85</v>
      </c>
      <c r="I2035" s="13"/>
      <c r="J2035" s="13"/>
      <c r="K2035" s="13"/>
      <c r="L2035" s="13"/>
      <c r="M2035" s="13"/>
    </row>
    <row r="2036" spans="2:13" x14ac:dyDescent="0.25">
      <c r="B2036" s="14" t="s">
        <v>201</v>
      </c>
      <c r="C2036" s="14" t="s">
        <v>52</v>
      </c>
      <c r="D2036" t="s">
        <v>138</v>
      </c>
      <c r="E2036" s="16" t="s">
        <v>133</v>
      </c>
      <c r="F2036">
        <v>2029</v>
      </c>
      <c r="G2036" s="12">
        <v>625457</v>
      </c>
      <c r="H2036" s="13">
        <v>0.95</v>
      </c>
      <c r="I2036" s="13">
        <v>0.72450000000000003</v>
      </c>
      <c r="J2036" s="13"/>
      <c r="K2036" s="13"/>
      <c r="L2036" s="13"/>
      <c r="M2036" s="13"/>
    </row>
    <row r="2037" spans="2:13" x14ac:dyDescent="0.25">
      <c r="B2037" s="14" t="s">
        <v>201</v>
      </c>
      <c r="C2037" s="14" t="s">
        <v>52</v>
      </c>
      <c r="D2037" t="s">
        <v>138</v>
      </c>
      <c r="E2037" s="16" t="s">
        <v>133</v>
      </c>
      <c r="F2037">
        <v>2030</v>
      </c>
      <c r="G2037" s="12">
        <v>635905</v>
      </c>
      <c r="H2037" s="13">
        <v>0.95</v>
      </c>
      <c r="I2037" s="13">
        <v>0.72450000000000003</v>
      </c>
      <c r="J2037" s="13"/>
      <c r="K2037" s="13"/>
      <c r="L2037" s="13"/>
      <c r="M2037" s="13"/>
    </row>
    <row r="2038" spans="2:13" x14ac:dyDescent="0.25">
      <c r="B2038" s="14" t="s">
        <v>201</v>
      </c>
      <c r="C2038" s="14" t="s">
        <v>139</v>
      </c>
      <c r="D2038" t="s">
        <v>46</v>
      </c>
      <c r="E2038" s="16" t="s">
        <v>144</v>
      </c>
      <c r="F2038">
        <v>2027</v>
      </c>
      <c r="G2038" s="12">
        <v>33560</v>
      </c>
      <c r="H2038" s="13">
        <v>1</v>
      </c>
      <c r="I2038" s="13">
        <v>1</v>
      </c>
      <c r="J2038" s="13">
        <v>1</v>
      </c>
      <c r="K2038" s="13"/>
      <c r="L2038" s="13">
        <v>7.0000000000000007E-2</v>
      </c>
      <c r="M2038" s="13"/>
    </row>
    <row r="2039" spans="2:13" x14ac:dyDescent="0.25">
      <c r="B2039" s="14" t="s">
        <v>201</v>
      </c>
      <c r="C2039" s="14" t="s">
        <v>139</v>
      </c>
      <c r="D2039" t="s">
        <v>46</v>
      </c>
      <c r="E2039" s="16" t="s">
        <v>144</v>
      </c>
      <c r="F2039">
        <v>2028</v>
      </c>
      <c r="G2039" s="12">
        <v>34244</v>
      </c>
      <c r="H2039" s="13">
        <v>1</v>
      </c>
      <c r="I2039" s="13">
        <v>1</v>
      </c>
      <c r="J2039" s="13">
        <v>1</v>
      </c>
      <c r="K2039" s="13"/>
      <c r="L2039" s="13">
        <v>7.0000000000000007E-2</v>
      </c>
      <c r="M2039" s="13"/>
    </row>
    <row r="2040" spans="2:13" x14ac:dyDescent="0.25">
      <c r="B2040" s="14" t="s">
        <v>201</v>
      </c>
      <c r="C2040" s="14" t="s">
        <v>139</v>
      </c>
      <c r="D2040" t="s">
        <v>46</v>
      </c>
      <c r="E2040" s="16" t="s">
        <v>133</v>
      </c>
      <c r="F2040">
        <v>2026</v>
      </c>
      <c r="G2040" s="12">
        <v>587902</v>
      </c>
      <c r="H2040" s="13">
        <v>0.8</v>
      </c>
      <c r="I2040" s="13">
        <v>0.75900000000000001</v>
      </c>
      <c r="J2040" s="13">
        <v>0.75900000000000001</v>
      </c>
      <c r="K2040" s="13"/>
      <c r="L2040" s="13">
        <v>7.0000000000000007E-2</v>
      </c>
      <c r="M2040" s="13">
        <v>0.25</v>
      </c>
    </row>
    <row r="2041" spans="2:13" x14ac:dyDescent="0.25">
      <c r="B2041" s="14" t="s">
        <v>201</v>
      </c>
      <c r="C2041" s="14" t="s">
        <v>139</v>
      </c>
      <c r="D2041" t="s">
        <v>46</v>
      </c>
      <c r="E2041" s="16" t="s">
        <v>133</v>
      </c>
      <c r="F2041">
        <v>2027</v>
      </c>
      <c r="G2041" s="12">
        <v>601292</v>
      </c>
      <c r="H2041" s="13">
        <v>0.8</v>
      </c>
      <c r="I2041" s="13">
        <v>0.75900000000000001</v>
      </c>
      <c r="J2041" s="13">
        <v>0.75900000000000001</v>
      </c>
      <c r="K2041" s="13"/>
      <c r="L2041" s="13">
        <v>7.0000000000000007E-2</v>
      </c>
      <c r="M2041" s="13">
        <v>0.25</v>
      </c>
    </row>
    <row r="2042" spans="2:13" x14ac:dyDescent="0.25">
      <c r="B2042" s="14" t="s">
        <v>201</v>
      </c>
      <c r="C2042" s="14" t="s">
        <v>139</v>
      </c>
      <c r="D2042" t="s">
        <v>46</v>
      </c>
      <c r="E2042" s="16" t="s">
        <v>133</v>
      </c>
      <c r="F2042">
        <v>2028</v>
      </c>
      <c r="G2042" s="12">
        <v>613535</v>
      </c>
      <c r="H2042" s="13">
        <v>0.8</v>
      </c>
      <c r="I2042" s="13">
        <v>0.75900000000000001</v>
      </c>
      <c r="J2042" s="13">
        <v>0.75900000000000001</v>
      </c>
      <c r="K2042" s="13"/>
      <c r="L2042" s="13">
        <v>7.0000000000000007E-2</v>
      </c>
      <c r="M2042" s="13">
        <v>0.25</v>
      </c>
    </row>
    <row r="2043" spans="2:13" x14ac:dyDescent="0.25">
      <c r="B2043" s="14" t="s">
        <v>201</v>
      </c>
      <c r="C2043" s="14" t="s">
        <v>139</v>
      </c>
      <c r="D2043" t="s">
        <v>46</v>
      </c>
      <c r="E2043" s="16" t="s">
        <v>133</v>
      </c>
      <c r="F2043">
        <v>2029</v>
      </c>
      <c r="G2043" s="12">
        <v>625457.14876510098</v>
      </c>
      <c r="H2043" s="13">
        <v>0.81979999999999997</v>
      </c>
      <c r="I2043" s="13">
        <v>0.77880000000000005</v>
      </c>
      <c r="J2043" s="13">
        <v>0.7198</v>
      </c>
      <c r="K2043" s="13"/>
      <c r="L2043" s="13">
        <v>7.0000000000000007E-2</v>
      </c>
      <c r="M2043" s="13">
        <v>0.25</v>
      </c>
    </row>
    <row r="2044" spans="2:13" x14ac:dyDescent="0.25">
      <c r="B2044" s="14" t="s">
        <v>201</v>
      </c>
      <c r="C2044" s="14" t="s">
        <v>139</v>
      </c>
      <c r="D2044" t="s">
        <v>46</v>
      </c>
      <c r="E2044" s="16" t="s">
        <v>133</v>
      </c>
      <c r="F2044">
        <v>2030</v>
      </c>
      <c r="G2044" s="12">
        <v>635905.26598649798</v>
      </c>
      <c r="H2044" s="13">
        <v>0.82640000000000002</v>
      </c>
      <c r="I2044" s="13">
        <v>0.78539999999999999</v>
      </c>
      <c r="J2044" s="13">
        <v>0.72640000000000005</v>
      </c>
      <c r="K2044" s="13"/>
      <c r="L2044" s="13">
        <v>7.0000000000000007E-2</v>
      </c>
      <c r="M2044" s="13">
        <v>0.25</v>
      </c>
    </row>
    <row r="2045" spans="2:13" x14ac:dyDescent="0.25">
      <c r="B2045" s="14" t="s">
        <v>201</v>
      </c>
      <c r="C2045" s="14" t="s">
        <v>74</v>
      </c>
      <c r="D2045" t="s">
        <v>14</v>
      </c>
      <c r="E2045" s="16" t="s">
        <v>133</v>
      </c>
      <c r="F2045">
        <v>2028</v>
      </c>
      <c r="G2045" s="12">
        <v>6133711.5</v>
      </c>
      <c r="H2045" s="13">
        <v>0.9</v>
      </c>
      <c r="I2045" s="13"/>
      <c r="J2045" s="13"/>
      <c r="K2045" s="13"/>
      <c r="L2045" s="13">
        <v>0.1</v>
      </c>
      <c r="M2045" s="13">
        <v>0</v>
      </c>
    </row>
    <row r="2046" spans="2:13" x14ac:dyDescent="0.25">
      <c r="B2046" s="14" t="s">
        <v>201</v>
      </c>
      <c r="C2046" s="14" t="s">
        <v>74</v>
      </c>
      <c r="D2046" t="s">
        <v>14</v>
      </c>
      <c r="E2046" s="16" t="s">
        <v>133</v>
      </c>
      <c r="F2046">
        <v>2029</v>
      </c>
      <c r="G2046" s="12">
        <v>6133711.5</v>
      </c>
      <c r="H2046" s="13">
        <v>0.9</v>
      </c>
      <c r="I2046" s="13"/>
      <c r="J2046" s="13"/>
      <c r="K2046" s="13"/>
      <c r="L2046" s="13">
        <v>0.1</v>
      </c>
      <c r="M2046" s="13">
        <v>0</v>
      </c>
    </row>
    <row r="2047" spans="2:13" x14ac:dyDescent="0.25">
      <c r="B2047" s="14" t="s">
        <v>201</v>
      </c>
      <c r="C2047" s="14" t="s">
        <v>74</v>
      </c>
      <c r="D2047" t="s">
        <v>46</v>
      </c>
      <c r="E2047" s="16" t="s">
        <v>133</v>
      </c>
      <c r="F2047">
        <v>2027</v>
      </c>
      <c r="G2047" s="12">
        <v>356179</v>
      </c>
      <c r="H2047" s="13">
        <v>0.88506759800000001</v>
      </c>
      <c r="I2047" s="13"/>
      <c r="J2047" s="13"/>
      <c r="K2047" s="13"/>
      <c r="L2047" s="13">
        <v>0.2</v>
      </c>
      <c r="M2047" s="13">
        <v>0.25</v>
      </c>
    </row>
    <row r="2048" spans="2:13" x14ac:dyDescent="0.25">
      <c r="B2048" s="14" t="s">
        <v>201</v>
      </c>
      <c r="C2048" s="14" t="s">
        <v>74</v>
      </c>
      <c r="D2048" t="s">
        <v>46</v>
      </c>
      <c r="E2048" s="16" t="s">
        <v>133</v>
      </c>
      <c r="F2048">
        <v>2028</v>
      </c>
      <c r="G2048" s="12">
        <v>363431</v>
      </c>
      <c r="H2048" s="13">
        <v>0.89166759799999995</v>
      </c>
      <c r="I2048" s="13"/>
      <c r="J2048" s="13"/>
      <c r="K2048" s="13"/>
      <c r="L2048" s="13">
        <v>0.2</v>
      </c>
      <c r="M2048" s="13">
        <v>0.25</v>
      </c>
    </row>
    <row r="2049" spans="2:13" x14ac:dyDescent="0.25">
      <c r="B2049" s="14" t="s">
        <v>201</v>
      </c>
      <c r="C2049" s="14" t="s">
        <v>74</v>
      </c>
      <c r="D2049" t="s">
        <v>46</v>
      </c>
      <c r="E2049" s="16" t="s">
        <v>133</v>
      </c>
      <c r="F2049">
        <v>2029</v>
      </c>
      <c r="G2049" s="12">
        <v>370493</v>
      </c>
      <c r="H2049" s="13">
        <v>0.898267598</v>
      </c>
      <c r="I2049" s="13"/>
      <c r="J2049" s="13"/>
      <c r="K2049" s="13"/>
      <c r="L2049" s="13">
        <v>0.2</v>
      </c>
      <c r="M2049" s="13">
        <v>0.25</v>
      </c>
    </row>
    <row r="2050" spans="2:13" x14ac:dyDescent="0.25">
      <c r="B2050" s="15" t="s">
        <v>201</v>
      </c>
      <c r="C2050" s="14" t="s">
        <v>74</v>
      </c>
      <c r="D2050" t="s">
        <v>46</v>
      </c>
      <c r="E2050" s="16" t="s">
        <v>133</v>
      </c>
      <c r="F2050">
        <v>2030</v>
      </c>
      <c r="G2050" s="12">
        <v>376682</v>
      </c>
      <c r="H2050" s="13">
        <v>0.90486759800000005</v>
      </c>
      <c r="I2050" s="13"/>
      <c r="J2050" s="13"/>
      <c r="K2050" s="13"/>
      <c r="L2050" s="13">
        <v>0.2</v>
      </c>
      <c r="M2050" s="13">
        <v>0.25</v>
      </c>
    </row>
    <row r="2051" spans="2:13" x14ac:dyDescent="0.25">
      <c r="B2051" s="14" t="s">
        <v>202</v>
      </c>
      <c r="C2051" s="14" t="s">
        <v>132</v>
      </c>
      <c r="D2051" t="s">
        <v>46</v>
      </c>
      <c r="E2051" s="16" t="s">
        <v>133</v>
      </c>
      <c r="F2051">
        <v>2026</v>
      </c>
      <c r="G2051" s="12">
        <v>4035</v>
      </c>
      <c r="H2051" s="13">
        <v>0.96</v>
      </c>
      <c r="I2051" s="13">
        <v>0.96</v>
      </c>
      <c r="J2051" s="13">
        <v>0.96</v>
      </c>
      <c r="K2051" s="13">
        <v>0</v>
      </c>
      <c r="L2051" s="13">
        <v>0.03</v>
      </c>
      <c r="M2051" s="13">
        <v>0.25</v>
      </c>
    </row>
    <row r="2052" spans="2:13" x14ac:dyDescent="0.25">
      <c r="B2052" s="14" t="s">
        <v>202</v>
      </c>
      <c r="C2052" s="14" t="s">
        <v>132</v>
      </c>
      <c r="D2052" t="s">
        <v>46</v>
      </c>
      <c r="E2052" s="16" t="s">
        <v>133</v>
      </c>
      <c r="F2052">
        <v>2027</v>
      </c>
      <c r="G2052" s="12">
        <v>4107</v>
      </c>
      <c r="H2052" s="13">
        <v>0.16333333329999999</v>
      </c>
      <c r="I2052" s="13">
        <v>0.16</v>
      </c>
      <c r="J2052" s="13">
        <v>0.15833333329999999</v>
      </c>
      <c r="K2052" s="13">
        <v>0</v>
      </c>
      <c r="L2052" s="13">
        <v>0.02</v>
      </c>
      <c r="M2052" s="13">
        <v>0.25</v>
      </c>
    </row>
    <row r="2053" spans="2:13" x14ac:dyDescent="0.25">
      <c r="B2053" s="14" t="s">
        <v>202</v>
      </c>
      <c r="C2053" s="14" t="s">
        <v>132</v>
      </c>
      <c r="D2053" t="s">
        <v>46</v>
      </c>
      <c r="E2053" s="16" t="s">
        <v>133</v>
      </c>
      <c r="F2053">
        <v>2028</v>
      </c>
      <c r="G2053" s="12">
        <v>7331.7275163787999</v>
      </c>
      <c r="H2053" s="13">
        <v>0</v>
      </c>
      <c r="I2053" s="13">
        <v>0</v>
      </c>
      <c r="J2053" s="13">
        <v>0</v>
      </c>
      <c r="K2053" s="13">
        <v>0</v>
      </c>
      <c r="L2053" s="13">
        <v>0.04</v>
      </c>
      <c r="M2053" s="13">
        <v>0.25</v>
      </c>
    </row>
    <row r="2054" spans="2:13" x14ac:dyDescent="0.25">
      <c r="B2054" s="14" t="s">
        <v>202</v>
      </c>
      <c r="C2054" s="14" t="s">
        <v>70</v>
      </c>
      <c r="D2054" t="s">
        <v>46</v>
      </c>
      <c r="E2054" s="16" t="s">
        <v>133</v>
      </c>
      <c r="F2054">
        <v>2026</v>
      </c>
      <c r="G2054" s="12">
        <v>4035</v>
      </c>
      <c r="H2054" s="13">
        <v>0.95</v>
      </c>
      <c r="I2054" s="13">
        <v>0.95</v>
      </c>
      <c r="J2054" s="13">
        <v>0</v>
      </c>
      <c r="K2054" s="13">
        <v>0</v>
      </c>
      <c r="L2054" s="13">
        <v>0.04</v>
      </c>
      <c r="M2054" s="13">
        <v>0.25</v>
      </c>
    </row>
    <row r="2055" spans="2:13" x14ac:dyDescent="0.25">
      <c r="B2055" s="14" t="s">
        <v>202</v>
      </c>
      <c r="C2055" s="14" t="s">
        <v>70</v>
      </c>
      <c r="D2055" t="s">
        <v>46</v>
      </c>
      <c r="E2055" s="16" t="s">
        <v>133</v>
      </c>
      <c r="F2055">
        <v>2027</v>
      </c>
      <c r="G2055" s="12">
        <v>4107</v>
      </c>
      <c r="H2055" s="13">
        <v>0.16333333329999999</v>
      </c>
      <c r="I2055" s="13">
        <v>0.15833333329999999</v>
      </c>
      <c r="J2055" s="13">
        <v>0</v>
      </c>
      <c r="K2055" s="13">
        <v>0</v>
      </c>
      <c r="L2055" s="13">
        <v>0.04</v>
      </c>
      <c r="M2055" s="13">
        <v>0.25</v>
      </c>
    </row>
    <row r="2056" spans="2:13" x14ac:dyDescent="0.25">
      <c r="B2056" s="14" t="s">
        <v>202</v>
      </c>
      <c r="C2056" s="14" t="s">
        <v>70</v>
      </c>
      <c r="D2056" t="s">
        <v>46</v>
      </c>
      <c r="E2056" s="16" t="s">
        <v>133</v>
      </c>
      <c r="F2056">
        <v>2028</v>
      </c>
      <c r="G2056" s="12">
        <v>7331.7275163787999</v>
      </c>
      <c r="H2056" s="13">
        <v>0</v>
      </c>
      <c r="I2056" s="13">
        <v>0</v>
      </c>
      <c r="J2056" s="13">
        <v>0</v>
      </c>
      <c r="K2056" s="13">
        <v>0</v>
      </c>
      <c r="L2056" s="13">
        <v>0.04</v>
      </c>
      <c r="M2056" s="13">
        <v>0.25</v>
      </c>
    </row>
    <row r="2057" spans="2:13" x14ac:dyDescent="0.25">
      <c r="B2057" s="14" t="s">
        <v>202</v>
      </c>
      <c r="C2057" s="14" t="s">
        <v>134</v>
      </c>
      <c r="D2057" t="s">
        <v>46</v>
      </c>
      <c r="E2057" s="16" t="s">
        <v>133</v>
      </c>
      <c r="F2057">
        <v>2026</v>
      </c>
      <c r="G2057" s="12">
        <v>7158</v>
      </c>
      <c r="H2057" s="13">
        <v>0</v>
      </c>
      <c r="I2057" s="13">
        <v>0</v>
      </c>
      <c r="J2057" s="13">
        <v>0</v>
      </c>
      <c r="K2057" s="13">
        <v>0</v>
      </c>
      <c r="L2057" s="13">
        <v>7.0000000000000007E-2</v>
      </c>
      <c r="M2057" s="13">
        <v>0.25</v>
      </c>
    </row>
    <row r="2058" spans="2:13" x14ac:dyDescent="0.25">
      <c r="B2058" s="14" t="s">
        <v>202</v>
      </c>
      <c r="C2058" s="14" t="s">
        <v>134</v>
      </c>
      <c r="D2058" t="s">
        <v>46</v>
      </c>
      <c r="E2058" s="16" t="s">
        <v>133</v>
      </c>
      <c r="F2058">
        <v>2027</v>
      </c>
      <c r="G2058" s="12">
        <v>4107</v>
      </c>
      <c r="H2058" s="13">
        <v>0.80549999999999999</v>
      </c>
      <c r="I2058" s="13">
        <v>0.80549999999999999</v>
      </c>
      <c r="J2058" s="13">
        <v>0.80549999999999999</v>
      </c>
      <c r="K2058" s="13">
        <v>0</v>
      </c>
      <c r="L2058" s="13">
        <v>7.0000000000000007E-2</v>
      </c>
      <c r="M2058" s="13">
        <v>0.25</v>
      </c>
    </row>
    <row r="2059" spans="2:13" x14ac:dyDescent="0.25">
      <c r="B2059" s="14" t="s">
        <v>202</v>
      </c>
      <c r="C2059" s="14" t="s">
        <v>134</v>
      </c>
      <c r="D2059" t="s">
        <v>46</v>
      </c>
      <c r="E2059" s="16" t="s">
        <v>133</v>
      </c>
      <c r="F2059">
        <v>2028</v>
      </c>
      <c r="G2059" s="12">
        <v>4189.1400000000003</v>
      </c>
      <c r="H2059" s="13">
        <v>0.97319999999999995</v>
      </c>
      <c r="I2059" s="13">
        <v>0.97319999999999995</v>
      </c>
      <c r="J2059" s="13">
        <v>0.97</v>
      </c>
      <c r="K2059" s="13">
        <v>0</v>
      </c>
      <c r="L2059" s="13">
        <v>7.0000000000000007E-2</v>
      </c>
      <c r="M2059" s="13">
        <v>0.25</v>
      </c>
    </row>
    <row r="2060" spans="2:13" x14ac:dyDescent="0.25">
      <c r="B2060" s="14" t="s">
        <v>202</v>
      </c>
      <c r="C2060" s="14" t="s">
        <v>134</v>
      </c>
      <c r="D2060" t="s">
        <v>46</v>
      </c>
      <c r="E2060" s="16" t="s">
        <v>133</v>
      </c>
      <c r="F2060">
        <v>2029</v>
      </c>
      <c r="G2060" s="12">
        <v>7441.5062537225003</v>
      </c>
      <c r="H2060" s="13">
        <v>0.8057713701</v>
      </c>
      <c r="I2060" s="13">
        <v>0.80251633720000004</v>
      </c>
      <c r="J2060" s="13">
        <v>0.79783226539999996</v>
      </c>
      <c r="K2060" s="13">
        <v>0</v>
      </c>
      <c r="L2060" s="13">
        <v>7.0000000000000007E-2</v>
      </c>
      <c r="M2060" s="13">
        <v>0.25</v>
      </c>
    </row>
    <row r="2061" spans="2:13" x14ac:dyDescent="0.25">
      <c r="B2061" s="14" t="s">
        <v>202</v>
      </c>
      <c r="C2061" s="14" t="s">
        <v>134</v>
      </c>
      <c r="D2061" t="s">
        <v>46</v>
      </c>
      <c r="E2061" s="16" t="s">
        <v>133</v>
      </c>
      <c r="F2061">
        <v>2030</v>
      </c>
      <c r="G2061" s="12">
        <v>7510.7840976772004</v>
      </c>
      <c r="H2061" s="13">
        <v>0.81237137010000005</v>
      </c>
      <c r="I2061" s="13">
        <v>0.80911633719999998</v>
      </c>
      <c r="J2061" s="13">
        <v>0.80443226540000001</v>
      </c>
      <c r="K2061" s="13">
        <v>0</v>
      </c>
      <c r="L2061" s="13">
        <v>7.0000000000000007E-2</v>
      </c>
      <c r="M2061" s="13">
        <v>0.25</v>
      </c>
    </row>
    <row r="2062" spans="2:13" x14ac:dyDescent="0.25">
      <c r="B2062" s="14" t="s">
        <v>202</v>
      </c>
      <c r="C2062" s="14" t="s">
        <v>72</v>
      </c>
      <c r="D2062" t="s">
        <v>46</v>
      </c>
      <c r="E2062" s="16" t="s">
        <v>133</v>
      </c>
      <c r="F2062">
        <v>2026</v>
      </c>
      <c r="G2062" s="12">
        <v>4035</v>
      </c>
      <c r="H2062" s="13">
        <v>0.96</v>
      </c>
      <c r="I2062" s="13">
        <v>0.96</v>
      </c>
      <c r="J2062" s="13">
        <v>0.96</v>
      </c>
      <c r="K2062" s="13"/>
      <c r="L2062" s="13">
        <v>0.02</v>
      </c>
      <c r="M2062" s="13">
        <v>0.25</v>
      </c>
    </row>
    <row r="2063" spans="2:13" x14ac:dyDescent="0.25">
      <c r="B2063" s="14" t="s">
        <v>202</v>
      </c>
      <c r="C2063" s="14" t="s">
        <v>72</v>
      </c>
      <c r="D2063" t="s">
        <v>46</v>
      </c>
      <c r="E2063" s="16" t="s">
        <v>133</v>
      </c>
      <c r="F2063">
        <v>2027</v>
      </c>
      <c r="G2063" s="12">
        <v>4107</v>
      </c>
      <c r="H2063" s="13">
        <v>0.98</v>
      </c>
      <c r="I2063" s="13">
        <v>0.96</v>
      </c>
      <c r="J2063" s="13">
        <v>0.95</v>
      </c>
      <c r="K2063" s="13"/>
      <c r="L2063" s="13">
        <v>0.02</v>
      </c>
      <c r="M2063" s="13">
        <v>0.25</v>
      </c>
    </row>
    <row r="2064" spans="2:13" x14ac:dyDescent="0.25">
      <c r="B2064" s="14" t="s">
        <v>202</v>
      </c>
      <c r="C2064" s="14" t="s">
        <v>72</v>
      </c>
      <c r="D2064" t="s">
        <v>46</v>
      </c>
      <c r="E2064" s="16" t="s">
        <v>133</v>
      </c>
      <c r="F2064">
        <v>2028</v>
      </c>
      <c r="G2064" s="12">
        <v>4189.1400000000003</v>
      </c>
      <c r="H2064" s="13">
        <v>0.98980000000000001</v>
      </c>
      <c r="I2064" s="13">
        <v>0.96960000000000002</v>
      </c>
      <c r="J2064" s="13">
        <v>0.95950000000000002</v>
      </c>
      <c r="K2064" s="13"/>
      <c r="L2064" s="13">
        <v>2.0199999999999999E-2</v>
      </c>
      <c r="M2064" s="13">
        <v>0.25</v>
      </c>
    </row>
    <row r="2065" spans="2:13" x14ac:dyDescent="0.25">
      <c r="B2065" s="14" t="s">
        <v>202</v>
      </c>
      <c r="C2065" s="14" t="s">
        <v>72</v>
      </c>
      <c r="D2065" t="s">
        <v>46</v>
      </c>
      <c r="E2065" s="16" t="s">
        <v>133</v>
      </c>
      <c r="F2065">
        <v>2029</v>
      </c>
      <c r="G2065" s="12">
        <v>7441.5062537225003</v>
      </c>
      <c r="H2065" s="13">
        <v>0.76708016359999998</v>
      </c>
      <c r="I2065" s="13">
        <v>0.76398536699999997</v>
      </c>
      <c r="J2065" s="13">
        <v>0.75953187909999997</v>
      </c>
      <c r="K2065" s="13"/>
      <c r="L2065" s="13">
        <v>0.04</v>
      </c>
      <c r="M2065" s="13">
        <v>0.25</v>
      </c>
    </row>
    <row r="2066" spans="2:13" x14ac:dyDescent="0.25">
      <c r="B2066" s="14" t="s">
        <v>202</v>
      </c>
      <c r="C2066" s="14" t="s">
        <v>72</v>
      </c>
      <c r="D2066" t="s">
        <v>46</v>
      </c>
      <c r="E2066" s="16" t="s">
        <v>133</v>
      </c>
      <c r="F2066">
        <v>2030</v>
      </c>
      <c r="G2066" s="12">
        <v>7510.7840976772004</v>
      </c>
      <c r="H2066" s="13">
        <v>0.77368016360000003</v>
      </c>
      <c r="I2066" s="13">
        <v>0.77058536700000002</v>
      </c>
      <c r="J2066" s="13">
        <v>0.76613187910000002</v>
      </c>
      <c r="K2066" s="13"/>
      <c r="L2066" s="13">
        <v>0.04</v>
      </c>
      <c r="M2066" s="13">
        <v>0.25</v>
      </c>
    </row>
    <row r="2067" spans="2:13" x14ac:dyDescent="0.25">
      <c r="B2067" s="14" t="s">
        <v>202</v>
      </c>
      <c r="C2067" s="14" t="s">
        <v>15</v>
      </c>
      <c r="D2067" t="s">
        <v>46</v>
      </c>
      <c r="E2067" s="16" t="s">
        <v>133</v>
      </c>
      <c r="F2067">
        <v>2026</v>
      </c>
      <c r="G2067" s="12">
        <v>3161</v>
      </c>
      <c r="H2067" s="13">
        <v>0.95</v>
      </c>
      <c r="I2067" s="13"/>
      <c r="J2067" s="13"/>
      <c r="K2067" s="13"/>
      <c r="L2067" s="13">
        <v>0.05</v>
      </c>
      <c r="M2067" s="13">
        <v>0.25</v>
      </c>
    </row>
    <row r="2068" spans="2:13" x14ac:dyDescent="0.25">
      <c r="B2068" s="14" t="s">
        <v>202</v>
      </c>
      <c r="C2068" s="14" t="s">
        <v>15</v>
      </c>
      <c r="D2068" t="s">
        <v>46</v>
      </c>
      <c r="E2068" s="16" t="s">
        <v>133</v>
      </c>
      <c r="F2068">
        <v>2027</v>
      </c>
      <c r="G2068" s="12">
        <v>3208</v>
      </c>
      <c r="H2068" s="13">
        <v>0.95</v>
      </c>
      <c r="I2068" s="13"/>
      <c r="J2068" s="13"/>
      <c r="K2068" s="13"/>
      <c r="L2068" s="13">
        <v>0.02</v>
      </c>
      <c r="M2068" s="13">
        <v>0.25</v>
      </c>
    </row>
    <row r="2069" spans="2:13" x14ac:dyDescent="0.25">
      <c r="B2069" s="14" t="s">
        <v>202</v>
      </c>
      <c r="C2069" s="14" t="s">
        <v>15</v>
      </c>
      <c r="D2069" t="s">
        <v>46</v>
      </c>
      <c r="E2069" s="16" t="s">
        <v>133</v>
      </c>
      <c r="F2069">
        <v>2028</v>
      </c>
      <c r="G2069" s="12">
        <v>3272.16</v>
      </c>
      <c r="H2069" s="13">
        <v>0.95950000000000002</v>
      </c>
      <c r="I2069" s="13"/>
      <c r="J2069" s="13"/>
      <c r="K2069" s="13"/>
      <c r="L2069" s="13">
        <v>2.0199999999999999E-2</v>
      </c>
      <c r="M2069" s="13">
        <v>0.25</v>
      </c>
    </row>
    <row r="2070" spans="2:13" x14ac:dyDescent="0.25">
      <c r="B2070" s="14" t="s">
        <v>202</v>
      </c>
      <c r="C2070" s="14" t="s">
        <v>15</v>
      </c>
      <c r="D2070" t="s">
        <v>46</v>
      </c>
      <c r="E2070" s="16" t="s">
        <v>133</v>
      </c>
      <c r="F2070">
        <v>2029</v>
      </c>
      <c r="G2070" s="12">
        <v>3327</v>
      </c>
      <c r="H2070" s="13">
        <v>0.75</v>
      </c>
      <c r="I2070" s="13"/>
      <c r="J2070" s="13"/>
      <c r="K2070" s="13"/>
      <c r="L2070" s="13">
        <v>0.02</v>
      </c>
      <c r="M2070" s="13">
        <v>0.25</v>
      </c>
    </row>
    <row r="2071" spans="2:13" x14ac:dyDescent="0.25">
      <c r="B2071" s="14" t="s">
        <v>202</v>
      </c>
      <c r="C2071" s="14" t="s">
        <v>15</v>
      </c>
      <c r="D2071" t="s">
        <v>46</v>
      </c>
      <c r="E2071" s="16" t="s">
        <v>133</v>
      </c>
      <c r="F2071">
        <v>2030</v>
      </c>
      <c r="G2071" s="12">
        <v>3371</v>
      </c>
      <c r="H2071" s="13">
        <v>0.75</v>
      </c>
      <c r="I2071" s="13"/>
      <c r="J2071" s="13"/>
      <c r="K2071" s="13"/>
      <c r="L2071" s="13">
        <v>0.02</v>
      </c>
      <c r="M2071" s="13">
        <v>0.25</v>
      </c>
    </row>
    <row r="2072" spans="2:13" x14ac:dyDescent="0.25">
      <c r="B2072" s="14" t="s">
        <v>202</v>
      </c>
      <c r="C2072" s="14" t="s">
        <v>139</v>
      </c>
      <c r="D2072" t="s">
        <v>46</v>
      </c>
      <c r="E2072" s="16" t="s">
        <v>133</v>
      </c>
      <c r="F2072">
        <v>2026</v>
      </c>
      <c r="G2072" s="12">
        <v>4035</v>
      </c>
      <c r="H2072" s="13">
        <v>0.96</v>
      </c>
      <c r="I2072" s="13">
        <v>0.96</v>
      </c>
      <c r="J2072" s="13">
        <v>0.96</v>
      </c>
      <c r="K2072" s="13"/>
      <c r="L2072" s="13">
        <v>0.02</v>
      </c>
      <c r="M2072" s="13">
        <v>0.25</v>
      </c>
    </row>
    <row r="2073" spans="2:13" x14ac:dyDescent="0.25">
      <c r="B2073" s="14" t="s">
        <v>202</v>
      </c>
      <c r="C2073" s="14" t="s">
        <v>139</v>
      </c>
      <c r="D2073" t="s">
        <v>46</v>
      </c>
      <c r="E2073" s="16" t="s">
        <v>133</v>
      </c>
      <c r="F2073">
        <v>2027</v>
      </c>
      <c r="G2073" s="12">
        <v>4107</v>
      </c>
      <c r="H2073" s="13">
        <v>0.98</v>
      </c>
      <c r="I2073" s="13">
        <v>0.96</v>
      </c>
      <c r="J2073" s="13">
        <v>0.96</v>
      </c>
      <c r="K2073" s="13"/>
      <c r="L2073" s="13">
        <v>0.02</v>
      </c>
      <c r="M2073" s="13">
        <v>0.25</v>
      </c>
    </row>
    <row r="2074" spans="2:13" x14ac:dyDescent="0.25">
      <c r="B2074" s="14" t="s">
        <v>202</v>
      </c>
      <c r="C2074" s="14" t="s">
        <v>139</v>
      </c>
      <c r="D2074" t="s">
        <v>46</v>
      </c>
      <c r="E2074" s="16" t="s">
        <v>133</v>
      </c>
      <c r="F2074">
        <v>2028</v>
      </c>
      <c r="G2074" s="12">
        <v>4189.1400000000003</v>
      </c>
      <c r="H2074" s="13">
        <v>0.98980000000000001</v>
      </c>
      <c r="I2074" s="13">
        <v>0.96960000000000002</v>
      </c>
      <c r="J2074" s="13">
        <v>0.96960000000000002</v>
      </c>
      <c r="K2074" s="13"/>
      <c r="L2074" s="13">
        <v>2.0199999999999999E-2</v>
      </c>
      <c r="M2074" s="13">
        <v>0.25</v>
      </c>
    </row>
    <row r="2075" spans="2:13" x14ac:dyDescent="0.25">
      <c r="B2075" s="14" t="s">
        <v>202</v>
      </c>
      <c r="C2075" s="14" t="s">
        <v>139</v>
      </c>
      <c r="D2075" t="s">
        <v>46</v>
      </c>
      <c r="E2075" s="16" t="s">
        <v>133</v>
      </c>
      <c r="F2075">
        <v>2029</v>
      </c>
      <c r="G2075" s="12">
        <v>7441.5062537225003</v>
      </c>
      <c r="H2075" s="13">
        <v>0.99</v>
      </c>
      <c r="I2075" s="13">
        <v>0.9859</v>
      </c>
      <c r="J2075" s="13">
        <v>0.98</v>
      </c>
      <c r="K2075" s="13"/>
      <c r="L2075" s="13">
        <v>7.0000000000000007E-2</v>
      </c>
      <c r="M2075" s="13">
        <v>0.25</v>
      </c>
    </row>
    <row r="2076" spans="2:13" x14ac:dyDescent="0.25">
      <c r="B2076" s="14" t="s">
        <v>202</v>
      </c>
      <c r="C2076" s="14" t="s">
        <v>139</v>
      </c>
      <c r="D2076" t="s">
        <v>46</v>
      </c>
      <c r="E2076" s="16" t="s">
        <v>133</v>
      </c>
      <c r="F2076">
        <v>2030</v>
      </c>
      <c r="G2076" s="12">
        <v>7510.7840976772004</v>
      </c>
      <c r="H2076" s="13">
        <v>0.99</v>
      </c>
      <c r="I2076" s="13">
        <v>0.9859</v>
      </c>
      <c r="J2076" s="13">
        <v>0.98</v>
      </c>
      <c r="K2076" s="13"/>
      <c r="L2076" s="13">
        <v>7.0000000000000007E-2</v>
      </c>
      <c r="M2076" s="13">
        <v>0.25</v>
      </c>
    </row>
    <row r="2077" spans="2:13" x14ac:dyDescent="0.25">
      <c r="B2077" s="14" t="s">
        <v>202</v>
      </c>
      <c r="C2077" s="14" t="s">
        <v>74</v>
      </c>
      <c r="D2077" t="s">
        <v>46</v>
      </c>
      <c r="E2077" s="16" t="s">
        <v>133</v>
      </c>
      <c r="F2077">
        <v>2026</v>
      </c>
      <c r="G2077" s="12">
        <v>4035</v>
      </c>
      <c r="H2077" s="13">
        <v>0.95</v>
      </c>
      <c r="I2077" s="13"/>
      <c r="J2077" s="13"/>
      <c r="K2077" s="13"/>
      <c r="L2077" s="13">
        <v>0.05</v>
      </c>
      <c r="M2077" s="13">
        <v>0.25</v>
      </c>
    </row>
    <row r="2078" spans="2:13" x14ac:dyDescent="0.25">
      <c r="B2078" s="14" t="s">
        <v>202</v>
      </c>
      <c r="C2078" s="14" t="s">
        <v>74</v>
      </c>
      <c r="D2078" t="s">
        <v>46</v>
      </c>
      <c r="E2078" s="16" t="s">
        <v>133</v>
      </c>
      <c r="F2078">
        <v>2027</v>
      </c>
      <c r="G2078" s="12">
        <v>4107</v>
      </c>
      <c r="H2078" s="13">
        <v>0.95</v>
      </c>
      <c r="I2078" s="13"/>
      <c r="J2078" s="13"/>
      <c r="K2078" s="13"/>
      <c r="L2078" s="13">
        <v>0.05</v>
      </c>
      <c r="M2078" s="13">
        <v>0.25</v>
      </c>
    </row>
    <row r="2079" spans="2:13" x14ac:dyDescent="0.25">
      <c r="B2079" s="14" t="s">
        <v>202</v>
      </c>
      <c r="C2079" s="14" t="s">
        <v>74</v>
      </c>
      <c r="D2079" t="s">
        <v>46</v>
      </c>
      <c r="E2079" s="16" t="s">
        <v>133</v>
      </c>
      <c r="F2079">
        <v>2028</v>
      </c>
      <c r="G2079" s="12">
        <v>4189.1400000000003</v>
      </c>
      <c r="H2079" s="13">
        <v>0.95950000000000002</v>
      </c>
      <c r="I2079" s="13"/>
      <c r="J2079" s="13"/>
      <c r="K2079" s="13"/>
      <c r="L2079" s="13">
        <v>5.0500000000000003E-2</v>
      </c>
      <c r="M2079" s="13">
        <v>0.25</v>
      </c>
    </row>
    <row r="2080" spans="2:13" x14ac:dyDescent="0.25">
      <c r="B2080" s="14" t="s">
        <v>202</v>
      </c>
      <c r="C2080" s="14" t="s">
        <v>74</v>
      </c>
      <c r="D2080" t="s">
        <v>46</v>
      </c>
      <c r="E2080" s="16" t="s">
        <v>133</v>
      </c>
      <c r="F2080">
        <v>2029</v>
      </c>
      <c r="G2080" s="12">
        <v>7460</v>
      </c>
      <c r="H2080" s="13">
        <v>0.99</v>
      </c>
      <c r="I2080" s="13"/>
      <c r="J2080" s="13"/>
      <c r="K2080" s="13"/>
      <c r="L2080" s="13">
        <v>0.1</v>
      </c>
      <c r="M2080" s="13">
        <v>0.25</v>
      </c>
    </row>
    <row r="2081" spans="2:13" x14ac:dyDescent="0.25">
      <c r="B2081" s="15" t="s">
        <v>202</v>
      </c>
      <c r="C2081" s="14" t="s">
        <v>74</v>
      </c>
      <c r="D2081" t="s">
        <v>46</v>
      </c>
      <c r="E2081" s="16" t="s">
        <v>133</v>
      </c>
      <c r="F2081">
        <v>2030</v>
      </c>
      <c r="G2081" s="12">
        <v>7529</v>
      </c>
      <c r="H2081" s="13">
        <v>0.99</v>
      </c>
      <c r="I2081" s="13"/>
      <c r="J2081" s="13"/>
      <c r="K2081" s="13"/>
      <c r="L2081" s="13">
        <v>0.1</v>
      </c>
      <c r="M2081" s="13">
        <v>0.25</v>
      </c>
    </row>
    <row r="2082" spans="2:13" x14ac:dyDescent="0.25">
      <c r="B2082" s="14" t="s">
        <v>203</v>
      </c>
      <c r="C2082" s="14" t="s">
        <v>132</v>
      </c>
      <c r="D2082" t="s">
        <v>46</v>
      </c>
      <c r="E2082" s="16" t="s">
        <v>133</v>
      </c>
      <c r="F2082">
        <v>2026</v>
      </c>
      <c r="G2082" s="12">
        <v>709011</v>
      </c>
      <c r="H2082" s="13">
        <v>0.95</v>
      </c>
      <c r="I2082" s="13">
        <v>0.94179999999999997</v>
      </c>
      <c r="J2082" s="13">
        <v>0.93</v>
      </c>
      <c r="K2082" s="13">
        <v>0.94722170480000001</v>
      </c>
      <c r="L2082" s="13">
        <v>7.0000000000000007E-2</v>
      </c>
      <c r="M2082" s="13">
        <v>0.25</v>
      </c>
    </row>
    <row r="2083" spans="2:13" x14ac:dyDescent="0.25">
      <c r="B2083" s="14" t="s">
        <v>203</v>
      </c>
      <c r="C2083" s="14" t="s">
        <v>132</v>
      </c>
      <c r="D2083" t="s">
        <v>46</v>
      </c>
      <c r="E2083" s="16" t="s">
        <v>133</v>
      </c>
      <c r="F2083">
        <v>2027</v>
      </c>
      <c r="G2083" s="12">
        <v>730264.03822497698</v>
      </c>
      <c r="H2083" s="13">
        <v>0.39858333330000001</v>
      </c>
      <c r="I2083" s="13">
        <v>0.3951666667</v>
      </c>
      <c r="J2083" s="13">
        <v>0.39024999999999999</v>
      </c>
      <c r="K2083" s="13">
        <v>0.39728057</v>
      </c>
      <c r="L2083" s="13">
        <v>7.0000000000000007E-2</v>
      </c>
      <c r="M2083" s="13">
        <v>0.25</v>
      </c>
    </row>
    <row r="2084" spans="2:13" x14ac:dyDescent="0.25">
      <c r="B2084" s="14" t="s">
        <v>203</v>
      </c>
      <c r="C2084" s="14" t="s">
        <v>132</v>
      </c>
      <c r="D2084" t="s">
        <v>46</v>
      </c>
      <c r="E2084" s="16" t="s">
        <v>133</v>
      </c>
      <c r="F2084">
        <v>2028</v>
      </c>
      <c r="G2084" s="12">
        <v>747949.64318334195</v>
      </c>
      <c r="H2084" s="13">
        <v>0</v>
      </c>
      <c r="I2084" s="13">
        <v>0</v>
      </c>
      <c r="J2084" s="13">
        <v>0</v>
      </c>
      <c r="K2084" s="13">
        <v>0</v>
      </c>
      <c r="L2084" s="13">
        <v>7.0000000000000007E-2</v>
      </c>
      <c r="M2084" s="13">
        <v>0.25</v>
      </c>
    </row>
    <row r="2085" spans="2:13" x14ac:dyDescent="0.25">
      <c r="B2085" s="14" t="s">
        <v>203</v>
      </c>
      <c r="C2085" s="14" t="s">
        <v>70</v>
      </c>
      <c r="D2085" t="s">
        <v>46</v>
      </c>
      <c r="E2085" s="16" t="s">
        <v>133</v>
      </c>
      <c r="F2085">
        <v>2026</v>
      </c>
      <c r="G2085" s="12">
        <v>709011</v>
      </c>
      <c r="H2085" s="13">
        <v>0.97</v>
      </c>
      <c r="I2085" s="13">
        <v>0.95</v>
      </c>
      <c r="J2085" s="13">
        <v>0</v>
      </c>
      <c r="K2085" s="13">
        <v>0</v>
      </c>
      <c r="L2085" s="13">
        <v>7.0000000000000007E-2</v>
      </c>
      <c r="M2085" s="13">
        <v>0.25</v>
      </c>
    </row>
    <row r="2086" spans="2:13" x14ac:dyDescent="0.25">
      <c r="B2086" s="14" t="s">
        <v>203</v>
      </c>
      <c r="C2086" s="14" t="s">
        <v>70</v>
      </c>
      <c r="D2086" t="s">
        <v>46</v>
      </c>
      <c r="E2086" s="16" t="s">
        <v>133</v>
      </c>
      <c r="F2086">
        <v>2027</v>
      </c>
      <c r="G2086" s="12">
        <v>730264.03822497698</v>
      </c>
      <c r="H2086" s="13">
        <v>0.40691666669999998</v>
      </c>
      <c r="I2086" s="13">
        <v>0.39858333330000001</v>
      </c>
      <c r="J2086" s="13">
        <v>2.7499999999999998E-3</v>
      </c>
      <c r="K2086" s="13">
        <v>0</v>
      </c>
      <c r="L2086" s="13">
        <v>7.0000000000000007E-2</v>
      </c>
      <c r="M2086" s="13">
        <v>0.25</v>
      </c>
    </row>
    <row r="2087" spans="2:13" x14ac:dyDescent="0.25">
      <c r="B2087" s="14" t="s">
        <v>203</v>
      </c>
      <c r="C2087" s="14" t="s">
        <v>70</v>
      </c>
      <c r="D2087" t="s">
        <v>46</v>
      </c>
      <c r="E2087" s="16" t="s">
        <v>133</v>
      </c>
      <c r="F2087">
        <v>2028</v>
      </c>
      <c r="G2087" s="12">
        <v>747949.64318334195</v>
      </c>
      <c r="H2087" s="13">
        <v>0</v>
      </c>
      <c r="I2087" s="13">
        <v>0</v>
      </c>
      <c r="J2087" s="13">
        <v>0</v>
      </c>
      <c r="K2087" s="13">
        <v>0</v>
      </c>
      <c r="L2087" s="13">
        <v>7.0000000000000007E-2</v>
      </c>
      <c r="M2087" s="13">
        <v>0.25</v>
      </c>
    </row>
    <row r="2088" spans="2:13" x14ac:dyDescent="0.25">
      <c r="B2088" s="14" t="s">
        <v>203</v>
      </c>
      <c r="C2088" s="14" t="s">
        <v>134</v>
      </c>
      <c r="D2088" t="s">
        <v>46</v>
      </c>
      <c r="E2088" s="16" t="s">
        <v>133</v>
      </c>
      <c r="F2088">
        <v>2026</v>
      </c>
      <c r="G2088" s="12">
        <v>709011</v>
      </c>
      <c r="H2088" s="13">
        <v>0</v>
      </c>
      <c r="I2088" s="13">
        <v>0</v>
      </c>
      <c r="J2088" s="13">
        <v>0</v>
      </c>
      <c r="K2088" s="13">
        <v>0</v>
      </c>
      <c r="L2088" s="13">
        <v>7.0000000000000007E-2</v>
      </c>
      <c r="M2088" s="13">
        <v>0.25</v>
      </c>
    </row>
    <row r="2089" spans="2:13" x14ac:dyDescent="0.25">
      <c r="B2089" s="14" t="s">
        <v>203</v>
      </c>
      <c r="C2089" s="14" t="s">
        <v>134</v>
      </c>
      <c r="D2089" t="s">
        <v>46</v>
      </c>
      <c r="E2089" s="16" t="s">
        <v>133</v>
      </c>
      <c r="F2089">
        <v>2027</v>
      </c>
      <c r="G2089" s="12">
        <v>730264.03822497698</v>
      </c>
      <c r="H2089" s="13">
        <v>0.55801666670000005</v>
      </c>
      <c r="I2089" s="13">
        <v>0.55323333330000002</v>
      </c>
      <c r="J2089" s="13">
        <v>0.54635</v>
      </c>
      <c r="K2089" s="13">
        <v>0.5561927981</v>
      </c>
      <c r="L2089" s="13">
        <v>7.0000000000000007E-2</v>
      </c>
      <c r="M2089" s="13">
        <v>0.25</v>
      </c>
    </row>
    <row r="2090" spans="2:13" x14ac:dyDescent="0.25">
      <c r="B2090" s="14" t="s">
        <v>203</v>
      </c>
      <c r="C2090" s="14" t="s">
        <v>134</v>
      </c>
      <c r="D2090" t="s">
        <v>46</v>
      </c>
      <c r="E2090" s="16" t="s">
        <v>133</v>
      </c>
      <c r="F2090">
        <v>2028</v>
      </c>
      <c r="G2090" s="12">
        <v>747949.64318334195</v>
      </c>
      <c r="H2090" s="13">
        <v>0.96319999999999995</v>
      </c>
      <c r="I2090" s="13">
        <v>0.95499999999999996</v>
      </c>
      <c r="J2090" s="13">
        <v>0.94320000000000004</v>
      </c>
      <c r="K2090" s="13">
        <v>0.95972503139999998</v>
      </c>
      <c r="L2090" s="13">
        <v>7.0000000000000007E-2</v>
      </c>
      <c r="M2090" s="13">
        <v>0.25</v>
      </c>
    </row>
    <row r="2091" spans="2:13" x14ac:dyDescent="0.25">
      <c r="B2091" s="14" t="s">
        <v>203</v>
      </c>
      <c r="C2091" s="14" t="s">
        <v>134</v>
      </c>
      <c r="D2091" t="s">
        <v>46</v>
      </c>
      <c r="E2091" s="16" t="s">
        <v>133</v>
      </c>
      <c r="F2091">
        <v>2029</v>
      </c>
      <c r="G2091" s="12">
        <v>760570.57220381498</v>
      </c>
      <c r="H2091" s="13">
        <v>0.9698</v>
      </c>
      <c r="I2091" s="13">
        <v>0.96160000000000001</v>
      </c>
      <c r="J2091" s="13">
        <v>0.94979999999999998</v>
      </c>
      <c r="K2091" s="13">
        <v>0.96597669460000002</v>
      </c>
      <c r="L2091" s="13">
        <v>7.0000000000000007E-2</v>
      </c>
      <c r="M2091" s="13">
        <v>0.25</v>
      </c>
    </row>
    <row r="2092" spans="2:13" x14ac:dyDescent="0.25">
      <c r="B2092" s="14" t="s">
        <v>203</v>
      </c>
      <c r="C2092" s="14" t="s">
        <v>134</v>
      </c>
      <c r="D2092" t="s">
        <v>46</v>
      </c>
      <c r="E2092" s="16" t="s">
        <v>133</v>
      </c>
      <c r="F2092">
        <v>2030</v>
      </c>
      <c r="G2092" s="12">
        <v>770799.81680383196</v>
      </c>
      <c r="H2092" s="13">
        <v>0.97640000000000005</v>
      </c>
      <c r="I2092" s="13">
        <v>0.96819999999999995</v>
      </c>
      <c r="J2092" s="13">
        <v>0.95640000000000003</v>
      </c>
      <c r="K2092" s="13">
        <v>0.97222835789999995</v>
      </c>
      <c r="L2092" s="13">
        <v>7.0000000000000007E-2</v>
      </c>
      <c r="M2092" s="13">
        <v>0.25</v>
      </c>
    </row>
    <row r="2093" spans="2:13" x14ac:dyDescent="0.25">
      <c r="B2093" s="14" t="s">
        <v>203</v>
      </c>
      <c r="C2093" s="14" t="s">
        <v>72</v>
      </c>
      <c r="D2093" t="s">
        <v>14</v>
      </c>
      <c r="E2093" s="16" t="s">
        <v>133</v>
      </c>
      <c r="F2093">
        <v>2027</v>
      </c>
      <c r="G2093" s="12">
        <v>4462153.5750000002</v>
      </c>
      <c r="H2093" s="13">
        <v>0.9</v>
      </c>
      <c r="I2093" s="13">
        <v>0</v>
      </c>
      <c r="J2093" s="13">
        <v>0</v>
      </c>
      <c r="K2093" s="13"/>
      <c r="L2093" s="13">
        <v>7.0000000000000007E-2</v>
      </c>
      <c r="M2093" s="13"/>
    </row>
    <row r="2094" spans="2:13" x14ac:dyDescent="0.25">
      <c r="B2094" s="14" t="s">
        <v>203</v>
      </c>
      <c r="C2094" s="14" t="s">
        <v>72</v>
      </c>
      <c r="D2094" t="s">
        <v>46</v>
      </c>
      <c r="E2094" s="16" t="s">
        <v>133</v>
      </c>
      <c r="F2094">
        <v>2027</v>
      </c>
      <c r="G2094" s="12">
        <v>730281</v>
      </c>
      <c r="H2094" s="13">
        <v>0.75549999999999995</v>
      </c>
      <c r="I2094" s="13">
        <v>0.60111111110000004</v>
      </c>
      <c r="J2094" s="13">
        <v>0.67216666670000003</v>
      </c>
      <c r="K2094" s="13"/>
      <c r="L2094" s="13">
        <v>7.0000000000000007E-2</v>
      </c>
      <c r="M2094" s="13">
        <v>0.25</v>
      </c>
    </row>
    <row r="2095" spans="2:13" x14ac:dyDescent="0.25">
      <c r="B2095" s="14" t="s">
        <v>203</v>
      </c>
      <c r="C2095" s="14" t="s">
        <v>72</v>
      </c>
      <c r="D2095" t="s">
        <v>46</v>
      </c>
      <c r="E2095" s="16" t="s">
        <v>133</v>
      </c>
      <c r="F2095">
        <v>2028</v>
      </c>
      <c r="G2095" s="12">
        <v>752190</v>
      </c>
      <c r="H2095" s="13">
        <v>0.91320000000000001</v>
      </c>
      <c r="I2095" s="13">
        <v>0.87219999999999998</v>
      </c>
      <c r="J2095" s="13">
        <v>0.81320000000000003</v>
      </c>
      <c r="K2095" s="13"/>
      <c r="L2095" s="13">
        <v>7.0000000000000007E-2</v>
      </c>
      <c r="M2095" s="13">
        <v>0.25</v>
      </c>
    </row>
    <row r="2096" spans="2:13" x14ac:dyDescent="0.25">
      <c r="B2096" s="14" t="s">
        <v>203</v>
      </c>
      <c r="C2096" s="14" t="s">
        <v>72</v>
      </c>
      <c r="D2096" t="s">
        <v>46</v>
      </c>
      <c r="E2096" s="16" t="s">
        <v>133</v>
      </c>
      <c r="F2096">
        <v>2029</v>
      </c>
      <c r="G2096" s="12">
        <v>774755</v>
      </c>
      <c r="H2096" s="13">
        <v>0.91979999999999995</v>
      </c>
      <c r="I2096" s="13">
        <v>0.87880000000000003</v>
      </c>
      <c r="J2096" s="13">
        <v>0.81979999999999997</v>
      </c>
      <c r="K2096" s="13"/>
      <c r="L2096" s="13">
        <v>7.0000000000000007E-2</v>
      </c>
      <c r="M2096" s="13">
        <v>0.25</v>
      </c>
    </row>
    <row r="2097" spans="2:13" x14ac:dyDescent="0.25">
      <c r="B2097" s="14" t="s">
        <v>203</v>
      </c>
      <c r="C2097" s="14" t="s">
        <v>72</v>
      </c>
      <c r="D2097" t="s">
        <v>46</v>
      </c>
      <c r="E2097" s="16" t="s">
        <v>133</v>
      </c>
      <c r="F2097">
        <v>2030</v>
      </c>
      <c r="G2097" s="12">
        <v>797998</v>
      </c>
      <c r="H2097" s="13">
        <v>0.9264</v>
      </c>
      <c r="I2097" s="13">
        <v>0.88539999999999996</v>
      </c>
      <c r="J2097" s="13">
        <v>0.82640000000000002</v>
      </c>
      <c r="K2097" s="13"/>
      <c r="L2097" s="13">
        <v>7.0000000000000007E-2</v>
      </c>
      <c r="M2097" s="13">
        <v>0.25</v>
      </c>
    </row>
    <row r="2098" spans="2:13" x14ac:dyDescent="0.25">
      <c r="B2098" s="14" t="s">
        <v>203</v>
      </c>
      <c r="C2098" s="14" t="s">
        <v>15</v>
      </c>
      <c r="D2098" t="s">
        <v>136</v>
      </c>
      <c r="E2098" s="16" t="s">
        <v>133</v>
      </c>
      <c r="F2098">
        <v>2028</v>
      </c>
      <c r="G2098" s="12">
        <v>0</v>
      </c>
      <c r="H2098" s="13">
        <v>0</v>
      </c>
      <c r="I2098" s="13"/>
      <c r="J2098" s="13"/>
      <c r="K2098" s="13"/>
      <c r="L2098" s="13">
        <v>0.05</v>
      </c>
      <c r="M2098" s="13">
        <v>0.25</v>
      </c>
    </row>
    <row r="2099" spans="2:13" x14ac:dyDescent="0.25">
      <c r="B2099" s="14" t="s">
        <v>203</v>
      </c>
      <c r="C2099" s="14" t="s">
        <v>15</v>
      </c>
      <c r="D2099" t="s">
        <v>136</v>
      </c>
      <c r="E2099" s="16" t="s">
        <v>133</v>
      </c>
      <c r="F2099">
        <v>2029</v>
      </c>
      <c r="G2099" s="12">
        <v>1022291.5</v>
      </c>
      <c r="H2099" s="13">
        <v>0.8</v>
      </c>
      <c r="I2099" s="13"/>
      <c r="J2099" s="13"/>
      <c r="K2099" s="13"/>
      <c r="L2099" s="13">
        <v>0.05</v>
      </c>
      <c r="M2099" s="13">
        <v>0.25</v>
      </c>
    </row>
    <row r="2100" spans="2:13" x14ac:dyDescent="0.25">
      <c r="B2100" s="14" t="s">
        <v>203</v>
      </c>
      <c r="C2100" s="14" t="s">
        <v>15</v>
      </c>
      <c r="D2100" t="s">
        <v>136</v>
      </c>
      <c r="E2100" s="16" t="s">
        <v>133</v>
      </c>
      <c r="F2100">
        <v>2030</v>
      </c>
      <c r="G2100" s="12">
        <v>0</v>
      </c>
      <c r="H2100" s="13">
        <v>0</v>
      </c>
      <c r="I2100" s="13"/>
      <c r="J2100" s="13"/>
      <c r="K2100" s="13"/>
      <c r="L2100" s="13">
        <v>0.05</v>
      </c>
      <c r="M2100" s="13">
        <v>0.25</v>
      </c>
    </row>
    <row r="2101" spans="2:13" x14ac:dyDescent="0.25">
      <c r="B2101" s="14" t="s">
        <v>203</v>
      </c>
      <c r="C2101" s="14" t="s">
        <v>15</v>
      </c>
      <c r="D2101" t="s">
        <v>46</v>
      </c>
      <c r="E2101" s="16" t="s">
        <v>133</v>
      </c>
      <c r="F2101">
        <v>2028</v>
      </c>
      <c r="G2101" s="12">
        <v>208912</v>
      </c>
      <c r="H2101" s="13">
        <v>0</v>
      </c>
      <c r="I2101" s="13"/>
      <c r="J2101" s="13"/>
      <c r="K2101" s="13"/>
      <c r="L2101" s="13">
        <v>0.05</v>
      </c>
      <c r="M2101" s="13">
        <v>0.25</v>
      </c>
    </row>
    <row r="2102" spans="2:13" x14ac:dyDescent="0.25">
      <c r="B2102" s="14" t="s">
        <v>203</v>
      </c>
      <c r="C2102" s="14" t="s">
        <v>15</v>
      </c>
      <c r="D2102" t="s">
        <v>46</v>
      </c>
      <c r="E2102" s="16" t="s">
        <v>133</v>
      </c>
      <c r="F2102">
        <v>2029</v>
      </c>
      <c r="G2102" s="12">
        <v>224225</v>
      </c>
      <c r="H2102" s="13">
        <v>0.81</v>
      </c>
      <c r="I2102" s="13"/>
      <c r="J2102" s="13"/>
      <c r="K2102" s="13"/>
      <c r="L2102" s="13">
        <v>0.05</v>
      </c>
      <c r="M2102" s="13">
        <v>0.25</v>
      </c>
    </row>
    <row r="2103" spans="2:13" x14ac:dyDescent="0.25">
      <c r="B2103" s="14" t="s">
        <v>203</v>
      </c>
      <c r="C2103" s="14" t="s">
        <v>15</v>
      </c>
      <c r="D2103" t="s">
        <v>46</v>
      </c>
      <c r="E2103" s="16" t="s">
        <v>133</v>
      </c>
      <c r="F2103">
        <v>2030</v>
      </c>
      <c r="G2103" s="12">
        <v>238341.5</v>
      </c>
      <c r="H2103" s="13">
        <v>0.81</v>
      </c>
      <c r="I2103" s="13"/>
      <c r="J2103" s="13"/>
      <c r="K2103" s="13"/>
      <c r="L2103" s="13">
        <v>0.05</v>
      </c>
      <c r="M2103" s="13">
        <v>0.25</v>
      </c>
    </row>
    <row r="2104" spans="2:13" x14ac:dyDescent="0.25">
      <c r="B2104" s="14" t="s">
        <v>203</v>
      </c>
      <c r="C2104" s="14" t="s">
        <v>52</v>
      </c>
      <c r="D2104" t="s">
        <v>141</v>
      </c>
      <c r="E2104" s="16" t="s">
        <v>133</v>
      </c>
      <c r="F2104">
        <v>2028</v>
      </c>
      <c r="G2104" s="12">
        <v>2747321.4375</v>
      </c>
      <c r="H2104" s="13">
        <v>0.85</v>
      </c>
      <c r="I2104" s="13"/>
      <c r="J2104" s="13"/>
      <c r="K2104" s="13"/>
      <c r="L2104" s="13"/>
      <c r="M2104" s="13"/>
    </row>
    <row r="2105" spans="2:13" x14ac:dyDescent="0.25">
      <c r="B2105" s="14" t="s">
        <v>203</v>
      </c>
      <c r="C2105" s="14" t="s">
        <v>52</v>
      </c>
      <c r="D2105" t="s">
        <v>138</v>
      </c>
      <c r="E2105" s="16" t="s">
        <v>133</v>
      </c>
      <c r="F2105">
        <v>2026</v>
      </c>
      <c r="G2105" s="12">
        <v>709011</v>
      </c>
      <c r="H2105" s="13">
        <v>0.97</v>
      </c>
      <c r="I2105" s="13">
        <v>0.95</v>
      </c>
      <c r="J2105" s="13"/>
      <c r="K2105" s="13"/>
      <c r="L2105" s="13"/>
      <c r="M2105" s="13"/>
    </row>
    <row r="2106" spans="2:13" x14ac:dyDescent="0.25">
      <c r="B2106" s="14" t="s">
        <v>203</v>
      </c>
      <c r="C2106" s="14" t="s">
        <v>52</v>
      </c>
      <c r="D2106" t="s">
        <v>138</v>
      </c>
      <c r="E2106" s="16" t="s">
        <v>133</v>
      </c>
      <c r="F2106">
        <v>2027</v>
      </c>
      <c r="G2106" s="12">
        <v>730281</v>
      </c>
      <c r="H2106" s="13">
        <v>0.97</v>
      </c>
      <c r="I2106" s="13">
        <v>0.76980000000000004</v>
      </c>
      <c r="J2106" s="13"/>
      <c r="K2106" s="13"/>
      <c r="L2106" s="13"/>
      <c r="M2106" s="13"/>
    </row>
    <row r="2107" spans="2:13" x14ac:dyDescent="0.25">
      <c r="B2107" s="14" t="s">
        <v>203</v>
      </c>
      <c r="C2107" s="14" t="s">
        <v>52</v>
      </c>
      <c r="D2107" t="s">
        <v>138</v>
      </c>
      <c r="E2107" s="16" t="s">
        <v>133</v>
      </c>
      <c r="F2107">
        <v>2028</v>
      </c>
      <c r="G2107" s="12">
        <v>752190</v>
      </c>
      <c r="H2107" s="13">
        <v>0.97</v>
      </c>
      <c r="I2107" s="13">
        <v>0.77639999999999998</v>
      </c>
      <c r="J2107" s="13"/>
      <c r="K2107" s="13"/>
      <c r="L2107" s="13"/>
      <c r="M2107" s="13"/>
    </row>
    <row r="2108" spans="2:13" x14ac:dyDescent="0.25">
      <c r="B2108" s="14" t="s">
        <v>203</v>
      </c>
      <c r="C2108" s="14" t="s">
        <v>52</v>
      </c>
      <c r="D2108" t="s">
        <v>138</v>
      </c>
      <c r="E2108" s="16" t="s">
        <v>133</v>
      </c>
      <c r="F2108">
        <v>2029</v>
      </c>
      <c r="G2108" s="12">
        <v>774755</v>
      </c>
      <c r="H2108" s="13">
        <v>0.97</v>
      </c>
      <c r="I2108" s="13">
        <v>0.78300000000000003</v>
      </c>
      <c r="J2108" s="13"/>
      <c r="K2108" s="13"/>
      <c r="L2108" s="13"/>
      <c r="M2108" s="13"/>
    </row>
    <row r="2109" spans="2:13" x14ac:dyDescent="0.25">
      <c r="B2109" s="14" t="s">
        <v>203</v>
      </c>
      <c r="C2109" s="14" t="s">
        <v>52</v>
      </c>
      <c r="D2109" t="s">
        <v>138</v>
      </c>
      <c r="E2109" s="16" t="s">
        <v>133</v>
      </c>
      <c r="F2109">
        <v>2030</v>
      </c>
      <c r="G2109" s="12">
        <v>797998</v>
      </c>
      <c r="H2109" s="13">
        <v>0.97</v>
      </c>
      <c r="I2109" s="13">
        <v>0.78959999999999997</v>
      </c>
      <c r="J2109" s="13"/>
      <c r="K2109" s="13"/>
      <c r="L2109" s="13"/>
      <c r="M2109" s="13"/>
    </row>
    <row r="2110" spans="2:13" x14ac:dyDescent="0.25">
      <c r="B2110" s="14" t="s">
        <v>203</v>
      </c>
      <c r="C2110" s="14" t="s">
        <v>146</v>
      </c>
      <c r="D2110" t="s">
        <v>46</v>
      </c>
      <c r="E2110" s="16" t="s">
        <v>133</v>
      </c>
      <c r="F2110">
        <v>2027</v>
      </c>
      <c r="G2110" s="12">
        <v>20000</v>
      </c>
      <c r="H2110" s="13"/>
      <c r="I2110" s="13"/>
      <c r="J2110" s="13"/>
      <c r="K2110" s="13"/>
      <c r="L2110" s="13"/>
      <c r="M2110" s="13">
        <v>0.25</v>
      </c>
    </row>
    <row r="2111" spans="2:13" x14ac:dyDescent="0.25">
      <c r="B2111" s="14" t="s">
        <v>203</v>
      </c>
      <c r="C2111" s="14" t="s">
        <v>146</v>
      </c>
      <c r="D2111" t="s">
        <v>46</v>
      </c>
      <c r="E2111" s="16" t="s">
        <v>133</v>
      </c>
      <c r="F2111">
        <v>2028</v>
      </c>
      <c r="G2111" s="12">
        <v>20484</v>
      </c>
      <c r="H2111" s="13"/>
      <c r="I2111" s="13"/>
      <c r="J2111" s="13"/>
      <c r="K2111" s="13"/>
      <c r="L2111" s="13"/>
      <c r="M2111" s="13">
        <v>0.25</v>
      </c>
    </row>
    <row r="2112" spans="2:13" x14ac:dyDescent="0.25">
      <c r="B2112" s="14" t="s">
        <v>203</v>
      </c>
      <c r="C2112" s="14" t="s">
        <v>146</v>
      </c>
      <c r="D2112" t="s">
        <v>46</v>
      </c>
      <c r="E2112" s="16" t="s">
        <v>133</v>
      </c>
      <c r="F2112">
        <v>2029</v>
      </c>
      <c r="G2112" s="12">
        <v>20830</v>
      </c>
      <c r="H2112" s="13"/>
      <c r="I2112" s="13"/>
      <c r="J2112" s="13"/>
      <c r="K2112" s="13"/>
      <c r="L2112" s="13"/>
      <c r="M2112" s="13">
        <v>0.25</v>
      </c>
    </row>
    <row r="2113" spans="2:13" x14ac:dyDescent="0.25">
      <c r="B2113" s="14" t="s">
        <v>203</v>
      </c>
      <c r="C2113" s="14" t="s">
        <v>146</v>
      </c>
      <c r="D2113" t="s">
        <v>46</v>
      </c>
      <c r="E2113" s="16" t="s">
        <v>133</v>
      </c>
      <c r="F2113">
        <v>2030</v>
      </c>
      <c r="G2113" s="12">
        <v>21110</v>
      </c>
      <c r="H2113" s="13"/>
      <c r="I2113" s="13"/>
      <c r="J2113" s="13"/>
      <c r="K2113" s="13"/>
      <c r="L2113" s="13"/>
      <c r="M2113" s="13">
        <v>0.25</v>
      </c>
    </row>
    <row r="2114" spans="2:13" x14ac:dyDescent="0.25">
      <c r="B2114" s="14" t="s">
        <v>203</v>
      </c>
      <c r="C2114" s="14" t="s">
        <v>139</v>
      </c>
      <c r="D2114" t="s">
        <v>46</v>
      </c>
      <c r="E2114" s="16" t="s">
        <v>133</v>
      </c>
      <c r="F2114">
        <v>2027</v>
      </c>
      <c r="G2114" s="12">
        <v>730281</v>
      </c>
      <c r="H2114" s="13">
        <v>0.75549999999999995</v>
      </c>
      <c r="I2114" s="13">
        <v>0.72133333330000005</v>
      </c>
      <c r="J2114" s="13">
        <v>0.67216666670000003</v>
      </c>
      <c r="K2114" s="13"/>
      <c r="L2114" s="13">
        <v>7.0000000000000007E-2</v>
      </c>
      <c r="M2114" s="13">
        <v>0.25</v>
      </c>
    </row>
    <row r="2115" spans="2:13" x14ac:dyDescent="0.25">
      <c r="B2115" s="14" t="s">
        <v>203</v>
      </c>
      <c r="C2115" s="14" t="s">
        <v>139</v>
      </c>
      <c r="D2115" t="s">
        <v>46</v>
      </c>
      <c r="E2115" s="16" t="s">
        <v>133</v>
      </c>
      <c r="F2115">
        <v>2028</v>
      </c>
      <c r="G2115" s="12">
        <v>752190</v>
      </c>
      <c r="H2115" s="13">
        <v>0.91320000000000001</v>
      </c>
      <c r="I2115" s="13">
        <v>0.87219999999999998</v>
      </c>
      <c r="J2115" s="13">
        <v>0.81320000000000003</v>
      </c>
      <c r="K2115" s="13"/>
      <c r="L2115" s="13">
        <v>7.0000000000000007E-2</v>
      </c>
      <c r="M2115" s="13">
        <v>0.25</v>
      </c>
    </row>
    <row r="2116" spans="2:13" x14ac:dyDescent="0.25">
      <c r="B2116" s="14" t="s">
        <v>203</v>
      </c>
      <c r="C2116" s="14" t="s">
        <v>139</v>
      </c>
      <c r="D2116" t="s">
        <v>46</v>
      </c>
      <c r="E2116" s="16" t="s">
        <v>133</v>
      </c>
      <c r="F2116">
        <v>2029</v>
      </c>
      <c r="G2116" s="12">
        <v>774755</v>
      </c>
      <c r="H2116" s="13">
        <v>0.91979999999999995</v>
      </c>
      <c r="I2116" s="13">
        <v>0.87880000000000003</v>
      </c>
      <c r="J2116" s="13">
        <v>0.81979999999999997</v>
      </c>
      <c r="K2116" s="13"/>
      <c r="L2116" s="13">
        <v>7.0000000000000007E-2</v>
      </c>
      <c r="M2116" s="13">
        <v>0.25</v>
      </c>
    </row>
    <row r="2117" spans="2:13" x14ac:dyDescent="0.25">
      <c r="B2117" s="15" t="s">
        <v>203</v>
      </c>
      <c r="C2117" s="14" t="s">
        <v>139</v>
      </c>
      <c r="D2117" t="s">
        <v>46</v>
      </c>
      <c r="E2117" s="16" t="s">
        <v>133</v>
      </c>
      <c r="F2117">
        <v>2030</v>
      </c>
      <c r="G2117" s="12">
        <v>797998</v>
      </c>
      <c r="H2117" s="13">
        <v>0.9264</v>
      </c>
      <c r="I2117" s="13">
        <v>0.88539999999999996</v>
      </c>
      <c r="J2117" s="13">
        <v>0.82640000000000002</v>
      </c>
      <c r="K2117" s="13"/>
      <c r="L2117" s="13">
        <v>7.0000000000000007E-2</v>
      </c>
      <c r="M2117" s="13">
        <v>0.25</v>
      </c>
    </row>
    <row r="2118" spans="2:13" x14ac:dyDescent="0.25">
      <c r="B2118" s="14" t="s">
        <v>204</v>
      </c>
      <c r="C2118" s="14" t="s">
        <v>132</v>
      </c>
      <c r="D2118" t="s">
        <v>46</v>
      </c>
      <c r="E2118" s="16" t="s">
        <v>133</v>
      </c>
      <c r="F2118">
        <v>2026</v>
      </c>
      <c r="G2118" s="12">
        <v>8040</v>
      </c>
      <c r="H2118" s="13">
        <v>0.95</v>
      </c>
      <c r="I2118" s="13">
        <v>0.88849999999999996</v>
      </c>
      <c r="J2118" s="13">
        <v>0.8</v>
      </c>
      <c r="K2118" s="13">
        <v>0</v>
      </c>
      <c r="L2118" s="13">
        <v>7.0000000000000007E-2</v>
      </c>
      <c r="M2118" s="13">
        <v>0.25</v>
      </c>
    </row>
    <row r="2119" spans="2:13" x14ac:dyDescent="0.25">
      <c r="B2119" s="14" t="s">
        <v>204</v>
      </c>
      <c r="C2119" s="14" t="s">
        <v>132</v>
      </c>
      <c r="D2119" t="s">
        <v>46</v>
      </c>
      <c r="E2119" s="16" t="s">
        <v>133</v>
      </c>
      <c r="F2119">
        <v>2027</v>
      </c>
      <c r="G2119" s="12">
        <v>8080.2</v>
      </c>
      <c r="H2119" s="13">
        <v>0.39858333330000001</v>
      </c>
      <c r="I2119" s="13">
        <v>0.3729583333</v>
      </c>
      <c r="J2119" s="13">
        <v>0.33608333330000001</v>
      </c>
      <c r="K2119" s="13">
        <v>0</v>
      </c>
      <c r="L2119" s="13">
        <v>7.0000000000000007E-2</v>
      </c>
      <c r="M2119" s="13">
        <v>0.25</v>
      </c>
    </row>
    <row r="2120" spans="2:13" x14ac:dyDescent="0.25">
      <c r="B2120" s="14" t="s">
        <v>204</v>
      </c>
      <c r="C2120" s="14" t="s">
        <v>132</v>
      </c>
      <c r="D2120" t="s">
        <v>46</v>
      </c>
      <c r="E2120" s="16" t="s">
        <v>133</v>
      </c>
      <c r="F2120">
        <v>2028</v>
      </c>
      <c r="G2120" s="12">
        <v>8120.6009999999997</v>
      </c>
      <c r="H2120" s="13">
        <v>0</v>
      </c>
      <c r="I2120" s="13">
        <v>0</v>
      </c>
      <c r="J2120" s="13">
        <v>0</v>
      </c>
      <c r="K2120" s="13">
        <v>0</v>
      </c>
      <c r="L2120" s="13">
        <v>7.0000000000000007E-2</v>
      </c>
      <c r="M2120" s="13">
        <v>0.25</v>
      </c>
    </row>
    <row r="2121" spans="2:13" x14ac:dyDescent="0.25">
      <c r="B2121" s="14" t="s">
        <v>204</v>
      </c>
      <c r="C2121" s="14" t="s">
        <v>70</v>
      </c>
      <c r="D2121" t="s">
        <v>46</v>
      </c>
      <c r="E2121" s="16" t="s">
        <v>133</v>
      </c>
      <c r="F2121">
        <v>2026</v>
      </c>
      <c r="G2121" s="12">
        <v>8040</v>
      </c>
      <c r="H2121" s="13">
        <v>0.95</v>
      </c>
      <c r="I2121" s="13">
        <v>0.85</v>
      </c>
      <c r="J2121" s="13">
        <v>0</v>
      </c>
      <c r="K2121" s="13">
        <v>0</v>
      </c>
      <c r="L2121" s="13">
        <v>7.0000000000000007E-2</v>
      </c>
      <c r="M2121" s="13">
        <v>0.25</v>
      </c>
    </row>
    <row r="2122" spans="2:13" x14ac:dyDescent="0.25">
      <c r="B2122" s="14" t="s">
        <v>204</v>
      </c>
      <c r="C2122" s="14" t="s">
        <v>70</v>
      </c>
      <c r="D2122" t="s">
        <v>46</v>
      </c>
      <c r="E2122" s="16" t="s">
        <v>133</v>
      </c>
      <c r="F2122">
        <v>2027</v>
      </c>
      <c r="G2122" s="12">
        <v>8080.2</v>
      </c>
      <c r="H2122" s="13">
        <v>0.39858333330000001</v>
      </c>
      <c r="I2122" s="13">
        <v>0.3569166667</v>
      </c>
      <c r="J2122" s="13">
        <v>2.7499999999999998E-3</v>
      </c>
      <c r="K2122" s="13">
        <v>0</v>
      </c>
      <c r="L2122" s="13">
        <v>7.0000000000000007E-2</v>
      </c>
      <c r="M2122" s="13">
        <v>0.25</v>
      </c>
    </row>
    <row r="2123" spans="2:13" x14ac:dyDescent="0.25">
      <c r="B2123" s="14" t="s">
        <v>204</v>
      </c>
      <c r="C2123" s="14" t="s">
        <v>70</v>
      </c>
      <c r="D2123" t="s">
        <v>46</v>
      </c>
      <c r="E2123" s="16" t="s">
        <v>133</v>
      </c>
      <c r="F2123">
        <v>2028</v>
      </c>
      <c r="G2123" s="12">
        <v>8120.6009999999997</v>
      </c>
      <c r="H2123" s="13">
        <v>0</v>
      </c>
      <c r="I2123" s="13">
        <v>0</v>
      </c>
      <c r="J2123" s="13">
        <v>0</v>
      </c>
      <c r="K2123" s="13">
        <v>0</v>
      </c>
      <c r="L2123" s="13">
        <v>7.0000000000000007E-2</v>
      </c>
      <c r="M2123" s="13">
        <v>0.25</v>
      </c>
    </row>
    <row r="2124" spans="2:13" x14ac:dyDescent="0.25">
      <c r="B2124" s="14" t="s">
        <v>204</v>
      </c>
      <c r="C2124" s="14" t="s">
        <v>134</v>
      </c>
      <c r="D2124" t="s">
        <v>46</v>
      </c>
      <c r="E2124" s="16" t="s">
        <v>133</v>
      </c>
      <c r="F2124">
        <v>2026</v>
      </c>
      <c r="G2124" s="12">
        <v>8040</v>
      </c>
      <c r="H2124" s="13">
        <v>0</v>
      </c>
      <c r="I2124" s="13">
        <v>0</v>
      </c>
      <c r="J2124" s="13">
        <v>0</v>
      </c>
      <c r="K2124" s="13">
        <v>0</v>
      </c>
      <c r="L2124" s="13">
        <v>7.0000000000000007E-2</v>
      </c>
      <c r="M2124" s="13">
        <v>0.25</v>
      </c>
    </row>
    <row r="2125" spans="2:13" x14ac:dyDescent="0.25">
      <c r="B2125" s="14" t="s">
        <v>204</v>
      </c>
      <c r="C2125" s="14" t="s">
        <v>134</v>
      </c>
      <c r="D2125" t="s">
        <v>46</v>
      </c>
      <c r="E2125" s="16" t="s">
        <v>133</v>
      </c>
      <c r="F2125">
        <v>2027</v>
      </c>
      <c r="G2125" s="12">
        <v>8080.2</v>
      </c>
      <c r="H2125" s="13">
        <v>0.55801666670000005</v>
      </c>
      <c r="I2125" s="13">
        <v>0.52214166669999995</v>
      </c>
      <c r="J2125" s="13">
        <v>0.47051666669999997</v>
      </c>
      <c r="K2125" s="13">
        <v>0</v>
      </c>
      <c r="L2125" s="13">
        <v>7.0000000000000007E-2</v>
      </c>
      <c r="M2125" s="13">
        <v>0.25</v>
      </c>
    </row>
    <row r="2126" spans="2:13" x14ac:dyDescent="0.25">
      <c r="B2126" s="14" t="s">
        <v>204</v>
      </c>
      <c r="C2126" s="14" t="s">
        <v>134</v>
      </c>
      <c r="D2126" t="s">
        <v>46</v>
      </c>
      <c r="E2126" s="16" t="s">
        <v>133</v>
      </c>
      <c r="F2126">
        <v>2028</v>
      </c>
      <c r="G2126" s="12">
        <v>8120.6009999999997</v>
      </c>
      <c r="H2126" s="13">
        <v>0.96319999999999995</v>
      </c>
      <c r="I2126" s="13">
        <v>0.90169999999999995</v>
      </c>
      <c r="J2126" s="13">
        <v>0.81320000000000003</v>
      </c>
      <c r="K2126" s="13">
        <v>0</v>
      </c>
      <c r="L2126" s="13">
        <v>7.0000000000000007E-2</v>
      </c>
      <c r="M2126" s="13">
        <v>0.25</v>
      </c>
    </row>
    <row r="2127" spans="2:13" x14ac:dyDescent="0.25">
      <c r="B2127" s="14" t="s">
        <v>204</v>
      </c>
      <c r="C2127" s="14" t="s">
        <v>72</v>
      </c>
      <c r="D2127" t="s">
        <v>46</v>
      </c>
      <c r="E2127" s="16" t="s">
        <v>144</v>
      </c>
      <c r="F2127">
        <v>2027</v>
      </c>
      <c r="G2127" s="12">
        <v>8040</v>
      </c>
      <c r="H2127" s="13">
        <v>0.75549999999999995</v>
      </c>
      <c r="I2127" s="13">
        <v>0.60111111110000004</v>
      </c>
      <c r="J2127" s="13">
        <v>0.67216666670000003</v>
      </c>
      <c r="K2127" s="13"/>
      <c r="L2127" s="13">
        <v>7.0000000000000007E-2</v>
      </c>
      <c r="M2127" s="13"/>
    </row>
    <row r="2128" spans="2:13" x14ac:dyDescent="0.25">
      <c r="B2128" s="14" t="s">
        <v>204</v>
      </c>
      <c r="C2128" s="14" t="s">
        <v>72</v>
      </c>
      <c r="D2128" t="s">
        <v>46</v>
      </c>
      <c r="E2128" s="16" t="s">
        <v>144</v>
      </c>
      <c r="F2128">
        <v>2028</v>
      </c>
      <c r="G2128" s="12">
        <v>8040</v>
      </c>
      <c r="H2128" s="13">
        <v>0.91320000000000001</v>
      </c>
      <c r="I2128" s="13">
        <v>0.87219999999999998</v>
      </c>
      <c r="J2128" s="13">
        <v>0.81320000000000003</v>
      </c>
      <c r="K2128" s="13"/>
      <c r="L2128" s="13">
        <v>7.0000000000000007E-2</v>
      </c>
      <c r="M2128" s="13"/>
    </row>
    <row r="2129" spans="2:13" x14ac:dyDescent="0.25">
      <c r="B2129" s="14" t="s">
        <v>204</v>
      </c>
      <c r="C2129" s="14" t="s">
        <v>15</v>
      </c>
      <c r="D2129" t="s">
        <v>46</v>
      </c>
      <c r="E2129" s="16" t="s">
        <v>133</v>
      </c>
      <c r="F2129">
        <v>2028</v>
      </c>
      <c r="G2129" s="12">
        <v>4141</v>
      </c>
      <c r="H2129" s="13">
        <v>0</v>
      </c>
      <c r="I2129" s="13"/>
      <c r="J2129" s="13"/>
      <c r="K2129" s="13"/>
      <c r="L2129" s="13">
        <v>0.05</v>
      </c>
      <c r="M2129" s="13"/>
    </row>
    <row r="2130" spans="2:13" x14ac:dyDescent="0.25">
      <c r="B2130" s="14" t="s">
        <v>204</v>
      </c>
      <c r="C2130" s="14" t="s">
        <v>52</v>
      </c>
      <c r="D2130" t="s">
        <v>138</v>
      </c>
      <c r="E2130" s="16" t="s">
        <v>133</v>
      </c>
      <c r="F2130">
        <v>2026</v>
      </c>
      <c r="G2130" s="12">
        <v>8040</v>
      </c>
      <c r="H2130" s="13">
        <v>0.9</v>
      </c>
      <c r="I2130" s="13">
        <v>0.82799999999999996</v>
      </c>
      <c r="J2130" s="13"/>
      <c r="K2130" s="13"/>
      <c r="L2130" s="13"/>
      <c r="M2130" s="13"/>
    </row>
    <row r="2131" spans="2:13" x14ac:dyDescent="0.25">
      <c r="B2131" s="14" t="s">
        <v>204</v>
      </c>
      <c r="C2131" s="14" t="s">
        <v>52</v>
      </c>
      <c r="D2131" t="s">
        <v>138</v>
      </c>
      <c r="E2131" s="16" t="s">
        <v>133</v>
      </c>
      <c r="F2131">
        <v>2027</v>
      </c>
      <c r="G2131" s="12">
        <v>8281</v>
      </c>
      <c r="H2131" s="13">
        <v>0.91</v>
      </c>
      <c r="I2131" s="13">
        <v>0.79674299999999998</v>
      </c>
      <c r="J2131" s="13"/>
      <c r="K2131" s="13"/>
      <c r="L2131" s="13"/>
      <c r="M2131" s="13"/>
    </row>
    <row r="2132" spans="2:13" x14ac:dyDescent="0.25">
      <c r="B2132" s="14" t="s">
        <v>204</v>
      </c>
      <c r="C2132" s="14" t="s">
        <v>52</v>
      </c>
      <c r="D2132" t="s">
        <v>138</v>
      </c>
      <c r="E2132" s="16" t="s">
        <v>133</v>
      </c>
      <c r="F2132">
        <v>2028</v>
      </c>
      <c r="G2132" s="12">
        <v>8530</v>
      </c>
      <c r="H2132" s="13">
        <v>0.92</v>
      </c>
      <c r="I2132" s="13">
        <v>0.80357400000000001</v>
      </c>
      <c r="J2132" s="13"/>
      <c r="K2132" s="13"/>
      <c r="L2132" s="13"/>
      <c r="M2132" s="13"/>
    </row>
    <row r="2133" spans="2:13" x14ac:dyDescent="0.25">
      <c r="B2133" s="14" t="s">
        <v>204</v>
      </c>
      <c r="C2133" s="14" t="s">
        <v>139</v>
      </c>
      <c r="D2133" t="s">
        <v>46</v>
      </c>
      <c r="E2133" s="16" t="s">
        <v>144</v>
      </c>
      <c r="F2133">
        <v>2027</v>
      </c>
      <c r="G2133" s="12">
        <v>8040</v>
      </c>
      <c r="H2133" s="13">
        <v>0.75549999999999995</v>
      </c>
      <c r="I2133" s="13">
        <v>0.72133333330000005</v>
      </c>
      <c r="J2133" s="13">
        <v>0.67216666670000003</v>
      </c>
      <c r="K2133" s="13"/>
      <c r="L2133" s="13">
        <v>7.0000000000000007E-2</v>
      </c>
      <c r="M2133" s="13"/>
    </row>
    <row r="2134" spans="2:13" x14ac:dyDescent="0.25">
      <c r="B2134" s="15" t="s">
        <v>204</v>
      </c>
      <c r="C2134" s="14" t="s">
        <v>139</v>
      </c>
      <c r="D2134" t="s">
        <v>46</v>
      </c>
      <c r="E2134" s="16" t="s">
        <v>144</v>
      </c>
      <c r="F2134">
        <v>2028</v>
      </c>
      <c r="G2134" s="12">
        <v>8040</v>
      </c>
      <c r="H2134" s="13">
        <v>0.91320000000000001</v>
      </c>
      <c r="I2134" s="13">
        <v>0.87219999999999998</v>
      </c>
      <c r="J2134" s="13">
        <v>0.81320000000000003</v>
      </c>
      <c r="K2134" s="13"/>
      <c r="L2134" s="13">
        <v>7.0000000000000007E-2</v>
      </c>
      <c r="M2134" s="13"/>
    </row>
    <row r="2135" spans="2:13" x14ac:dyDescent="0.25">
      <c r="B2135" s="14" t="s">
        <v>205</v>
      </c>
      <c r="C2135" s="14" t="s">
        <v>132</v>
      </c>
      <c r="D2135" t="s">
        <v>46</v>
      </c>
      <c r="E2135" s="16" t="s">
        <v>144</v>
      </c>
      <c r="F2135">
        <v>2027</v>
      </c>
      <c r="G2135" s="12">
        <v>65762.6531430662</v>
      </c>
      <c r="H2135" s="13">
        <v>0</v>
      </c>
      <c r="I2135" s="13">
        <v>0</v>
      </c>
      <c r="J2135" s="13">
        <v>0</v>
      </c>
      <c r="K2135" s="13">
        <v>0</v>
      </c>
      <c r="L2135" s="13">
        <v>0.1</v>
      </c>
      <c r="M2135" s="13">
        <v>0.25</v>
      </c>
    </row>
    <row r="2136" spans="2:13" x14ac:dyDescent="0.25">
      <c r="B2136" s="14" t="s">
        <v>205</v>
      </c>
      <c r="C2136" s="14" t="s">
        <v>132</v>
      </c>
      <c r="D2136" t="s">
        <v>46</v>
      </c>
      <c r="E2136" s="16" t="s">
        <v>144</v>
      </c>
      <c r="F2136">
        <v>2028</v>
      </c>
      <c r="G2136" s="12">
        <v>66534.254591003701</v>
      </c>
      <c r="H2136" s="13">
        <v>0</v>
      </c>
      <c r="I2136" s="13">
        <v>0</v>
      </c>
      <c r="J2136" s="13">
        <v>0</v>
      </c>
      <c r="K2136" s="13">
        <v>0</v>
      </c>
      <c r="L2136" s="13">
        <v>0.1</v>
      </c>
      <c r="M2136" s="13">
        <v>0.25</v>
      </c>
    </row>
    <row r="2137" spans="2:13" x14ac:dyDescent="0.25">
      <c r="B2137" s="14" t="s">
        <v>205</v>
      </c>
      <c r="C2137" s="14" t="s">
        <v>132</v>
      </c>
      <c r="D2137" t="s">
        <v>46</v>
      </c>
      <c r="E2137" s="16" t="s">
        <v>133</v>
      </c>
      <c r="F2137">
        <v>2026</v>
      </c>
      <c r="G2137" s="12">
        <v>779828</v>
      </c>
      <c r="H2137" s="13">
        <v>0.9</v>
      </c>
      <c r="I2137" s="13">
        <v>0.83850000000000002</v>
      </c>
      <c r="J2137" s="13">
        <v>0.75</v>
      </c>
      <c r="K2137" s="13">
        <v>0</v>
      </c>
      <c r="L2137" s="13">
        <v>0.1</v>
      </c>
      <c r="M2137" s="13">
        <v>0.25</v>
      </c>
    </row>
    <row r="2138" spans="2:13" x14ac:dyDescent="0.25">
      <c r="B2138" s="14" t="s">
        <v>205</v>
      </c>
      <c r="C2138" s="14" t="s">
        <v>132</v>
      </c>
      <c r="D2138" t="s">
        <v>46</v>
      </c>
      <c r="E2138" s="16" t="s">
        <v>133</v>
      </c>
      <c r="F2138">
        <v>2027</v>
      </c>
      <c r="G2138" s="12">
        <v>784008.27280149399</v>
      </c>
      <c r="H2138" s="13">
        <v>0</v>
      </c>
      <c r="I2138" s="13">
        <v>0</v>
      </c>
      <c r="J2138" s="13">
        <v>0</v>
      </c>
      <c r="K2138" s="13">
        <v>0</v>
      </c>
      <c r="L2138" s="13">
        <v>0.1</v>
      </c>
      <c r="M2138" s="13">
        <v>0.25</v>
      </c>
    </row>
    <row r="2139" spans="2:13" x14ac:dyDescent="0.25">
      <c r="B2139" s="14" t="s">
        <v>205</v>
      </c>
      <c r="C2139" s="14" t="s">
        <v>132</v>
      </c>
      <c r="D2139" t="s">
        <v>46</v>
      </c>
      <c r="E2139" s="16" t="s">
        <v>133</v>
      </c>
      <c r="F2139">
        <v>2028</v>
      </c>
      <c r="G2139" s="12">
        <v>791694.31941087497</v>
      </c>
      <c r="H2139" s="13">
        <v>0</v>
      </c>
      <c r="I2139" s="13">
        <v>0</v>
      </c>
      <c r="J2139" s="13">
        <v>0</v>
      </c>
      <c r="K2139" s="13">
        <v>0</v>
      </c>
      <c r="L2139" s="13">
        <v>0.1</v>
      </c>
      <c r="M2139" s="13">
        <v>0.25</v>
      </c>
    </row>
    <row r="2140" spans="2:13" x14ac:dyDescent="0.25">
      <c r="B2140" s="14" t="s">
        <v>205</v>
      </c>
      <c r="C2140" s="14" t="s">
        <v>70</v>
      </c>
      <c r="D2140" t="s">
        <v>46</v>
      </c>
      <c r="E2140" s="16" t="s">
        <v>144</v>
      </c>
      <c r="F2140">
        <v>2027</v>
      </c>
      <c r="G2140" s="12">
        <v>65762.6531430662</v>
      </c>
      <c r="H2140" s="13">
        <v>0</v>
      </c>
      <c r="I2140" s="13">
        <v>0</v>
      </c>
      <c r="J2140" s="13">
        <v>0</v>
      </c>
      <c r="K2140" s="13">
        <v>0</v>
      </c>
      <c r="L2140" s="13">
        <v>0.12</v>
      </c>
      <c r="M2140" s="13">
        <v>0.25</v>
      </c>
    </row>
    <row r="2141" spans="2:13" x14ac:dyDescent="0.25">
      <c r="B2141" s="14" t="s">
        <v>205</v>
      </c>
      <c r="C2141" s="14" t="s">
        <v>70</v>
      </c>
      <c r="D2141" t="s">
        <v>46</v>
      </c>
      <c r="E2141" s="16" t="s">
        <v>144</v>
      </c>
      <c r="F2141">
        <v>2028</v>
      </c>
      <c r="G2141" s="12">
        <v>66534.254591003701</v>
      </c>
      <c r="H2141" s="13">
        <v>0</v>
      </c>
      <c r="I2141" s="13">
        <v>0</v>
      </c>
      <c r="J2141" s="13">
        <v>0</v>
      </c>
      <c r="K2141" s="13">
        <v>0</v>
      </c>
      <c r="L2141" s="13">
        <v>0.12</v>
      </c>
      <c r="M2141" s="13">
        <v>0.25</v>
      </c>
    </row>
    <row r="2142" spans="2:13" x14ac:dyDescent="0.25">
      <c r="B2142" s="14" t="s">
        <v>205</v>
      </c>
      <c r="C2142" s="14" t="s">
        <v>70</v>
      </c>
      <c r="D2142" t="s">
        <v>46</v>
      </c>
      <c r="E2142" s="16" t="s">
        <v>133</v>
      </c>
      <c r="F2142">
        <v>2026</v>
      </c>
      <c r="G2142" s="12">
        <v>779828</v>
      </c>
      <c r="H2142" s="13">
        <v>0.75</v>
      </c>
      <c r="I2142" s="13">
        <v>0.71</v>
      </c>
      <c r="J2142" s="13">
        <v>0</v>
      </c>
      <c r="K2142" s="13">
        <v>0</v>
      </c>
      <c r="L2142" s="13">
        <v>0.12</v>
      </c>
      <c r="M2142" s="13">
        <v>0.25</v>
      </c>
    </row>
    <row r="2143" spans="2:13" x14ac:dyDescent="0.25">
      <c r="B2143" s="14" t="s">
        <v>205</v>
      </c>
      <c r="C2143" s="14" t="s">
        <v>70</v>
      </c>
      <c r="D2143" t="s">
        <v>46</v>
      </c>
      <c r="E2143" s="16" t="s">
        <v>133</v>
      </c>
      <c r="F2143">
        <v>2027</v>
      </c>
      <c r="G2143" s="12">
        <v>784008.27280149399</v>
      </c>
      <c r="H2143" s="13">
        <v>0</v>
      </c>
      <c r="I2143" s="13">
        <v>0</v>
      </c>
      <c r="J2143" s="13">
        <v>0</v>
      </c>
      <c r="K2143" s="13">
        <v>0</v>
      </c>
      <c r="L2143" s="13">
        <v>0.12</v>
      </c>
      <c r="M2143" s="13">
        <v>0.25</v>
      </c>
    </row>
    <row r="2144" spans="2:13" x14ac:dyDescent="0.25">
      <c r="B2144" s="14" t="s">
        <v>205</v>
      </c>
      <c r="C2144" s="14" t="s">
        <v>70</v>
      </c>
      <c r="D2144" t="s">
        <v>46</v>
      </c>
      <c r="E2144" s="16" t="s">
        <v>133</v>
      </c>
      <c r="F2144">
        <v>2028</v>
      </c>
      <c r="G2144" s="12">
        <v>791694.31941087497</v>
      </c>
      <c r="H2144" s="13">
        <v>0</v>
      </c>
      <c r="I2144" s="13">
        <v>0</v>
      </c>
      <c r="J2144" s="13">
        <v>0</v>
      </c>
      <c r="K2144" s="13">
        <v>0</v>
      </c>
      <c r="L2144" s="13">
        <v>0.12</v>
      </c>
      <c r="M2144" s="13">
        <v>0.25</v>
      </c>
    </row>
    <row r="2145" spans="2:13" x14ac:dyDescent="0.25">
      <c r="B2145" s="14" t="s">
        <v>205</v>
      </c>
      <c r="C2145" s="14" t="s">
        <v>134</v>
      </c>
      <c r="D2145" t="s">
        <v>46</v>
      </c>
      <c r="E2145" s="16" t="s">
        <v>144</v>
      </c>
      <c r="F2145">
        <v>2027</v>
      </c>
      <c r="G2145" s="12">
        <v>65762.6531430662</v>
      </c>
      <c r="H2145" s="13">
        <v>0.84660000000000002</v>
      </c>
      <c r="I2145" s="13">
        <v>0.77690000000000003</v>
      </c>
      <c r="J2145" s="13">
        <v>0.67659999999999998</v>
      </c>
      <c r="K2145" s="13">
        <v>0</v>
      </c>
      <c r="L2145" s="13">
        <v>7.0000000000000007E-2</v>
      </c>
      <c r="M2145" s="13">
        <v>0.25</v>
      </c>
    </row>
    <row r="2146" spans="2:13" x14ac:dyDescent="0.25">
      <c r="B2146" s="14" t="s">
        <v>205</v>
      </c>
      <c r="C2146" s="14" t="s">
        <v>134</v>
      </c>
      <c r="D2146" t="s">
        <v>46</v>
      </c>
      <c r="E2146" s="16" t="s">
        <v>144</v>
      </c>
      <c r="F2146">
        <v>2028</v>
      </c>
      <c r="G2146" s="12">
        <v>66534.254591003701</v>
      </c>
      <c r="H2146" s="13">
        <v>0.85319999999999996</v>
      </c>
      <c r="I2146" s="13">
        <v>0.78349999999999997</v>
      </c>
      <c r="J2146" s="13">
        <v>0.68320000000000003</v>
      </c>
      <c r="K2146" s="13">
        <v>0</v>
      </c>
      <c r="L2146" s="13">
        <v>7.0000000000000007E-2</v>
      </c>
      <c r="M2146" s="13">
        <v>0.25</v>
      </c>
    </row>
    <row r="2147" spans="2:13" x14ac:dyDescent="0.25">
      <c r="B2147" s="14" t="s">
        <v>205</v>
      </c>
      <c r="C2147" s="14" t="s">
        <v>134</v>
      </c>
      <c r="D2147" t="s">
        <v>46</v>
      </c>
      <c r="E2147" s="16" t="s">
        <v>133</v>
      </c>
      <c r="F2147">
        <v>2026</v>
      </c>
      <c r="G2147" s="12">
        <v>779828</v>
      </c>
      <c r="H2147" s="13">
        <v>0</v>
      </c>
      <c r="I2147" s="13">
        <v>0</v>
      </c>
      <c r="J2147" s="13">
        <v>0</v>
      </c>
      <c r="K2147" s="13">
        <v>0</v>
      </c>
      <c r="L2147" s="13">
        <v>0.1</v>
      </c>
      <c r="M2147" s="13">
        <v>0.25</v>
      </c>
    </row>
    <row r="2148" spans="2:13" x14ac:dyDescent="0.25">
      <c r="B2148" s="14" t="s">
        <v>205</v>
      </c>
      <c r="C2148" s="14" t="s">
        <v>134</v>
      </c>
      <c r="D2148" t="s">
        <v>46</v>
      </c>
      <c r="E2148" s="16" t="s">
        <v>133</v>
      </c>
      <c r="F2148">
        <v>2027</v>
      </c>
      <c r="G2148" s="12">
        <v>784008.27280149399</v>
      </c>
      <c r="H2148" s="13">
        <v>0.90659999999999996</v>
      </c>
      <c r="I2148" s="13">
        <v>0.84509999999999996</v>
      </c>
      <c r="J2148" s="13">
        <v>0.75660000000000005</v>
      </c>
      <c r="K2148" s="13">
        <v>0</v>
      </c>
      <c r="L2148" s="13">
        <v>7.0000000000000007E-2</v>
      </c>
      <c r="M2148" s="13">
        <v>0.25</v>
      </c>
    </row>
    <row r="2149" spans="2:13" x14ac:dyDescent="0.25">
      <c r="B2149" s="14" t="s">
        <v>205</v>
      </c>
      <c r="C2149" s="14" t="s">
        <v>134</v>
      </c>
      <c r="D2149" t="s">
        <v>46</v>
      </c>
      <c r="E2149" s="16" t="s">
        <v>133</v>
      </c>
      <c r="F2149">
        <v>2028</v>
      </c>
      <c r="G2149" s="12">
        <v>791694.31941087497</v>
      </c>
      <c r="H2149" s="13">
        <v>0.91320000000000001</v>
      </c>
      <c r="I2149" s="13">
        <v>0.85170000000000001</v>
      </c>
      <c r="J2149" s="13">
        <v>0.76319999999999999</v>
      </c>
      <c r="K2149" s="13">
        <v>0</v>
      </c>
      <c r="L2149" s="13">
        <v>7.0000000000000007E-2</v>
      </c>
      <c r="M2149" s="13">
        <v>0.25</v>
      </c>
    </row>
    <row r="2150" spans="2:13" x14ac:dyDescent="0.25">
      <c r="B2150" s="14" t="s">
        <v>205</v>
      </c>
      <c r="C2150" s="14" t="s">
        <v>134</v>
      </c>
      <c r="D2150" t="s">
        <v>46</v>
      </c>
      <c r="E2150" s="16" t="s">
        <v>133</v>
      </c>
      <c r="F2150">
        <v>2029</v>
      </c>
      <c r="G2150" s="12">
        <v>802835.70999684697</v>
      </c>
      <c r="H2150" s="13">
        <v>0.91979999999999995</v>
      </c>
      <c r="I2150" s="13">
        <v>0.85829999999999995</v>
      </c>
      <c r="J2150" s="13">
        <v>0.76980000000000004</v>
      </c>
      <c r="K2150" s="13">
        <v>0</v>
      </c>
      <c r="L2150" s="13">
        <v>7.0000000000000007E-2</v>
      </c>
      <c r="M2150" s="13">
        <v>0.25</v>
      </c>
    </row>
    <row r="2151" spans="2:13" x14ac:dyDescent="0.25">
      <c r="B2151" s="14" t="s">
        <v>205</v>
      </c>
      <c r="C2151" s="14" t="s">
        <v>134</v>
      </c>
      <c r="D2151" t="s">
        <v>46</v>
      </c>
      <c r="E2151" s="16" t="s">
        <v>133</v>
      </c>
      <c r="F2151">
        <v>2030</v>
      </c>
      <c r="G2151" s="12">
        <v>811453.80795253406</v>
      </c>
      <c r="H2151" s="13">
        <v>0.9264</v>
      </c>
      <c r="I2151" s="13">
        <v>0.8649</v>
      </c>
      <c r="J2151" s="13">
        <v>0.77639999999999998</v>
      </c>
      <c r="K2151" s="13">
        <v>0</v>
      </c>
      <c r="L2151" s="13">
        <v>7.0000000000000007E-2</v>
      </c>
      <c r="M2151" s="13">
        <v>0.25</v>
      </c>
    </row>
    <row r="2152" spans="2:13" x14ac:dyDescent="0.25">
      <c r="B2152" s="14" t="s">
        <v>205</v>
      </c>
      <c r="C2152" s="14" t="s">
        <v>72</v>
      </c>
      <c r="D2152" t="s">
        <v>46</v>
      </c>
      <c r="E2152" s="16" t="s">
        <v>144</v>
      </c>
      <c r="F2152">
        <v>2027</v>
      </c>
      <c r="G2152" s="12">
        <v>65325</v>
      </c>
      <c r="H2152" s="13">
        <v>0.84660000000000002</v>
      </c>
      <c r="I2152" s="13">
        <v>0.77690000000000003</v>
      </c>
      <c r="J2152" s="13">
        <v>0.67659999999999998</v>
      </c>
      <c r="K2152" s="13"/>
      <c r="L2152" s="13">
        <v>7.0000000000000007E-2</v>
      </c>
      <c r="M2152" s="13">
        <v>0.25</v>
      </c>
    </row>
    <row r="2153" spans="2:13" x14ac:dyDescent="0.25">
      <c r="B2153" s="14" t="s">
        <v>205</v>
      </c>
      <c r="C2153" s="14" t="s">
        <v>72</v>
      </c>
      <c r="D2153" t="s">
        <v>46</v>
      </c>
      <c r="E2153" s="16" t="s">
        <v>144</v>
      </c>
      <c r="F2153">
        <v>2028</v>
      </c>
      <c r="G2153" s="12">
        <v>65651.625</v>
      </c>
      <c r="H2153" s="13">
        <v>0.85319999999999996</v>
      </c>
      <c r="I2153" s="13">
        <v>0.78349999999999997</v>
      </c>
      <c r="J2153" s="13">
        <v>0.68320000000000003</v>
      </c>
      <c r="K2153" s="13"/>
      <c r="L2153" s="13">
        <v>7.0000000000000007E-2</v>
      </c>
      <c r="M2153" s="13">
        <v>0.25</v>
      </c>
    </row>
    <row r="2154" spans="2:13" x14ac:dyDescent="0.25">
      <c r="B2154" s="14" t="s">
        <v>205</v>
      </c>
      <c r="C2154" s="14" t="s">
        <v>72</v>
      </c>
      <c r="D2154" t="s">
        <v>46</v>
      </c>
      <c r="E2154" s="16" t="s">
        <v>133</v>
      </c>
      <c r="F2154">
        <v>2026</v>
      </c>
      <c r="G2154" s="12">
        <v>914250</v>
      </c>
      <c r="H2154" s="13">
        <v>0.84</v>
      </c>
      <c r="I2154" s="13">
        <v>0.72</v>
      </c>
      <c r="J2154" s="13">
        <v>0.67</v>
      </c>
      <c r="K2154" s="13"/>
      <c r="L2154" s="13">
        <v>0.1</v>
      </c>
      <c r="M2154" s="13">
        <v>0.25</v>
      </c>
    </row>
    <row r="2155" spans="2:13" x14ac:dyDescent="0.25">
      <c r="B2155" s="14" t="s">
        <v>205</v>
      </c>
      <c r="C2155" s="14" t="s">
        <v>72</v>
      </c>
      <c r="D2155" t="s">
        <v>46</v>
      </c>
      <c r="E2155" s="16" t="s">
        <v>133</v>
      </c>
      <c r="F2155">
        <v>2027</v>
      </c>
      <c r="G2155" s="12">
        <v>947164</v>
      </c>
      <c r="H2155" s="13">
        <v>0.84</v>
      </c>
      <c r="I2155" s="13">
        <v>0.72</v>
      </c>
      <c r="J2155" s="13">
        <v>0.67</v>
      </c>
      <c r="K2155" s="13"/>
      <c r="L2155" s="13">
        <v>0.1</v>
      </c>
      <c r="M2155" s="13">
        <v>0.25</v>
      </c>
    </row>
    <row r="2156" spans="2:13" x14ac:dyDescent="0.25">
      <c r="B2156" s="14" t="s">
        <v>205</v>
      </c>
      <c r="C2156" s="14" t="s">
        <v>72</v>
      </c>
      <c r="D2156" t="s">
        <v>46</v>
      </c>
      <c r="E2156" s="16" t="s">
        <v>133</v>
      </c>
      <c r="F2156">
        <v>2028</v>
      </c>
      <c r="G2156" s="12">
        <v>928161.76326240203</v>
      </c>
      <c r="H2156" s="13">
        <v>0.85319999999999996</v>
      </c>
      <c r="I2156" s="13">
        <v>0.78349999999999997</v>
      </c>
      <c r="J2156" s="13">
        <v>0.68320000000000003</v>
      </c>
      <c r="K2156" s="13"/>
      <c r="L2156" s="13">
        <v>7.0000000000000007E-2</v>
      </c>
      <c r="M2156" s="13">
        <v>0.25</v>
      </c>
    </row>
    <row r="2157" spans="2:13" x14ac:dyDescent="0.25">
      <c r="B2157" s="14" t="s">
        <v>205</v>
      </c>
      <c r="C2157" s="14" t="s">
        <v>72</v>
      </c>
      <c r="D2157" t="s">
        <v>46</v>
      </c>
      <c r="E2157" s="16" t="s">
        <v>133</v>
      </c>
      <c r="F2157">
        <v>2029</v>
      </c>
      <c r="G2157" s="12">
        <v>941223.63888526405</v>
      </c>
      <c r="H2157" s="13">
        <v>0.85980000000000001</v>
      </c>
      <c r="I2157" s="13">
        <v>0.79010000000000002</v>
      </c>
      <c r="J2157" s="13">
        <v>0.68979999999999997</v>
      </c>
      <c r="K2157" s="13"/>
      <c r="L2157" s="13">
        <v>7.0000000000000007E-2</v>
      </c>
      <c r="M2157" s="13">
        <v>0.25</v>
      </c>
    </row>
    <row r="2158" spans="2:13" x14ac:dyDescent="0.25">
      <c r="B2158" s="14" t="s">
        <v>205</v>
      </c>
      <c r="C2158" s="14" t="s">
        <v>72</v>
      </c>
      <c r="D2158" t="s">
        <v>46</v>
      </c>
      <c r="E2158" s="16" t="s">
        <v>133</v>
      </c>
      <c r="F2158">
        <v>2030</v>
      </c>
      <c r="G2158" s="12">
        <v>951327.27206589596</v>
      </c>
      <c r="H2158" s="13">
        <v>0.86639999999999995</v>
      </c>
      <c r="I2158" s="13">
        <v>0.79669999999999996</v>
      </c>
      <c r="J2158" s="13">
        <v>0.69640000000000002</v>
      </c>
      <c r="K2158" s="13"/>
      <c r="L2158" s="13">
        <v>7.0000000000000007E-2</v>
      </c>
      <c r="M2158" s="13">
        <v>0.25</v>
      </c>
    </row>
    <row r="2159" spans="2:13" x14ac:dyDescent="0.25">
      <c r="B2159" s="14" t="s">
        <v>205</v>
      </c>
      <c r="C2159" s="14" t="s">
        <v>102</v>
      </c>
      <c r="D2159" t="s">
        <v>46</v>
      </c>
      <c r="E2159" s="16" t="s">
        <v>133</v>
      </c>
      <c r="F2159">
        <v>2027</v>
      </c>
      <c r="G2159" s="12">
        <v>784008.27280149399</v>
      </c>
      <c r="H2159" s="13">
        <v>0.36724664099999998</v>
      </c>
      <c r="I2159" s="13"/>
      <c r="J2159" s="13"/>
      <c r="K2159" s="13"/>
      <c r="L2159" s="13">
        <v>7.0000000000000007E-2</v>
      </c>
      <c r="M2159" s="13">
        <v>0.25</v>
      </c>
    </row>
    <row r="2160" spans="2:13" x14ac:dyDescent="0.25">
      <c r="B2160" s="14" t="s">
        <v>205</v>
      </c>
      <c r="C2160" s="14" t="s">
        <v>102</v>
      </c>
      <c r="D2160" t="s">
        <v>46</v>
      </c>
      <c r="E2160" s="16" t="s">
        <v>133</v>
      </c>
      <c r="F2160">
        <v>2028</v>
      </c>
      <c r="G2160" s="12">
        <v>791694.31941087497</v>
      </c>
      <c r="H2160" s="13">
        <v>0.44729596919999998</v>
      </c>
      <c r="I2160" s="13"/>
      <c r="J2160" s="13"/>
      <c r="K2160" s="13"/>
      <c r="L2160" s="13">
        <v>7.0000000000000007E-2</v>
      </c>
      <c r="M2160" s="13">
        <v>0.25</v>
      </c>
    </row>
    <row r="2161" spans="2:13" x14ac:dyDescent="0.25">
      <c r="B2161" s="14" t="s">
        <v>205</v>
      </c>
      <c r="C2161" s="14" t="s">
        <v>102</v>
      </c>
      <c r="D2161" t="s">
        <v>46</v>
      </c>
      <c r="E2161" s="16" t="s">
        <v>133</v>
      </c>
      <c r="F2161">
        <v>2029</v>
      </c>
      <c r="G2161" s="12">
        <v>802835.70999684697</v>
      </c>
      <c r="H2161" s="13">
        <v>0.45389596920000003</v>
      </c>
      <c r="I2161" s="13"/>
      <c r="J2161" s="13"/>
      <c r="K2161" s="13"/>
      <c r="L2161" s="13">
        <v>7.0000000000000007E-2</v>
      </c>
      <c r="M2161" s="13">
        <v>0.25</v>
      </c>
    </row>
    <row r="2162" spans="2:13" x14ac:dyDescent="0.25">
      <c r="B2162" s="14" t="s">
        <v>205</v>
      </c>
      <c r="C2162" s="14" t="s">
        <v>102</v>
      </c>
      <c r="D2162" t="s">
        <v>46</v>
      </c>
      <c r="E2162" s="16" t="s">
        <v>133</v>
      </c>
      <c r="F2162">
        <v>2030</v>
      </c>
      <c r="G2162" s="12">
        <v>811453.80795253406</v>
      </c>
      <c r="H2162" s="13">
        <v>0.46049596920000002</v>
      </c>
      <c r="I2162" s="13"/>
      <c r="J2162" s="13"/>
      <c r="K2162" s="13"/>
      <c r="L2162" s="13">
        <v>7.0000000000000007E-2</v>
      </c>
      <c r="M2162" s="13">
        <v>0.25</v>
      </c>
    </row>
    <row r="2163" spans="2:13" x14ac:dyDescent="0.25">
      <c r="B2163" s="14" t="s">
        <v>205</v>
      </c>
      <c r="C2163" s="14" t="s">
        <v>15</v>
      </c>
      <c r="D2163" t="s">
        <v>136</v>
      </c>
      <c r="E2163" s="16" t="s">
        <v>133</v>
      </c>
      <c r="F2163">
        <v>2026</v>
      </c>
      <c r="G2163" s="12">
        <v>0</v>
      </c>
      <c r="H2163" s="13">
        <v>0</v>
      </c>
      <c r="I2163" s="13"/>
      <c r="J2163" s="13"/>
      <c r="K2163" s="13"/>
      <c r="L2163" s="13">
        <v>0.01</v>
      </c>
      <c r="M2163" s="13">
        <v>0.25</v>
      </c>
    </row>
    <row r="2164" spans="2:13" x14ac:dyDescent="0.25">
      <c r="B2164" s="14" t="s">
        <v>205</v>
      </c>
      <c r="C2164" s="14" t="s">
        <v>15</v>
      </c>
      <c r="D2164" t="s">
        <v>136</v>
      </c>
      <c r="E2164" s="16" t="s">
        <v>133</v>
      </c>
      <c r="F2164">
        <v>2027</v>
      </c>
      <c r="G2164" s="12">
        <v>1397259.5</v>
      </c>
      <c r="H2164" s="13">
        <v>0.8</v>
      </c>
      <c r="I2164" s="13"/>
      <c r="J2164" s="13"/>
      <c r="K2164" s="13"/>
      <c r="L2164" s="13">
        <v>0.05</v>
      </c>
      <c r="M2164" s="13">
        <v>0.25</v>
      </c>
    </row>
    <row r="2165" spans="2:13" x14ac:dyDescent="0.25">
      <c r="B2165" s="14" t="s">
        <v>205</v>
      </c>
      <c r="C2165" s="14" t="s">
        <v>15</v>
      </c>
      <c r="D2165" t="s">
        <v>136</v>
      </c>
      <c r="E2165" s="16" t="s">
        <v>133</v>
      </c>
      <c r="F2165">
        <v>2028</v>
      </c>
      <c r="G2165" s="12">
        <v>0</v>
      </c>
      <c r="H2165" s="13">
        <v>0</v>
      </c>
      <c r="I2165" s="13"/>
      <c r="J2165" s="13"/>
      <c r="K2165" s="13"/>
      <c r="L2165" s="13">
        <v>0.05</v>
      </c>
      <c r="M2165" s="13">
        <v>0.25</v>
      </c>
    </row>
    <row r="2166" spans="2:13" x14ac:dyDescent="0.25">
      <c r="B2166" s="14" t="s">
        <v>205</v>
      </c>
      <c r="C2166" s="14" t="s">
        <v>15</v>
      </c>
      <c r="D2166" t="s">
        <v>46</v>
      </c>
      <c r="E2166" s="16" t="s">
        <v>133</v>
      </c>
      <c r="F2166">
        <v>2026</v>
      </c>
      <c r="G2166" s="12">
        <v>323553</v>
      </c>
      <c r="H2166" s="13">
        <v>0</v>
      </c>
      <c r="I2166" s="13"/>
      <c r="J2166" s="13"/>
      <c r="K2166" s="13"/>
      <c r="L2166" s="13">
        <v>0.01</v>
      </c>
      <c r="M2166" s="13">
        <v>0.25</v>
      </c>
    </row>
    <row r="2167" spans="2:13" x14ac:dyDescent="0.25">
      <c r="B2167" s="14" t="s">
        <v>205</v>
      </c>
      <c r="C2167" s="14" t="s">
        <v>15</v>
      </c>
      <c r="D2167" t="s">
        <v>46</v>
      </c>
      <c r="E2167" s="16" t="s">
        <v>133</v>
      </c>
      <c r="F2167">
        <v>2027</v>
      </c>
      <c r="G2167" s="12">
        <v>331704</v>
      </c>
      <c r="H2167" s="13">
        <v>0.45224632930000003</v>
      </c>
      <c r="I2167" s="13"/>
      <c r="J2167" s="13"/>
      <c r="K2167" s="13"/>
      <c r="L2167" s="13">
        <v>0.01</v>
      </c>
      <c r="M2167" s="13">
        <v>0.25</v>
      </c>
    </row>
    <row r="2168" spans="2:13" x14ac:dyDescent="0.25">
      <c r="B2168" s="14" t="s">
        <v>205</v>
      </c>
      <c r="C2168" s="14" t="s">
        <v>15</v>
      </c>
      <c r="D2168" t="s">
        <v>46</v>
      </c>
      <c r="E2168" s="16" t="s">
        <v>133</v>
      </c>
      <c r="F2168">
        <v>2028</v>
      </c>
      <c r="G2168" s="12">
        <v>342061</v>
      </c>
      <c r="H2168" s="13">
        <v>0.45224632930000003</v>
      </c>
      <c r="I2168" s="13"/>
      <c r="J2168" s="13"/>
      <c r="K2168" s="13"/>
      <c r="L2168" s="13">
        <v>0.01</v>
      </c>
      <c r="M2168" s="13">
        <v>0.25</v>
      </c>
    </row>
    <row r="2169" spans="2:13" x14ac:dyDescent="0.25">
      <c r="B2169" s="14" t="s">
        <v>205</v>
      </c>
      <c r="C2169" s="14" t="s">
        <v>15</v>
      </c>
      <c r="D2169" t="s">
        <v>46</v>
      </c>
      <c r="E2169" s="16" t="s">
        <v>133</v>
      </c>
      <c r="F2169">
        <v>2029</v>
      </c>
      <c r="G2169" s="12">
        <v>352272</v>
      </c>
      <c r="H2169" s="13">
        <v>0.45224632930000003</v>
      </c>
      <c r="I2169" s="13"/>
      <c r="J2169" s="13"/>
      <c r="K2169" s="13"/>
      <c r="L2169" s="13">
        <v>0.01</v>
      </c>
      <c r="M2169" s="13">
        <v>0.25</v>
      </c>
    </row>
    <row r="2170" spans="2:13" x14ac:dyDescent="0.25">
      <c r="B2170" s="14" t="s">
        <v>205</v>
      </c>
      <c r="C2170" s="14" t="s">
        <v>15</v>
      </c>
      <c r="D2170" t="s">
        <v>46</v>
      </c>
      <c r="E2170" s="16" t="s">
        <v>133</v>
      </c>
      <c r="F2170">
        <v>2030</v>
      </c>
      <c r="G2170" s="12">
        <v>361571</v>
      </c>
      <c r="H2170" s="13">
        <v>0.45224632930000003</v>
      </c>
      <c r="I2170" s="13"/>
      <c r="J2170" s="13"/>
      <c r="K2170" s="13"/>
      <c r="L2170" s="13">
        <v>0.01</v>
      </c>
      <c r="M2170" s="13">
        <v>0.25</v>
      </c>
    </row>
    <row r="2171" spans="2:13" x14ac:dyDescent="0.25">
      <c r="B2171" s="14" t="s">
        <v>205</v>
      </c>
      <c r="C2171" s="14" t="s">
        <v>145</v>
      </c>
      <c r="D2171" t="s">
        <v>46</v>
      </c>
      <c r="E2171" s="16" t="s">
        <v>133</v>
      </c>
      <c r="F2171">
        <v>2026</v>
      </c>
      <c r="G2171" s="12">
        <v>173615.57745000001</v>
      </c>
      <c r="H2171" s="13">
        <v>0.9</v>
      </c>
      <c r="I2171" s="13">
        <v>0.83899999999999997</v>
      </c>
      <c r="J2171" s="13">
        <v>0.75</v>
      </c>
      <c r="K2171" s="13">
        <v>0.48499999999999999</v>
      </c>
      <c r="L2171" s="13"/>
      <c r="M2171" s="13">
        <v>0.25</v>
      </c>
    </row>
    <row r="2172" spans="2:13" x14ac:dyDescent="0.25">
      <c r="B2172" s="14" t="s">
        <v>205</v>
      </c>
      <c r="C2172" s="14" t="s">
        <v>145</v>
      </c>
      <c r="D2172" t="s">
        <v>46</v>
      </c>
      <c r="E2172" s="16" t="s">
        <v>133</v>
      </c>
      <c r="F2172">
        <v>2027</v>
      </c>
      <c r="G2172" s="12">
        <v>256181.686201787</v>
      </c>
      <c r="H2172" s="13">
        <v>0.9</v>
      </c>
      <c r="I2172" s="13">
        <v>0.83899999999999997</v>
      </c>
      <c r="J2172" s="13">
        <v>0.75</v>
      </c>
      <c r="K2172" s="13">
        <v>0.6</v>
      </c>
      <c r="L2172" s="13"/>
      <c r="M2172" s="13">
        <v>0.25</v>
      </c>
    </row>
    <row r="2173" spans="2:13" x14ac:dyDescent="0.25">
      <c r="B2173" s="14" t="s">
        <v>205</v>
      </c>
      <c r="C2173" s="14" t="s">
        <v>145</v>
      </c>
      <c r="D2173" t="s">
        <v>46</v>
      </c>
      <c r="E2173" s="16" t="s">
        <v>133</v>
      </c>
      <c r="F2173">
        <v>2028</v>
      </c>
      <c r="G2173" s="12">
        <v>260024.411494814</v>
      </c>
      <c r="H2173" s="13">
        <v>0.9</v>
      </c>
      <c r="I2173" s="13">
        <v>0.83899999999999997</v>
      </c>
      <c r="J2173" s="13">
        <v>0.75</v>
      </c>
      <c r="K2173" s="13">
        <v>0.6</v>
      </c>
      <c r="L2173" s="13"/>
      <c r="M2173" s="13">
        <v>0.25</v>
      </c>
    </row>
    <row r="2174" spans="2:13" x14ac:dyDescent="0.25">
      <c r="B2174" s="14" t="s">
        <v>205</v>
      </c>
      <c r="C2174" s="14" t="s">
        <v>145</v>
      </c>
      <c r="D2174" t="s">
        <v>46</v>
      </c>
      <c r="E2174" s="16" t="s">
        <v>133</v>
      </c>
      <c r="F2174">
        <v>2029</v>
      </c>
      <c r="G2174" s="12">
        <v>263924.77766723599</v>
      </c>
      <c r="H2174" s="13">
        <v>0.68500000000000005</v>
      </c>
      <c r="I2174" s="13">
        <v>0.56277777780000005</v>
      </c>
      <c r="J2174" s="13">
        <v>0.65500000000000003</v>
      </c>
      <c r="K2174" s="13">
        <v>0.5</v>
      </c>
      <c r="L2174" s="13"/>
      <c r="M2174" s="13">
        <v>0.25</v>
      </c>
    </row>
    <row r="2175" spans="2:13" x14ac:dyDescent="0.25">
      <c r="B2175" s="14" t="s">
        <v>205</v>
      </c>
      <c r="C2175" s="14" t="s">
        <v>145</v>
      </c>
      <c r="D2175" t="s">
        <v>46</v>
      </c>
      <c r="E2175" s="16" t="s">
        <v>133</v>
      </c>
      <c r="F2175">
        <v>2030</v>
      </c>
      <c r="G2175" s="12">
        <v>267883.649332245</v>
      </c>
      <c r="H2175" s="13">
        <v>0.69</v>
      </c>
      <c r="I2175" s="13">
        <v>0.56777777780000005</v>
      </c>
      <c r="J2175" s="13">
        <v>0.66</v>
      </c>
      <c r="K2175" s="13">
        <v>0.505</v>
      </c>
      <c r="L2175" s="13"/>
      <c r="M2175" s="13">
        <v>0.25</v>
      </c>
    </row>
    <row r="2176" spans="2:13" x14ac:dyDescent="0.25">
      <c r="B2176" s="14" t="s">
        <v>205</v>
      </c>
      <c r="C2176" s="14" t="s">
        <v>121</v>
      </c>
      <c r="D2176" t="s">
        <v>138</v>
      </c>
      <c r="E2176" s="16" t="s">
        <v>144</v>
      </c>
      <c r="F2176">
        <v>2027</v>
      </c>
      <c r="G2176" s="12">
        <v>65000</v>
      </c>
      <c r="H2176" s="13">
        <v>1</v>
      </c>
      <c r="I2176" s="13">
        <v>0.49659300000000001</v>
      </c>
      <c r="J2176" s="13"/>
      <c r="K2176" s="13"/>
      <c r="L2176" s="13"/>
      <c r="M2176" s="13"/>
    </row>
    <row r="2177" spans="2:13" x14ac:dyDescent="0.25">
      <c r="B2177" s="14" t="s">
        <v>205</v>
      </c>
      <c r="C2177" s="14" t="s">
        <v>121</v>
      </c>
      <c r="D2177" t="s">
        <v>138</v>
      </c>
      <c r="E2177" s="16" t="s">
        <v>144</v>
      </c>
      <c r="F2177">
        <v>2028</v>
      </c>
      <c r="G2177" s="12">
        <v>65000</v>
      </c>
      <c r="H2177" s="13">
        <v>1</v>
      </c>
      <c r="I2177" s="13">
        <v>0.50342399999999998</v>
      </c>
      <c r="J2177" s="13"/>
      <c r="K2177" s="13"/>
      <c r="L2177" s="13"/>
      <c r="M2177" s="13"/>
    </row>
    <row r="2178" spans="2:13" x14ac:dyDescent="0.25">
      <c r="B2178" s="14" t="s">
        <v>205</v>
      </c>
      <c r="C2178" s="14" t="s">
        <v>121</v>
      </c>
      <c r="D2178" t="s">
        <v>138</v>
      </c>
      <c r="E2178" s="16" t="s">
        <v>133</v>
      </c>
      <c r="F2178">
        <v>2026</v>
      </c>
      <c r="G2178" s="12">
        <v>779828</v>
      </c>
      <c r="H2178" s="13">
        <v>0.71</v>
      </c>
      <c r="I2178" s="13">
        <v>0.621</v>
      </c>
      <c r="J2178" s="13"/>
      <c r="K2178" s="13"/>
      <c r="L2178" s="13"/>
      <c r="M2178" s="13"/>
    </row>
    <row r="2179" spans="2:13" x14ac:dyDescent="0.25">
      <c r="B2179" s="14" t="s">
        <v>205</v>
      </c>
      <c r="C2179" s="14" t="s">
        <v>121</v>
      </c>
      <c r="D2179" t="s">
        <v>138</v>
      </c>
      <c r="E2179" s="16" t="s">
        <v>133</v>
      </c>
      <c r="F2179">
        <v>2027</v>
      </c>
      <c r="G2179" s="12">
        <v>795333</v>
      </c>
      <c r="H2179" s="13">
        <v>0.73</v>
      </c>
      <c r="I2179" s="13">
        <v>0.49659300000000001</v>
      </c>
      <c r="J2179" s="13"/>
      <c r="K2179" s="13"/>
      <c r="L2179" s="13"/>
      <c r="M2179" s="13"/>
    </row>
    <row r="2180" spans="2:13" x14ac:dyDescent="0.25">
      <c r="B2180" s="14" t="s">
        <v>205</v>
      </c>
      <c r="C2180" s="14" t="s">
        <v>121</v>
      </c>
      <c r="D2180" t="s">
        <v>138</v>
      </c>
      <c r="E2180" s="16" t="s">
        <v>133</v>
      </c>
      <c r="F2180">
        <v>2028</v>
      </c>
      <c r="G2180" s="12">
        <v>803130</v>
      </c>
      <c r="H2180" s="13">
        <v>0.73</v>
      </c>
      <c r="I2180" s="13">
        <v>0.50342399999999998</v>
      </c>
      <c r="J2180" s="13"/>
      <c r="K2180" s="13"/>
      <c r="L2180" s="13"/>
      <c r="M2180" s="13"/>
    </row>
    <row r="2181" spans="2:13" x14ac:dyDescent="0.25">
      <c r="B2181" s="14" t="s">
        <v>205</v>
      </c>
      <c r="C2181" s="14" t="s">
        <v>38</v>
      </c>
      <c r="D2181" t="s">
        <v>46</v>
      </c>
      <c r="E2181" s="16" t="s">
        <v>133</v>
      </c>
      <c r="F2181">
        <v>2026</v>
      </c>
      <c r="G2181" s="12">
        <v>779828</v>
      </c>
      <c r="H2181" s="13">
        <v>0.71</v>
      </c>
      <c r="I2181" s="13"/>
      <c r="J2181" s="13"/>
      <c r="K2181" s="13"/>
      <c r="L2181" s="13">
        <v>0.2</v>
      </c>
      <c r="M2181" s="13">
        <v>0.25</v>
      </c>
    </row>
    <row r="2182" spans="2:13" x14ac:dyDescent="0.25">
      <c r="B2182" s="14" t="s">
        <v>205</v>
      </c>
      <c r="C2182" s="14" t="s">
        <v>40</v>
      </c>
      <c r="D2182" t="s">
        <v>151</v>
      </c>
      <c r="E2182" s="16" t="s">
        <v>133</v>
      </c>
      <c r="F2182">
        <v>2027</v>
      </c>
      <c r="G2182" s="12">
        <v>4793128.0925000003</v>
      </c>
      <c r="H2182" s="13">
        <v>1</v>
      </c>
      <c r="I2182" s="13"/>
      <c r="J2182" s="13"/>
      <c r="K2182" s="13"/>
      <c r="L2182" s="13">
        <v>0.1</v>
      </c>
      <c r="M2182" s="13">
        <v>0.25</v>
      </c>
    </row>
    <row r="2183" spans="2:13" x14ac:dyDescent="0.25">
      <c r="B2183" s="14" t="s">
        <v>205</v>
      </c>
      <c r="C2183" s="14" t="s">
        <v>40</v>
      </c>
      <c r="D2183" t="s">
        <v>151</v>
      </c>
      <c r="E2183" s="16" t="s">
        <v>133</v>
      </c>
      <c r="F2183">
        <v>2028</v>
      </c>
      <c r="G2183" s="12">
        <v>1308896.8725000001</v>
      </c>
      <c r="H2183" s="13">
        <v>1</v>
      </c>
      <c r="I2183" s="13"/>
      <c r="J2183" s="13"/>
      <c r="K2183" s="13"/>
      <c r="L2183" s="13">
        <v>0.1</v>
      </c>
      <c r="M2183" s="13">
        <v>0.25</v>
      </c>
    </row>
    <row r="2184" spans="2:13" x14ac:dyDescent="0.25">
      <c r="B2184" s="14" t="s">
        <v>205</v>
      </c>
      <c r="C2184" s="14" t="s">
        <v>40</v>
      </c>
      <c r="D2184" t="s">
        <v>46</v>
      </c>
      <c r="E2184" s="16" t="s">
        <v>144</v>
      </c>
      <c r="F2184">
        <v>2027</v>
      </c>
      <c r="G2184" s="12">
        <v>67340.129449838205</v>
      </c>
      <c r="H2184" s="13">
        <v>1</v>
      </c>
      <c r="I2184" s="13"/>
      <c r="J2184" s="13"/>
      <c r="K2184" s="13"/>
      <c r="L2184" s="13">
        <v>0.2</v>
      </c>
      <c r="M2184" s="13">
        <v>0.25</v>
      </c>
    </row>
    <row r="2185" spans="2:13" x14ac:dyDescent="0.25">
      <c r="B2185" s="14" t="s">
        <v>205</v>
      </c>
      <c r="C2185" s="14" t="s">
        <v>40</v>
      </c>
      <c r="D2185" t="s">
        <v>46</v>
      </c>
      <c r="E2185" s="16" t="s">
        <v>144</v>
      </c>
      <c r="F2185">
        <v>2028</v>
      </c>
      <c r="G2185" s="12">
        <v>68000.323624595505</v>
      </c>
      <c r="H2185" s="13">
        <v>1</v>
      </c>
      <c r="I2185" s="13"/>
      <c r="J2185" s="13"/>
      <c r="K2185" s="13"/>
      <c r="L2185" s="13">
        <v>0.2</v>
      </c>
      <c r="M2185" s="13">
        <v>0.25</v>
      </c>
    </row>
    <row r="2186" spans="2:13" x14ac:dyDescent="0.25">
      <c r="B2186" s="14" t="s">
        <v>205</v>
      </c>
      <c r="C2186" s="14" t="s">
        <v>40</v>
      </c>
      <c r="D2186" t="s">
        <v>46</v>
      </c>
      <c r="E2186" s="16" t="s">
        <v>133</v>
      </c>
      <c r="F2186">
        <v>2027</v>
      </c>
      <c r="G2186" s="12">
        <v>784008.27280149399</v>
      </c>
      <c r="H2186" s="13">
        <v>0.73</v>
      </c>
      <c r="I2186" s="13"/>
      <c r="J2186" s="13"/>
      <c r="K2186" s="13"/>
      <c r="L2186" s="13">
        <v>0</v>
      </c>
      <c r="M2186" s="13">
        <v>0.25</v>
      </c>
    </row>
    <row r="2187" spans="2:13" x14ac:dyDescent="0.25">
      <c r="B2187" s="14" t="s">
        <v>205</v>
      </c>
      <c r="C2187" s="14" t="s">
        <v>40</v>
      </c>
      <c r="D2187" t="s">
        <v>46</v>
      </c>
      <c r="E2187" s="16" t="s">
        <v>133</v>
      </c>
      <c r="F2187">
        <v>2028</v>
      </c>
      <c r="G2187" s="12">
        <v>791694.31941087602</v>
      </c>
      <c r="H2187" s="13">
        <v>0.73</v>
      </c>
      <c r="I2187" s="13"/>
      <c r="J2187" s="13"/>
      <c r="K2187" s="13"/>
      <c r="L2187" s="13">
        <v>0</v>
      </c>
      <c r="M2187" s="13">
        <v>0.25</v>
      </c>
    </row>
    <row r="2188" spans="2:13" x14ac:dyDescent="0.25">
      <c r="B2188" s="14" t="s">
        <v>205</v>
      </c>
      <c r="C2188" s="14" t="s">
        <v>40</v>
      </c>
      <c r="D2188" t="s">
        <v>46</v>
      </c>
      <c r="E2188" s="16" t="s">
        <v>133</v>
      </c>
      <c r="F2188">
        <v>2029</v>
      </c>
      <c r="G2188" s="12">
        <v>802835.70999684697</v>
      </c>
      <c r="H2188" s="13">
        <v>0.73</v>
      </c>
      <c r="I2188" s="13"/>
      <c r="J2188" s="13"/>
      <c r="K2188" s="13"/>
      <c r="L2188" s="13">
        <v>0</v>
      </c>
      <c r="M2188" s="13">
        <v>0.25</v>
      </c>
    </row>
    <row r="2189" spans="2:13" x14ac:dyDescent="0.25">
      <c r="B2189" s="14" t="s">
        <v>205</v>
      </c>
      <c r="C2189" s="14" t="s">
        <v>40</v>
      </c>
      <c r="D2189" t="s">
        <v>46</v>
      </c>
      <c r="E2189" s="16" t="s">
        <v>133</v>
      </c>
      <c r="F2189">
        <v>2030</v>
      </c>
      <c r="G2189" s="12">
        <v>811453.80795253406</v>
      </c>
      <c r="H2189" s="13">
        <v>0.73</v>
      </c>
      <c r="I2189" s="13"/>
      <c r="J2189" s="13"/>
      <c r="K2189" s="13"/>
      <c r="L2189" s="13">
        <v>0</v>
      </c>
      <c r="M2189" s="13">
        <v>0.25</v>
      </c>
    </row>
    <row r="2190" spans="2:13" x14ac:dyDescent="0.25">
      <c r="B2190" s="14" t="s">
        <v>205</v>
      </c>
      <c r="C2190" s="14" t="s">
        <v>52</v>
      </c>
      <c r="D2190" t="s">
        <v>137</v>
      </c>
      <c r="E2190" s="16" t="s">
        <v>133</v>
      </c>
      <c r="F2190">
        <v>2029</v>
      </c>
      <c r="G2190" s="12">
        <v>7995317.1136363596</v>
      </c>
      <c r="H2190" s="13">
        <v>0.85</v>
      </c>
      <c r="I2190" s="13"/>
      <c r="J2190" s="13"/>
      <c r="K2190" s="13"/>
      <c r="L2190" s="13"/>
      <c r="M2190" s="13"/>
    </row>
    <row r="2191" spans="2:13" x14ac:dyDescent="0.25">
      <c r="B2191" s="14" t="s">
        <v>205</v>
      </c>
      <c r="C2191" s="14" t="s">
        <v>52</v>
      </c>
      <c r="D2191" t="s">
        <v>138</v>
      </c>
      <c r="E2191" s="16" t="s">
        <v>133</v>
      </c>
      <c r="F2191">
        <v>2029</v>
      </c>
      <c r="G2191" s="12">
        <v>814432</v>
      </c>
      <c r="H2191" s="13">
        <v>0.73</v>
      </c>
      <c r="I2191" s="13">
        <v>0.66239999999999999</v>
      </c>
      <c r="J2191" s="13"/>
      <c r="K2191" s="13"/>
      <c r="L2191" s="13"/>
      <c r="M2191" s="13"/>
    </row>
    <row r="2192" spans="2:13" x14ac:dyDescent="0.25">
      <c r="B2192" s="14" t="s">
        <v>205</v>
      </c>
      <c r="C2192" s="14" t="s">
        <v>52</v>
      </c>
      <c r="D2192" t="s">
        <v>138</v>
      </c>
      <c r="E2192" s="16" t="s">
        <v>133</v>
      </c>
      <c r="F2192">
        <v>2030</v>
      </c>
      <c r="G2192" s="12">
        <v>823175</v>
      </c>
      <c r="H2192" s="13">
        <v>0.73</v>
      </c>
      <c r="I2192" s="13">
        <v>0.66239999999999999</v>
      </c>
      <c r="J2192" s="13"/>
      <c r="K2192" s="13"/>
      <c r="L2192" s="13"/>
      <c r="M2192" s="13"/>
    </row>
    <row r="2193" spans="2:13" x14ac:dyDescent="0.25">
      <c r="B2193" s="14" t="s">
        <v>205</v>
      </c>
      <c r="C2193" s="14" t="s">
        <v>146</v>
      </c>
      <c r="D2193" t="s">
        <v>46</v>
      </c>
      <c r="E2193" s="16" t="s">
        <v>133</v>
      </c>
      <c r="F2193">
        <v>2028</v>
      </c>
      <c r="G2193" s="12">
        <v>1000</v>
      </c>
      <c r="H2193" s="13"/>
      <c r="I2193" s="13"/>
      <c r="J2193" s="13"/>
      <c r="K2193" s="13"/>
      <c r="L2193" s="13"/>
      <c r="M2193" s="13">
        <v>0.25</v>
      </c>
    </row>
    <row r="2194" spans="2:13" x14ac:dyDescent="0.25">
      <c r="B2194" s="14" t="s">
        <v>205</v>
      </c>
      <c r="C2194" s="14" t="s">
        <v>146</v>
      </c>
      <c r="D2194" t="s">
        <v>46</v>
      </c>
      <c r="E2194" s="16" t="s">
        <v>133</v>
      </c>
      <c r="F2194">
        <v>2029</v>
      </c>
      <c r="G2194" s="12">
        <v>1413.9869430573999</v>
      </c>
      <c r="H2194" s="13"/>
      <c r="I2194" s="13"/>
      <c r="J2194" s="13"/>
      <c r="K2194" s="13"/>
      <c r="L2194" s="13"/>
      <c r="M2194" s="13">
        <v>0.25</v>
      </c>
    </row>
    <row r="2195" spans="2:13" x14ac:dyDescent="0.25">
      <c r="B2195" s="14" t="s">
        <v>205</v>
      </c>
      <c r="C2195" s="14" t="s">
        <v>146</v>
      </c>
      <c r="D2195" t="s">
        <v>46</v>
      </c>
      <c r="E2195" s="16" t="s">
        <v>133</v>
      </c>
      <c r="F2195">
        <v>2030</v>
      </c>
      <c r="G2195" s="12">
        <v>1827.9738861148001</v>
      </c>
      <c r="H2195" s="13"/>
      <c r="I2195" s="13"/>
      <c r="J2195" s="13"/>
      <c r="K2195" s="13"/>
      <c r="L2195" s="13"/>
      <c r="M2195" s="13">
        <v>0.25</v>
      </c>
    </row>
    <row r="2196" spans="2:13" x14ac:dyDescent="0.25">
      <c r="B2196" s="14" t="s">
        <v>205</v>
      </c>
      <c r="C2196" s="14" t="s">
        <v>139</v>
      </c>
      <c r="D2196" t="s">
        <v>46</v>
      </c>
      <c r="E2196" s="16" t="s">
        <v>144</v>
      </c>
      <c r="F2196">
        <v>2027</v>
      </c>
      <c r="G2196" s="12">
        <v>65325</v>
      </c>
      <c r="H2196" s="13">
        <v>0.84660000000000002</v>
      </c>
      <c r="I2196" s="13">
        <v>0.77690000000000003</v>
      </c>
      <c r="J2196" s="13">
        <v>0.67659999999999998</v>
      </c>
      <c r="K2196" s="13"/>
      <c r="L2196" s="13">
        <v>7.0000000000000007E-2</v>
      </c>
      <c r="M2196" s="13">
        <v>0.25</v>
      </c>
    </row>
    <row r="2197" spans="2:13" x14ac:dyDescent="0.25">
      <c r="B2197" s="14" t="s">
        <v>205</v>
      </c>
      <c r="C2197" s="14" t="s">
        <v>139</v>
      </c>
      <c r="D2197" t="s">
        <v>46</v>
      </c>
      <c r="E2197" s="16" t="s">
        <v>144</v>
      </c>
      <c r="F2197">
        <v>2028</v>
      </c>
      <c r="G2197" s="12">
        <v>65651.625</v>
      </c>
      <c r="H2197" s="13">
        <v>0.85319999999999996</v>
      </c>
      <c r="I2197" s="13">
        <v>0.78349999999999997</v>
      </c>
      <c r="J2197" s="13">
        <v>0.68320000000000003</v>
      </c>
      <c r="K2197" s="13"/>
      <c r="L2197" s="13">
        <v>7.0000000000000007E-2</v>
      </c>
      <c r="M2197" s="13">
        <v>0.25</v>
      </c>
    </row>
    <row r="2198" spans="2:13" x14ac:dyDescent="0.25">
      <c r="B2198" s="14" t="s">
        <v>205</v>
      </c>
      <c r="C2198" s="14" t="s">
        <v>139</v>
      </c>
      <c r="D2198" t="s">
        <v>46</v>
      </c>
      <c r="E2198" s="16" t="s">
        <v>133</v>
      </c>
      <c r="F2198">
        <v>2026</v>
      </c>
      <c r="G2198" s="12">
        <v>914250</v>
      </c>
      <c r="H2198" s="13">
        <v>0.84</v>
      </c>
      <c r="I2198" s="13">
        <v>0.72</v>
      </c>
      <c r="J2198" s="13">
        <v>0.72</v>
      </c>
      <c r="K2198" s="13"/>
      <c r="L2198" s="13">
        <v>0.1</v>
      </c>
      <c r="M2198" s="13">
        <v>0.25</v>
      </c>
    </row>
    <row r="2199" spans="2:13" x14ac:dyDescent="0.25">
      <c r="B2199" s="14" t="s">
        <v>205</v>
      </c>
      <c r="C2199" s="14" t="s">
        <v>139</v>
      </c>
      <c r="D2199" t="s">
        <v>46</v>
      </c>
      <c r="E2199" s="16" t="s">
        <v>133</v>
      </c>
      <c r="F2199">
        <v>2027</v>
      </c>
      <c r="G2199" s="12">
        <v>947164</v>
      </c>
      <c r="H2199" s="13">
        <v>0.84</v>
      </c>
      <c r="I2199" s="13">
        <v>0.72</v>
      </c>
      <c r="J2199" s="13">
        <v>0.72</v>
      </c>
      <c r="K2199" s="13"/>
      <c r="L2199" s="13">
        <v>0.1</v>
      </c>
      <c r="M2199" s="13">
        <v>0.25</v>
      </c>
    </row>
    <row r="2200" spans="2:13" x14ac:dyDescent="0.25">
      <c r="B2200" s="14" t="s">
        <v>205</v>
      </c>
      <c r="C2200" s="14" t="s">
        <v>139</v>
      </c>
      <c r="D2200" t="s">
        <v>46</v>
      </c>
      <c r="E2200" s="16" t="s">
        <v>133</v>
      </c>
      <c r="F2200">
        <v>2028</v>
      </c>
      <c r="G2200" s="12">
        <v>928161.76326240203</v>
      </c>
      <c r="H2200" s="13">
        <v>0.85319999999999996</v>
      </c>
      <c r="I2200" s="13">
        <v>0.78349999999999997</v>
      </c>
      <c r="J2200" s="13">
        <v>0.68320000000000003</v>
      </c>
      <c r="K2200" s="13"/>
      <c r="L2200" s="13">
        <v>7.0000000000000007E-2</v>
      </c>
      <c r="M2200" s="13">
        <v>0.25</v>
      </c>
    </row>
    <row r="2201" spans="2:13" x14ac:dyDescent="0.25">
      <c r="B2201" s="14" t="s">
        <v>205</v>
      </c>
      <c r="C2201" s="14" t="s">
        <v>139</v>
      </c>
      <c r="D2201" t="s">
        <v>46</v>
      </c>
      <c r="E2201" s="16" t="s">
        <v>133</v>
      </c>
      <c r="F2201">
        <v>2029</v>
      </c>
      <c r="G2201" s="12">
        <v>941223.63888526405</v>
      </c>
      <c r="H2201" s="13">
        <v>0.85980000000000001</v>
      </c>
      <c r="I2201" s="13">
        <v>0.79010000000000002</v>
      </c>
      <c r="J2201" s="13">
        <v>0.68979999999999997</v>
      </c>
      <c r="K2201" s="13"/>
      <c r="L2201" s="13">
        <v>7.0000000000000007E-2</v>
      </c>
      <c r="M2201" s="13">
        <v>0.25</v>
      </c>
    </row>
    <row r="2202" spans="2:13" x14ac:dyDescent="0.25">
      <c r="B2202" s="14" t="s">
        <v>205</v>
      </c>
      <c r="C2202" s="14" t="s">
        <v>139</v>
      </c>
      <c r="D2202" t="s">
        <v>46</v>
      </c>
      <c r="E2202" s="16" t="s">
        <v>133</v>
      </c>
      <c r="F2202">
        <v>2030</v>
      </c>
      <c r="G2202" s="12">
        <v>951327.27206589596</v>
      </c>
      <c r="H2202" s="13">
        <v>0.86639999999999995</v>
      </c>
      <c r="I2202" s="13">
        <v>0.79669999999999996</v>
      </c>
      <c r="J2202" s="13">
        <v>0.69640000000000002</v>
      </c>
      <c r="K2202" s="13"/>
      <c r="L2202" s="13">
        <v>7.0000000000000007E-2</v>
      </c>
      <c r="M2202" s="13">
        <v>0.25</v>
      </c>
    </row>
    <row r="2203" spans="2:13" x14ac:dyDescent="0.25">
      <c r="B2203" s="14" t="s">
        <v>205</v>
      </c>
      <c r="C2203" s="14" t="s">
        <v>74</v>
      </c>
      <c r="D2203" t="s">
        <v>46</v>
      </c>
      <c r="E2203" s="16" t="s">
        <v>144</v>
      </c>
      <c r="F2203">
        <v>2027</v>
      </c>
      <c r="G2203" s="12">
        <v>65000</v>
      </c>
      <c r="H2203" s="13">
        <v>1</v>
      </c>
      <c r="I2203" s="13"/>
      <c r="J2203" s="13"/>
      <c r="K2203" s="13"/>
      <c r="L2203" s="13">
        <v>0.2</v>
      </c>
      <c r="M2203" s="13">
        <v>0.25</v>
      </c>
    </row>
    <row r="2204" spans="2:13" x14ac:dyDescent="0.25">
      <c r="B2204" s="14" t="s">
        <v>205</v>
      </c>
      <c r="C2204" s="14" t="s">
        <v>74</v>
      </c>
      <c r="D2204" t="s">
        <v>46</v>
      </c>
      <c r="E2204" s="16" t="s">
        <v>144</v>
      </c>
      <c r="F2204">
        <v>2028</v>
      </c>
      <c r="G2204" s="12">
        <v>65000</v>
      </c>
      <c r="H2204" s="13">
        <v>1</v>
      </c>
      <c r="I2204" s="13"/>
      <c r="J2204" s="13"/>
      <c r="K2204" s="13"/>
      <c r="L2204" s="13">
        <v>0.2</v>
      </c>
      <c r="M2204" s="13">
        <v>0.25</v>
      </c>
    </row>
    <row r="2205" spans="2:13" x14ac:dyDescent="0.25">
      <c r="B2205" s="14" t="s">
        <v>205</v>
      </c>
      <c r="C2205" s="14" t="s">
        <v>74</v>
      </c>
      <c r="D2205" t="s">
        <v>46</v>
      </c>
      <c r="E2205" s="16" t="s">
        <v>133</v>
      </c>
      <c r="F2205">
        <v>2026</v>
      </c>
      <c r="G2205" s="12">
        <v>779828</v>
      </c>
      <c r="H2205" s="13">
        <v>0.7</v>
      </c>
      <c r="I2205" s="13"/>
      <c r="J2205" s="13"/>
      <c r="K2205" s="13"/>
      <c r="L2205" s="13">
        <v>0.2</v>
      </c>
      <c r="M2205" s="13">
        <v>0.25</v>
      </c>
    </row>
    <row r="2206" spans="2:13" x14ac:dyDescent="0.25">
      <c r="B2206" s="14" t="s">
        <v>205</v>
      </c>
      <c r="C2206" s="14" t="s">
        <v>74</v>
      </c>
      <c r="D2206" t="s">
        <v>46</v>
      </c>
      <c r="E2206" s="16" t="s">
        <v>133</v>
      </c>
      <c r="F2206">
        <v>2027</v>
      </c>
      <c r="G2206" s="12">
        <v>795333</v>
      </c>
      <c r="H2206" s="13">
        <v>0.72</v>
      </c>
      <c r="I2206" s="13"/>
      <c r="J2206" s="13"/>
      <c r="K2206" s="13"/>
      <c r="L2206" s="13">
        <v>0.2</v>
      </c>
      <c r="M2206" s="13">
        <v>0.25</v>
      </c>
    </row>
    <row r="2207" spans="2:13" x14ac:dyDescent="0.25">
      <c r="B2207" s="14" t="s">
        <v>205</v>
      </c>
      <c r="C2207" s="14" t="s">
        <v>74</v>
      </c>
      <c r="D2207" t="s">
        <v>46</v>
      </c>
      <c r="E2207" s="16" t="s">
        <v>133</v>
      </c>
      <c r="F2207">
        <v>2028</v>
      </c>
      <c r="G2207" s="12">
        <v>803130</v>
      </c>
      <c r="H2207" s="13">
        <v>0.72</v>
      </c>
      <c r="I2207" s="13"/>
      <c r="J2207" s="13"/>
      <c r="K2207" s="13"/>
      <c r="L2207" s="13">
        <v>0.2</v>
      </c>
      <c r="M2207" s="13">
        <v>0.25</v>
      </c>
    </row>
    <row r="2208" spans="2:13" x14ac:dyDescent="0.25">
      <c r="B2208" s="14" t="s">
        <v>205</v>
      </c>
      <c r="C2208" s="14" t="s">
        <v>74</v>
      </c>
      <c r="D2208" t="s">
        <v>46</v>
      </c>
      <c r="E2208" s="16" t="s">
        <v>133</v>
      </c>
      <c r="F2208">
        <v>2029</v>
      </c>
      <c r="G2208" s="12">
        <v>814432</v>
      </c>
      <c r="H2208" s="13">
        <v>0.72</v>
      </c>
      <c r="I2208" s="13"/>
      <c r="J2208" s="13"/>
      <c r="K2208" s="13"/>
      <c r="L2208" s="13">
        <v>0.2</v>
      </c>
      <c r="M2208" s="13">
        <v>0.25</v>
      </c>
    </row>
    <row r="2209" spans="2:13" x14ac:dyDescent="0.25">
      <c r="B2209" s="15" t="s">
        <v>205</v>
      </c>
      <c r="C2209" s="14" t="s">
        <v>74</v>
      </c>
      <c r="D2209" t="s">
        <v>46</v>
      </c>
      <c r="E2209" s="16" t="s">
        <v>133</v>
      </c>
      <c r="F2209">
        <v>2030</v>
      </c>
      <c r="G2209" s="12">
        <v>823175</v>
      </c>
      <c r="H2209" s="13">
        <v>0.72</v>
      </c>
      <c r="I2209" s="13"/>
      <c r="J2209" s="13"/>
      <c r="K2209" s="13"/>
      <c r="L2209" s="13">
        <v>0.2</v>
      </c>
      <c r="M2209" s="13">
        <v>0.25</v>
      </c>
    </row>
    <row r="2210" spans="2:13" x14ac:dyDescent="0.25">
      <c r="B2210" s="14" t="s">
        <v>206</v>
      </c>
      <c r="C2210" s="14" t="s">
        <v>132</v>
      </c>
      <c r="D2210" t="s">
        <v>46</v>
      </c>
      <c r="E2210" s="16" t="s">
        <v>133</v>
      </c>
      <c r="F2210">
        <v>2026</v>
      </c>
      <c r="G2210" s="12">
        <v>282230</v>
      </c>
      <c r="H2210" s="13">
        <v>0.93</v>
      </c>
      <c r="I2210" s="13">
        <v>0.90539999999999998</v>
      </c>
      <c r="J2210" s="13">
        <v>0.87</v>
      </c>
      <c r="K2210" s="13">
        <v>0</v>
      </c>
      <c r="L2210" s="13">
        <v>7.0000000000000007E-2</v>
      </c>
      <c r="M2210" s="13">
        <v>0.25</v>
      </c>
    </row>
    <row r="2211" spans="2:13" x14ac:dyDescent="0.25">
      <c r="B2211" s="14" t="s">
        <v>206</v>
      </c>
      <c r="C2211" s="14" t="s">
        <v>132</v>
      </c>
      <c r="D2211" t="s">
        <v>46</v>
      </c>
      <c r="E2211" s="16" t="s">
        <v>133</v>
      </c>
      <c r="F2211">
        <v>2027</v>
      </c>
      <c r="G2211" s="12">
        <v>286020.50754950999</v>
      </c>
      <c r="H2211" s="13">
        <v>0.93659999999999999</v>
      </c>
      <c r="I2211" s="13">
        <v>0.91200000000000003</v>
      </c>
      <c r="J2211" s="13">
        <v>0.87660000000000005</v>
      </c>
      <c r="K2211" s="13">
        <v>0</v>
      </c>
      <c r="L2211" s="13">
        <v>7.0000000000000007E-2</v>
      </c>
      <c r="M2211" s="13">
        <v>0.25</v>
      </c>
    </row>
    <row r="2212" spans="2:13" x14ac:dyDescent="0.25">
      <c r="B2212" s="14" t="s">
        <v>206</v>
      </c>
      <c r="C2212" s="14" t="s">
        <v>132</v>
      </c>
      <c r="D2212" t="s">
        <v>46</v>
      </c>
      <c r="E2212" s="16" t="s">
        <v>133</v>
      </c>
      <c r="F2212">
        <v>2028</v>
      </c>
      <c r="G2212" s="12">
        <v>289388.87266873702</v>
      </c>
      <c r="H2212" s="13">
        <v>0.47160000000000002</v>
      </c>
      <c r="I2212" s="13">
        <v>0.45929999999999999</v>
      </c>
      <c r="J2212" s="13">
        <v>0.44159999999999999</v>
      </c>
      <c r="K2212" s="13">
        <v>0</v>
      </c>
      <c r="L2212" s="13">
        <v>7.0000000000000007E-2</v>
      </c>
      <c r="M2212" s="13">
        <v>0.25</v>
      </c>
    </row>
    <row r="2213" spans="2:13" x14ac:dyDescent="0.25">
      <c r="B2213" s="14" t="s">
        <v>206</v>
      </c>
      <c r="C2213" s="14" t="s">
        <v>132</v>
      </c>
      <c r="D2213" t="s">
        <v>46</v>
      </c>
      <c r="E2213" s="16" t="s">
        <v>133</v>
      </c>
      <c r="F2213">
        <v>2029</v>
      </c>
      <c r="G2213" s="12">
        <v>293238.85062990303</v>
      </c>
      <c r="H2213" s="13">
        <v>0</v>
      </c>
      <c r="I2213" s="13">
        <v>0</v>
      </c>
      <c r="J2213" s="13">
        <v>0</v>
      </c>
      <c r="K2213" s="13">
        <v>0</v>
      </c>
      <c r="L2213" s="13">
        <v>7.0000000000000007E-2</v>
      </c>
      <c r="M2213" s="13">
        <v>0.25</v>
      </c>
    </row>
    <row r="2214" spans="2:13" x14ac:dyDescent="0.25">
      <c r="B2214" s="14" t="s">
        <v>206</v>
      </c>
      <c r="C2214" s="14" t="s">
        <v>70</v>
      </c>
      <c r="D2214" t="s">
        <v>46</v>
      </c>
      <c r="E2214" s="16" t="s">
        <v>133</v>
      </c>
      <c r="F2214">
        <v>2026</v>
      </c>
      <c r="G2214" s="12">
        <v>282230</v>
      </c>
      <c r="H2214" s="13">
        <v>0.9</v>
      </c>
      <c r="I2214" s="13">
        <v>0.81</v>
      </c>
      <c r="J2214" s="13">
        <v>0</v>
      </c>
      <c r="K2214" s="13">
        <v>0</v>
      </c>
      <c r="L2214" s="13">
        <v>7.0000000000000007E-2</v>
      </c>
      <c r="M2214" s="13">
        <v>0.25</v>
      </c>
    </row>
    <row r="2215" spans="2:13" x14ac:dyDescent="0.25">
      <c r="B2215" s="14" t="s">
        <v>206</v>
      </c>
      <c r="C2215" s="14" t="s">
        <v>70</v>
      </c>
      <c r="D2215" t="s">
        <v>46</v>
      </c>
      <c r="E2215" s="16" t="s">
        <v>133</v>
      </c>
      <c r="F2215">
        <v>2027</v>
      </c>
      <c r="G2215" s="12">
        <v>286020.50754950999</v>
      </c>
      <c r="H2215" s="13">
        <v>0.86660000000000004</v>
      </c>
      <c r="I2215" s="13">
        <v>0.78659999999999997</v>
      </c>
      <c r="J2215" s="13">
        <v>6.6E-3</v>
      </c>
      <c r="K2215" s="13">
        <v>0</v>
      </c>
      <c r="L2215" s="13">
        <v>7.0000000000000007E-2</v>
      </c>
      <c r="M2215" s="13">
        <v>0.25</v>
      </c>
    </row>
    <row r="2216" spans="2:13" x14ac:dyDescent="0.25">
      <c r="B2216" s="14" t="s">
        <v>206</v>
      </c>
      <c r="C2216" s="14" t="s">
        <v>70</v>
      </c>
      <c r="D2216" t="s">
        <v>46</v>
      </c>
      <c r="E2216" s="16" t="s">
        <v>133</v>
      </c>
      <c r="F2216">
        <v>2028</v>
      </c>
      <c r="G2216" s="12">
        <v>289388.87266873702</v>
      </c>
      <c r="H2216" s="13">
        <v>0.43659999999999999</v>
      </c>
      <c r="I2216" s="13">
        <v>0.39660000000000001</v>
      </c>
      <c r="J2216" s="13">
        <v>6.6E-3</v>
      </c>
      <c r="K2216" s="13">
        <v>0</v>
      </c>
      <c r="L2216" s="13">
        <v>7.0000000000000007E-2</v>
      </c>
      <c r="M2216" s="13">
        <v>0.25</v>
      </c>
    </row>
    <row r="2217" spans="2:13" x14ac:dyDescent="0.25">
      <c r="B2217" s="14" t="s">
        <v>206</v>
      </c>
      <c r="C2217" s="14" t="s">
        <v>70</v>
      </c>
      <c r="D2217" t="s">
        <v>46</v>
      </c>
      <c r="E2217" s="16" t="s">
        <v>133</v>
      </c>
      <c r="F2217">
        <v>2029</v>
      </c>
      <c r="G2217" s="12">
        <v>293238.85062990303</v>
      </c>
      <c r="H2217" s="13">
        <v>0</v>
      </c>
      <c r="I2217" s="13">
        <v>0</v>
      </c>
      <c r="J2217" s="13">
        <v>0</v>
      </c>
      <c r="K2217" s="13">
        <v>0</v>
      </c>
      <c r="L2217" s="13">
        <v>7.0000000000000007E-2</v>
      </c>
      <c r="M2217" s="13">
        <v>0.25</v>
      </c>
    </row>
    <row r="2218" spans="2:13" x14ac:dyDescent="0.25">
      <c r="B2218" s="14" t="s">
        <v>206</v>
      </c>
      <c r="C2218" s="14" t="s">
        <v>134</v>
      </c>
      <c r="D2218" t="s">
        <v>46</v>
      </c>
      <c r="E2218" s="16" t="s">
        <v>133</v>
      </c>
      <c r="F2218">
        <v>2027</v>
      </c>
      <c r="G2218" s="12">
        <v>286020.50754950999</v>
      </c>
      <c r="H2218" s="13">
        <v>0</v>
      </c>
      <c r="I2218" s="13">
        <v>0</v>
      </c>
      <c r="J2218" s="13">
        <v>0</v>
      </c>
      <c r="K2218" s="13">
        <v>0</v>
      </c>
      <c r="L2218" s="13">
        <v>7.0000000000000007E-2</v>
      </c>
      <c r="M2218" s="13">
        <v>0.25</v>
      </c>
    </row>
    <row r="2219" spans="2:13" x14ac:dyDescent="0.25">
      <c r="B2219" s="14" t="s">
        <v>206</v>
      </c>
      <c r="C2219" s="14" t="s">
        <v>134</v>
      </c>
      <c r="D2219" t="s">
        <v>46</v>
      </c>
      <c r="E2219" s="16" t="s">
        <v>133</v>
      </c>
      <c r="F2219">
        <v>2028</v>
      </c>
      <c r="G2219" s="12">
        <v>289388.87266873702</v>
      </c>
      <c r="H2219" s="13">
        <v>0.47160000000000002</v>
      </c>
      <c r="I2219" s="13">
        <v>0.45929999999999999</v>
      </c>
      <c r="J2219" s="13">
        <v>0.44159999999999999</v>
      </c>
      <c r="K2219" s="13">
        <v>0</v>
      </c>
      <c r="L2219" s="13">
        <v>7.0000000000000007E-2</v>
      </c>
      <c r="M2219" s="13">
        <v>0.25</v>
      </c>
    </row>
    <row r="2220" spans="2:13" x14ac:dyDescent="0.25">
      <c r="B2220" s="14" t="s">
        <v>206</v>
      </c>
      <c r="C2220" s="14" t="s">
        <v>134</v>
      </c>
      <c r="D2220" t="s">
        <v>46</v>
      </c>
      <c r="E2220" s="16" t="s">
        <v>133</v>
      </c>
      <c r="F2220">
        <v>2029</v>
      </c>
      <c r="G2220" s="12">
        <v>293238.85062990303</v>
      </c>
      <c r="H2220" s="13">
        <v>0.94979999999999998</v>
      </c>
      <c r="I2220" s="13">
        <v>0.92520000000000002</v>
      </c>
      <c r="J2220" s="13">
        <v>0.88980000000000004</v>
      </c>
      <c r="K2220" s="13">
        <v>0</v>
      </c>
      <c r="L2220" s="13">
        <v>7.0000000000000007E-2</v>
      </c>
      <c r="M2220" s="13">
        <v>0.25</v>
      </c>
    </row>
    <row r="2221" spans="2:13" x14ac:dyDescent="0.25">
      <c r="B2221" s="14" t="s">
        <v>206</v>
      </c>
      <c r="C2221" s="14" t="s">
        <v>134</v>
      </c>
      <c r="D2221" t="s">
        <v>46</v>
      </c>
      <c r="E2221" s="16" t="s">
        <v>133</v>
      </c>
      <c r="F2221">
        <v>2030</v>
      </c>
      <c r="G2221" s="12">
        <v>297263.34012691298</v>
      </c>
      <c r="H2221" s="13">
        <v>0.95640000000000003</v>
      </c>
      <c r="I2221" s="13">
        <v>0.93179999999999996</v>
      </c>
      <c r="J2221" s="13">
        <v>0.89639999999999997</v>
      </c>
      <c r="K2221" s="13">
        <v>0</v>
      </c>
      <c r="L2221" s="13">
        <v>7.0000000000000007E-2</v>
      </c>
      <c r="M2221" s="13">
        <v>0.25</v>
      </c>
    </row>
    <row r="2222" spans="2:13" x14ac:dyDescent="0.25">
      <c r="B2222" s="14" t="s">
        <v>206</v>
      </c>
      <c r="C2222" s="14" t="s">
        <v>72</v>
      </c>
      <c r="D2222" t="s">
        <v>46</v>
      </c>
      <c r="E2222" s="16" t="s">
        <v>133</v>
      </c>
      <c r="F2222">
        <v>2026</v>
      </c>
      <c r="G2222" s="12">
        <v>282230</v>
      </c>
      <c r="H2222" s="13">
        <v>0.93</v>
      </c>
      <c r="I2222" s="13">
        <v>0.90539999999999998</v>
      </c>
      <c r="J2222" s="13">
        <v>0.87</v>
      </c>
      <c r="K2222" s="13"/>
      <c r="L2222" s="13">
        <v>7.0000000000000007E-2</v>
      </c>
      <c r="M2222" s="13">
        <v>0.25</v>
      </c>
    </row>
    <row r="2223" spans="2:13" x14ac:dyDescent="0.25">
      <c r="B2223" s="14" t="s">
        <v>206</v>
      </c>
      <c r="C2223" s="14" t="s">
        <v>72</v>
      </c>
      <c r="D2223" t="s">
        <v>46</v>
      </c>
      <c r="E2223" s="16" t="s">
        <v>133</v>
      </c>
      <c r="F2223">
        <v>2027</v>
      </c>
      <c r="G2223" s="12">
        <v>286020.50754950999</v>
      </c>
      <c r="H2223" s="13">
        <v>0.93659999999999999</v>
      </c>
      <c r="I2223" s="13">
        <v>0.91200000000000003</v>
      </c>
      <c r="J2223" s="13">
        <v>0.87660000000000005</v>
      </c>
      <c r="K2223" s="13"/>
      <c r="L2223" s="13">
        <v>7.0000000000000007E-2</v>
      </c>
      <c r="M2223" s="13">
        <v>0.25</v>
      </c>
    </row>
    <row r="2224" spans="2:13" x14ac:dyDescent="0.25">
      <c r="B2224" s="14" t="s">
        <v>206</v>
      </c>
      <c r="C2224" s="14" t="s">
        <v>72</v>
      </c>
      <c r="D2224" t="s">
        <v>46</v>
      </c>
      <c r="E2224" s="16" t="s">
        <v>133</v>
      </c>
      <c r="F2224">
        <v>2028</v>
      </c>
      <c r="G2224" s="12">
        <v>289388.87266873702</v>
      </c>
      <c r="H2224" s="13">
        <v>0.94320000000000004</v>
      </c>
      <c r="I2224" s="13">
        <v>0.91859999999999997</v>
      </c>
      <c r="J2224" s="13">
        <v>0.88319999999999999</v>
      </c>
      <c r="K2224" s="13"/>
      <c r="L2224" s="13">
        <v>7.0000000000000007E-2</v>
      </c>
      <c r="M2224" s="13">
        <v>0.25</v>
      </c>
    </row>
    <row r="2225" spans="2:13" x14ac:dyDescent="0.25">
      <c r="B2225" s="14" t="s">
        <v>206</v>
      </c>
      <c r="C2225" s="14" t="s">
        <v>72</v>
      </c>
      <c r="D2225" t="s">
        <v>46</v>
      </c>
      <c r="E2225" s="16" t="s">
        <v>133</v>
      </c>
      <c r="F2225">
        <v>2029</v>
      </c>
      <c r="G2225" s="12">
        <v>293238.85062990303</v>
      </c>
      <c r="H2225" s="13">
        <v>0.94979999999999998</v>
      </c>
      <c r="I2225" s="13">
        <v>0.92520000000000002</v>
      </c>
      <c r="J2225" s="13">
        <v>0.88980000000000004</v>
      </c>
      <c r="K2225" s="13"/>
      <c r="L2225" s="13">
        <v>0.08</v>
      </c>
      <c r="M2225" s="13">
        <v>0.25</v>
      </c>
    </row>
    <row r="2226" spans="2:13" x14ac:dyDescent="0.25">
      <c r="B2226" s="14" t="s">
        <v>206</v>
      </c>
      <c r="C2226" s="14" t="s">
        <v>72</v>
      </c>
      <c r="D2226" t="s">
        <v>46</v>
      </c>
      <c r="E2226" s="16" t="s">
        <v>133</v>
      </c>
      <c r="F2226">
        <v>2030</v>
      </c>
      <c r="G2226" s="12">
        <v>297263.34012691298</v>
      </c>
      <c r="H2226" s="13">
        <v>0.95640000000000003</v>
      </c>
      <c r="I2226" s="13">
        <v>0.93179999999999996</v>
      </c>
      <c r="J2226" s="13">
        <v>0.89639999999999997</v>
      </c>
      <c r="K2226" s="13"/>
      <c r="L2226" s="13">
        <v>0.08</v>
      </c>
      <c r="M2226" s="13">
        <v>0.25</v>
      </c>
    </row>
    <row r="2227" spans="2:13" x14ac:dyDescent="0.25">
      <c r="B2227" s="14" t="s">
        <v>206</v>
      </c>
      <c r="C2227" s="14" t="s">
        <v>102</v>
      </c>
      <c r="D2227" t="s">
        <v>46</v>
      </c>
      <c r="E2227" s="16" t="s">
        <v>133</v>
      </c>
      <c r="F2227">
        <v>2028</v>
      </c>
      <c r="G2227" s="12">
        <v>289388.87266873702</v>
      </c>
      <c r="H2227" s="13">
        <v>7.0945129499999995E-2</v>
      </c>
      <c r="I2227" s="13"/>
      <c r="J2227" s="13"/>
      <c r="K2227" s="13"/>
      <c r="L2227" s="13">
        <v>7.0000000000000007E-2</v>
      </c>
      <c r="M2227" s="13">
        <v>0.25</v>
      </c>
    </row>
    <row r="2228" spans="2:13" x14ac:dyDescent="0.25">
      <c r="B2228" s="14" t="s">
        <v>206</v>
      </c>
      <c r="C2228" s="14" t="s">
        <v>102</v>
      </c>
      <c r="D2228" t="s">
        <v>46</v>
      </c>
      <c r="E2228" s="16" t="s">
        <v>133</v>
      </c>
      <c r="F2228">
        <v>2029</v>
      </c>
      <c r="G2228" s="12">
        <v>293238.85062990303</v>
      </c>
      <c r="H2228" s="13">
        <v>0.85794155370000003</v>
      </c>
      <c r="I2228" s="13"/>
      <c r="J2228" s="13"/>
      <c r="K2228" s="13"/>
      <c r="L2228" s="13">
        <v>7.0000000000000007E-2</v>
      </c>
      <c r="M2228" s="13">
        <v>0.25</v>
      </c>
    </row>
    <row r="2229" spans="2:13" x14ac:dyDescent="0.25">
      <c r="B2229" s="14" t="s">
        <v>206</v>
      </c>
      <c r="C2229" s="14" t="s">
        <v>102</v>
      </c>
      <c r="D2229" t="s">
        <v>46</v>
      </c>
      <c r="E2229" s="16" t="s">
        <v>133</v>
      </c>
      <c r="F2229">
        <v>2030</v>
      </c>
      <c r="G2229" s="12">
        <v>297263.34012691298</v>
      </c>
      <c r="H2229" s="13">
        <v>0.86454155369999997</v>
      </c>
      <c r="I2229" s="13"/>
      <c r="J2229" s="13"/>
      <c r="K2229" s="13"/>
      <c r="L2229" s="13">
        <v>7.0000000000000007E-2</v>
      </c>
      <c r="M2229" s="13">
        <v>0.25</v>
      </c>
    </row>
    <row r="2230" spans="2:13" x14ac:dyDescent="0.25">
      <c r="B2230" s="14" t="s">
        <v>206</v>
      </c>
      <c r="C2230" s="14" t="s">
        <v>15</v>
      </c>
      <c r="D2230" t="s">
        <v>46</v>
      </c>
      <c r="E2230" s="16" t="s">
        <v>133</v>
      </c>
      <c r="F2230">
        <v>2026</v>
      </c>
      <c r="G2230" s="12">
        <v>119412</v>
      </c>
      <c r="H2230" s="13">
        <v>0.47333333329999999</v>
      </c>
      <c r="I2230" s="13"/>
      <c r="J2230" s="13"/>
      <c r="K2230" s="13"/>
      <c r="L2230" s="13">
        <v>0.05</v>
      </c>
      <c r="M2230" s="13">
        <v>0.25</v>
      </c>
    </row>
    <row r="2231" spans="2:13" x14ac:dyDescent="0.25">
      <c r="B2231" s="14" t="s">
        <v>206</v>
      </c>
      <c r="C2231" s="14" t="s">
        <v>15</v>
      </c>
      <c r="D2231" t="s">
        <v>46</v>
      </c>
      <c r="E2231" s="16" t="s">
        <v>133</v>
      </c>
      <c r="F2231">
        <v>2027</v>
      </c>
      <c r="G2231" s="12">
        <v>121012</v>
      </c>
      <c r="H2231" s="13">
        <v>0.53</v>
      </c>
      <c r="I2231" s="13"/>
      <c r="J2231" s="13"/>
      <c r="K2231" s="13"/>
      <c r="L2231" s="13">
        <v>0.05</v>
      </c>
      <c r="M2231" s="13">
        <v>0.25</v>
      </c>
    </row>
    <row r="2232" spans="2:13" x14ac:dyDescent="0.25">
      <c r="B2232" s="14" t="s">
        <v>206</v>
      </c>
      <c r="C2232" s="14" t="s">
        <v>15</v>
      </c>
      <c r="D2232" t="s">
        <v>46</v>
      </c>
      <c r="E2232" s="16" t="s">
        <v>133</v>
      </c>
      <c r="F2232">
        <v>2028</v>
      </c>
      <c r="G2232" s="12">
        <v>122396</v>
      </c>
      <c r="H2232" s="13">
        <v>0.58666666670000001</v>
      </c>
      <c r="I2232" s="13"/>
      <c r="J2232" s="13"/>
      <c r="K2232" s="13"/>
      <c r="L2232" s="13">
        <v>0.05</v>
      </c>
      <c r="M2232" s="13">
        <v>0.25</v>
      </c>
    </row>
    <row r="2233" spans="2:13" x14ac:dyDescent="0.25">
      <c r="B2233" s="14" t="s">
        <v>206</v>
      </c>
      <c r="C2233" s="14" t="s">
        <v>15</v>
      </c>
      <c r="D2233" t="s">
        <v>46</v>
      </c>
      <c r="E2233" s="16" t="s">
        <v>133</v>
      </c>
      <c r="F2233">
        <v>2029</v>
      </c>
      <c r="G2233" s="12">
        <v>123783</v>
      </c>
      <c r="H2233" s="13">
        <v>0.64333333329999998</v>
      </c>
      <c r="I2233" s="13"/>
      <c r="J2233" s="13"/>
      <c r="K2233" s="13"/>
      <c r="L2233" s="13">
        <v>0.05</v>
      </c>
      <c r="M2233" s="13">
        <v>0.25</v>
      </c>
    </row>
    <row r="2234" spans="2:13" x14ac:dyDescent="0.25">
      <c r="B2234" s="14" t="s">
        <v>206</v>
      </c>
      <c r="C2234" s="14" t="s">
        <v>15</v>
      </c>
      <c r="D2234" t="s">
        <v>46</v>
      </c>
      <c r="E2234" s="16" t="s">
        <v>133</v>
      </c>
      <c r="F2234">
        <v>2030</v>
      </c>
      <c r="G2234" s="12">
        <v>125203</v>
      </c>
      <c r="H2234" s="13">
        <v>0.7</v>
      </c>
      <c r="I2234" s="13"/>
      <c r="J2234" s="13"/>
      <c r="K2234" s="13"/>
      <c r="L2234" s="13">
        <v>0.05</v>
      </c>
      <c r="M2234" s="13">
        <v>0.25</v>
      </c>
    </row>
    <row r="2235" spans="2:13" x14ac:dyDescent="0.25">
      <c r="B2235" s="14" t="s">
        <v>206</v>
      </c>
      <c r="C2235" s="14" t="s">
        <v>145</v>
      </c>
      <c r="D2235" t="s">
        <v>46</v>
      </c>
      <c r="E2235" s="16" t="s">
        <v>133</v>
      </c>
      <c r="F2235">
        <v>2026</v>
      </c>
      <c r="G2235" s="12">
        <v>275180</v>
      </c>
      <c r="H2235" s="13">
        <v>0.80500000000000005</v>
      </c>
      <c r="I2235" s="13">
        <v>0.78500000000000003</v>
      </c>
      <c r="J2235" s="13">
        <v>0.76500000000000001</v>
      </c>
      <c r="K2235" s="13">
        <v>0.7</v>
      </c>
      <c r="L2235" s="13"/>
      <c r="M2235" s="13">
        <v>0.25</v>
      </c>
    </row>
    <row r="2236" spans="2:13" x14ac:dyDescent="0.25">
      <c r="B2236" s="14" t="s">
        <v>206</v>
      </c>
      <c r="C2236" s="14" t="s">
        <v>145</v>
      </c>
      <c r="D2236" t="s">
        <v>46</v>
      </c>
      <c r="E2236" s="16" t="s">
        <v>133</v>
      </c>
      <c r="F2236">
        <v>2027</v>
      </c>
      <c r="G2236" s="12">
        <v>262877.83529411798</v>
      </c>
      <c r="H2236" s="13">
        <v>0.81</v>
      </c>
      <c r="I2236" s="13">
        <v>0.79</v>
      </c>
      <c r="J2236" s="13">
        <v>0.77</v>
      </c>
      <c r="K2236" s="13">
        <v>0.70499999999999996</v>
      </c>
      <c r="L2236" s="13"/>
      <c r="M2236" s="13">
        <v>0.25</v>
      </c>
    </row>
    <row r="2237" spans="2:13" x14ac:dyDescent="0.25">
      <c r="B2237" s="14" t="s">
        <v>206</v>
      </c>
      <c r="C2237" s="14" t="s">
        <v>145</v>
      </c>
      <c r="D2237" t="s">
        <v>46</v>
      </c>
      <c r="E2237" s="16" t="s">
        <v>133</v>
      </c>
      <c r="F2237">
        <v>2028</v>
      </c>
      <c r="G2237" s="12">
        <v>250144.69014705901</v>
      </c>
      <c r="H2237" s="13">
        <v>0.81499999999999995</v>
      </c>
      <c r="I2237" s="13">
        <v>0.79500000000000004</v>
      </c>
      <c r="J2237" s="13">
        <v>0.77500000000000002</v>
      </c>
      <c r="K2237" s="13">
        <v>0.71</v>
      </c>
      <c r="L2237" s="13"/>
      <c r="M2237" s="13">
        <v>0.25</v>
      </c>
    </row>
    <row r="2238" spans="2:13" x14ac:dyDescent="0.25">
      <c r="B2238" s="14" t="s">
        <v>206</v>
      </c>
      <c r="C2238" s="14" t="s">
        <v>145</v>
      </c>
      <c r="D2238" t="s">
        <v>46</v>
      </c>
      <c r="E2238" s="16" t="s">
        <v>133</v>
      </c>
      <c r="F2238">
        <v>2029</v>
      </c>
      <c r="G2238" s="12">
        <v>236970.40313264701</v>
      </c>
      <c r="H2238" s="13">
        <v>0.82</v>
      </c>
      <c r="I2238" s="13">
        <v>0.8</v>
      </c>
      <c r="J2238" s="13">
        <v>0.78</v>
      </c>
      <c r="K2238" s="13">
        <v>0.71499999999999997</v>
      </c>
      <c r="L2238" s="13"/>
      <c r="M2238" s="13">
        <v>0.25</v>
      </c>
    </row>
    <row r="2239" spans="2:13" x14ac:dyDescent="0.25">
      <c r="B2239" s="14" t="s">
        <v>206</v>
      </c>
      <c r="C2239" s="14" t="s">
        <v>145</v>
      </c>
      <c r="D2239" t="s">
        <v>46</v>
      </c>
      <c r="E2239" s="16" t="s">
        <v>133</v>
      </c>
      <c r="F2239">
        <v>2030</v>
      </c>
      <c r="G2239" s="12">
        <v>240524.95917963699</v>
      </c>
      <c r="H2239" s="13">
        <v>0.82499999999999996</v>
      </c>
      <c r="I2239" s="13">
        <v>0.80500000000000005</v>
      </c>
      <c r="J2239" s="13">
        <v>0.78500000000000003</v>
      </c>
      <c r="K2239" s="13">
        <v>0.72</v>
      </c>
      <c r="L2239" s="13"/>
      <c r="M2239" s="13">
        <v>0.25</v>
      </c>
    </row>
    <row r="2240" spans="2:13" x14ac:dyDescent="0.25">
      <c r="B2240" s="14" t="s">
        <v>206</v>
      </c>
      <c r="C2240" s="14" t="s">
        <v>38</v>
      </c>
      <c r="D2240" t="s">
        <v>46</v>
      </c>
      <c r="E2240" s="16" t="s">
        <v>133</v>
      </c>
      <c r="F2240">
        <v>2026</v>
      </c>
      <c r="G2240" s="12">
        <v>282230</v>
      </c>
      <c r="H2240" s="13">
        <v>0.78</v>
      </c>
      <c r="I2240" s="13"/>
      <c r="J2240" s="13"/>
      <c r="K2240" s="13"/>
      <c r="L2240" s="13">
        <v>0.2</v>
      </c>
      <c r="M2240" s="13">
        <v>0.25</v>
      </c>
    </row>
    <row r="2241" spans="2:13" x14ac:dyDescent="0.25">
      <c r="B2241" s="14" t="s">
        <v>206</v>
      </c>
      <c r="C2241" s="14" t="s">
        <v>38</v>
      </c>
      <c r="D2241" t="s">
        <v>46</v>
      </c>
      <c r="E2241" s="16" t="s">
        <v>133</v>
      </c>
      <c r="F2241">
        <v>2027</v>
      </c>
      <c r="G2241" s="12">
        <v>285696</v>
      </c>
      <c r="H2241" s="13">
        <v>0.79</v>
      </c>
      <c r="I2241" s="13"/>
      <c r="J2241" s="13"/>
      <c r="K2241" s="13"/>
      <c r="L2241" s="13">
        <v>0.2</v>
      </c>
      <c r="M2241" s="13">
        <v>0.25</v>
      </c>
    </row>
    <row r="2242" spans="2:13" x14ac:dyDescent="0.25">
      <c r="B2242" s="14" t="s">
        <v>206</v>
      </c>
      <c r="C2242" s="14" t="s">
        <v>40</v>
      </c>
      <c r="D2242" t="s">
        <v>151</v>
      </c>
      <c r="E2242" s="16" t="s">
        <v>133</v>
      </c>
      <c r="F2242">
        <v>2028</v>
      </c>
      <c r="G2242" s="12">
        <v>2432454</v>
      </c>
      <c r="H2242" s="13">
        <v>1</v>
      </c>
      <c r="I2242" s="13"/>
      <c r="J2242" s="13"/>
      <c r="K2242" s="13"/>
      <c r="L2242" s="13">
        <v>0.1</v>
      </c>
      <c r="M2242" s="13">
        <v>0.25</v>
      </c>
    </row>
    <row r="2243" spans="2:13" x14ac:dyDescent="0.25">
      <c r="B2243" s="14" t="s">
        <v>206</v>
      </c>
      <c r="C2243" s="14" t="s">
        <v>40</v>
      </c>
      <c r="D2243" t="s">
        <v>46</v>
      </c>
      <c r="E2243" s="16" t="s">
        <v>133</v>
      </c>
      <c r="F2243">
        <v>2028</v>
      </c>
      <c r="G2243" s="12">
        <v>281830</v>
      </c>
      <c r="H2243" s="13">
        <v>0.79</v>
      </c>
      <c r="I2243" s="13"/>
      <c r="J2243" s="13"/>
      <c r="K2243" s="13"/>
      <c r="L2243" s="13">
        <v>0.1</v>
      </c>
      <c r="M2243" s="13">
        <v>0.25</v>
      </c>
    </row>
    <row r="2244" spans="2:13" x14ac:dyDescent="0.25">
      <c r="B2244" s="14" t="s">
        <v>206</v>
      </c>
      <c r="C2244" s="14" t="s">
        <v>40</v>
      </c>
      <c r="D2244" t="s">
        <v>46</v>
      </c>
      <c r="E2244" s="16" t="s">
        <v>133</v>
      </c>
      <c r="F2244">
        <v>2029</v>
      </c>
      <c r="G2244" s="12">
        <v>285579</v>
      </c>
      <c r="H2244" s="13">
        <v>0.79</v>
      </c>
      <c r="I2244" s="13"/>
      <c r="J2244" s="13"/>
      <c r="K2244" s="13"/>
      <c r="L2244" s="13">
        <v>0.1</v>
      </c>
      <c r="M2244" s="13">
        <v>0.25</v>
      </c>
    </row>
    <row r="2245" spans="2:13" x14ac:dyDescent="0.25">
      <c r="B2245" s="14" t="s">
        <v>206</v>
      </c>
      <c r="C2245" s="14" t="s">
        <v>40</v>
      </c>
      <c r="D2245" t="s">
        <v>46</v>
      </c>
      <c r="E2245" s="16" t="s">
        <v>133</v>
      </c>
      <c r="F2245">
        <v>2030</v>
      </c>
      <c r="G2245" s="12">
        <v>289499</v>
      </c>
      <c r="H2245" s="13">
        <v>0.79</v>
      </c>
      <c r="I2245" s="13"/>
      <c r="J2245" s="13"/>
      <c r="K2245" s="13"/>
      <c r="L2245" s="13">
        <v>0.1</v>
      </c>
      <c r="M2245" s="13">
        <v>0.25</v>
      </c>
    </row>
    <row r="2246" spans="2:13" x14ac:dyDescent="0.25">
      <c r="B2246" s="14" t="s">
        <v>206</v>
      </c>
      <c r="C2246" s="14" t="s">
        <v>52</v>
      </c>
      <c r="D2246" t="s">
        <v>141</v>
      </c>
      <c r="E2246" s="16" t="s">
        <v>133</v>
      </c>
      <c r="F2246">
        <v>2028</v>
      </c>
      <c r="G2246" s="12">
        <v>1263643.875</v>
      </c>
      <c r="H2246" s="13">
        <v>0.85</v>
      </c>
      <c r="I2246" s="13"/>
      <c r="J2246" s="13"/>
      <c r="K2246" s="13"/>
      <c r="L2246" s="13"/>
      <c r="M2246" s="13"/>
    </row>
    <row r="2247" spans="2:13" x14ac:dyDescent="0.25">
      <c r="B2247" s="14" t="s">
        <v>206</v>
      </c>
      <c r="C2247" s="14" t="s">
        <v>52</v>
      </c>
      <c r="D2247" t="s">
        <v>138</v>
      </c>
      <c r="E2247" s="16" t="s">
        <v>133</v>
      </c>
      <c r="F2247">
        <v>2026</v>
      </c>
      <c r="G2247" s="12">
        <v>282230</v>
      </c>
      <c r="H2247" s="13">
        <v>0.78</v>
      </c>
      <c r="I2247" s="13">
        <v>0.5796</v>
      </c>
      <c r="J2247" s="13"/>
      <c r="K2247" s="13"/>
      <c r="L2247" s="13"/>
      <c r="M2247" s="13"/>
    </row>
    <row r="2248" spans="2:13" x14ac:dyDescent="0.25">
      <c r="B2248" s="14" t="s">
        <v>206</v>
      </c>
      <c r="C2248" s="14" t="s">
        <v>52</v>
      </c>
      <c r="D2248" t="s">
        <v>138</v>
      </c>
      <c r="E2248" s="16" t="s">
        <v>133</v>
      </c>
      <c r="F2248">
        <v>2027</v>
      </c>
      <c r="G2248" s="12">
        <v>285696</v>
      </c>
      <c r="H2248" s="13">
        <v>0.79</v>
      </c>
      <c r="I2248" s="13">
        <v>0.73464300000000005</v>
      </c>
      <c r="J2248" s="13"/>
      <c r="K2248" s="13"/>
      <c r="L2248" s="13"/>
      <c r="M2248" s="13"/>
    </row>
    <row r="2249" spans="2:13" x14ac:dyDescent="0.25">
      <c r="B2249" s="14" t="s">
        <v>206</v>
      </c>
      <c r="C2249" s="14" t="s">
        <v>52</v>
      </c>
      <c r="D2249" t="s">
        <v>138</v>
      </c>
      <c r="E2249" s="16" t="s">
        <v>133</v>
      </c>
      <c r="F2249">
        <v>2028</v>
      </c>
      <c r="G2249" s="12">
        <v>289061</v>
      </c>
      <c r="H2249" s="13">
        <v>0.79</v>
      </c>
      <c r="I2249" s="13">
        <v>0.74147399999999997</v>
      </c>
      <c r="J2249" s="13"/>
      <c r="K2249" s="13"/>
      <c r="L2249" s="13"/>
      <c r="M2249" s="13"/>
    </row>
    <row r="2250" spans="2:13" x14ac:dyDescent="0.25">
      <c r="B2250" s="14" t="s">
        <v>206</v>
      </c>
      <c r="C2250" s="14" t="s">
        <v>52</v>
      </c>
      <c r="D2250" t="s">
        <v>138</v>
      </c>
      <c r="E2250" s="16" t="s">
        <v>133</v>
      </c>
      <c r="F2250">
        <v>2029</v>
      </c>
      <c r="G2250" s="12">
        <v>292906</v>
      </c>
      <c r="H2250" s="13">
        <v>0.79</v>
      </c>
      <c r="I2250" s="13">
        <v>0.748305</v>
      </c>
      <c r="J2250" s="13"/>
      <c r="K2250" s="13"/>
      <c r="L2250" s="13"/>
      <c r="M2250" s="13"/>
    </row>
    <row r="2251" spans="2:13" x14ac:dyDescent="0.25">
      <c r="B2251" s="14" t="s">
        <v>206</v>
      </c>
      <c r="C2251" s="14" t="s">
        <v>52</v>
      </c>
      <c r="D2251" t="s">
        <v>138</v>
      </c>
      <c r="E2251" s="16" t="s">
        <v>133</v>
      </c>
      <c r="F2251">
        <v>2030</v>
      </c>
      <c r="G2251" s="12">
        <v>296926</v>
      </c>
      <c r="H2251" s="13">
        <v>0.79</v>
      </c>
      <c r="I2251" s="13">
        <v>0.75513600000000003</v>
      </c>
      <c r="J2251" s="13"/>
      <c r="K2251" s="13"/>
      <c r="L2251" s="13"/>
      <c r="M2251" s="13"/>
    </row>
    <row r="2252" spans="2:13" x14ac:dyDescent="0.25">
      <c r="B2252" s="14" t="s">
        <v>206</v>
      </c>
      <c r="C2252" s="14" t="s">
        <v>139</v>
      </c>
      <c r="D2252" t="s">
        <v>46</v>
      </c>
      <c r="E2252" s="16" t="s">
        <v>133</v>
      </c>
      <c r="F2252">
        <v>2026</v>
      </c>
      <c r="G2252" s="12">
        <v>282230</v>
      </c>
      <c r="H2252" s="13">
        <v>0.93</v>
      </c>
      <c r="I2252" s="13">
        <v>0.87</v>
      </c>
      <c r="J2252" s="13">
        <v>0</v>
      </c>
      <c r="K2252" s="13"/>
      <c r="L2252" s="13">
        <v>0.04</v>
      </c>
      <c r="M2252" s="13">
        <v>0.25</v>
      </c>
    </row>
    <row r="2253" spans="2:13" x14ac:dyDescent="0.25">
      <c r="B2253" s="14" t="s">
        <v>206</v>
      </c>
      <c r="C2253" s="14" t="s">
        <v>139</v>
      </c>
      <c r="D2253" t="s">
        <v>46</v>
      </c>
      <c r="E2253" s="16" t="s">
        <v>133</v>
      </c>
      <c r="F2253">
        <v>2027</v>
      </c>
      <c r="G2253" s="12">
        <v>286020.50754950999</v>
      </c>
      <c r="H2253" s="13">
        <v>0.93659999999999999</v>
      </c>
      <c r="I2253" s="13">
        <v>0.87660000000000005</v>
      </c>
      <c r="J2253" s="13">
        <v>0</v>
      </c>
      <c r="K2253" s="13"/>
      <c r="L2253" s="13">
        <v>0.04</v>
      </c>
      <c r="M2253" s="13">
        <v>0.25</v>
      </c>
    </row>
    <row r="2254" spans="2:13" x14ac:dyDescent="0.25">
      <c r="B2254" s="14" t="s">
        <v>206</v>
      </c>
      <c r="C2254" s="14" t="s">
        <v>139</v>
      </c>
      <c r="D2254" t="s">
        <v>46</v>
      </c>
      <c r="E2254" s="16" t="s">
        <v>133</v>
      </c>
      <c r="F2254">
        <v>2028</v>
      </c>
      <c r="G2254" s="12">
        <v>289388.87266873702</v>
      </c>
      <c r="H2254" s="13">
        <v>0.94320000000000004</v>
      </c>
      <c r="I2254" s="13">
        <v>0.88319999999999999</v>
      </c>
      <c r="J2254" s="13">
        <v>0</v>
      </c>
      <c r="K2254" s="13"/>
      <c r="L2254" s="13">
        <v>0.04</v>
      </c>
      <c r="M2254" s="13">
        <v>0.25</v>
      </c>
    </row>
    <row r="2255" spans="2:13" x14ac:dyDescent="0.25">
      <c r="B2255" s="14" t="s">
        <v>206</v>
      </c>
      <c r="C2255" s="14" t="s">
        <v>139</v>
      </c>
      <c r="D2255" t="s">
        <v>46</v>
      </c>
      <c r="E2255" s="16" t="s">
        <v>133</v>
      </c>
      <c r="F2255">
        <v>2029</v>
      </c>
      <c r="G2255" s="12">
        <v>293238.85062990303</v>
      </c>
      <c r="H2255" s="13">
        <v>0.94979999999999998</v>
      </c>
      <c r="I2255" s="13">
        <v>0.88980000000000004</v>
      </c>
      <c r="J2255" s="13">
        <v>0</v>
      </c>
      <c r="K2255" s="13"/>
      <c r="L2255" s="13">
        <v>0.04</v>
      </c>
      <c r="M2255" s="13">
        <v>0.25</v>
      </c>
    </row>
    <row r="2256" spans="2:13" x14ac:dyDescent="0.25">
      <c r="B2256" s="14" t="s">
        <v>206</v>
      </c>
      <c r="C2256" s="14" t="s">
        <v>139</v>
      </c>
      <c r="D2256" t="s">
        <v>46</v>
      </c>
      <c r="E2256" s="16" t="s">
        <v>133</v>
      </c>
      <c r="F2256">
        <v>2030</v>
      </c>
      <c r="G2256" s="12">
        <v>297263.34012691298</v>
      </c>
      <c r="H2256" s="13">
        <v>0.95640000000000003</v>
      </c>
      <c r="I2256" s="13">
        <v>0.89639999999999997</v>
      </c>
      <c r="J2256" s="13">
        <v>0</v>
      </c>
      <c r="K2256" s="13"/>
      <c r="L2256" s="13">
        <v>0.04</v>
      </c>
      <c r="M2256" s="13">
        <v>0.25</v>
      </c>
    </row>
    <row r="2257" spans="2:13" x14ac:dyDescent="0.25">
      <c r="B2257" s="14" t="s">
        <v>206</v>
      </c>
      <c r="C2257" s="14" t="s">
        <v>101</v>
      </c>
      <c r="D2257" t="s">
        <v>137</v>
      </c>
      <c r="E2257" s="16" t="s">
        <v>133</v>
      </c>
      <c r="F2257">
        <v>2028</v>
      </c>
      <c r="G2257" s="12"/>
      <c r="H2257" s="13">
        <v>1</v>
      </c>
      <c r="I2257" s="13"/>
      <c r="J2257" s="13"/>
      <c r="K2257" s="13"/>
      <c r="L2257" s="13">
        <v>0.1</v>
      </c>
      <c r="M2257" s="13"/>
    </row>
    <row r="2258" spans="2:13" x14ac:dyDescent="0.25">
      <c r="B2258" s="14" t="s">
        <v>206</v>
      </c>
      <c r="C2258" s="14" t="s">
        <v>101</v>
      </c>
      <c r="D2258" t="s">
        <v>137</v>
      </c>
      <c r="E2258" s="16" t="s">
        <v>133</v>
      </c>
      <c r="F2258">
        <v>2029</v>
      </c>
      <c r="G2258" s="12">
        <v>3998413.5</v>
      </c>
      <c r="H2258" s="13">
        <v>1</v>
      </c>
      <c r="I2258" s="13"/>
      <c r="J2258" s="13"/>
      <c r="K2258" s="13"/>
      <c r="L2258" s="13">
        <v>0.1</v>
      </c>
      <c r="M2258" s="13"/>
    </row>
    <row r="2259" spans="2:13" x14ac:dyDescent="0.25">
      <c r="B2259" s="14" t="s">
        <v>206</v>
      </c>
      <c r="C2259" s="14" t="s">
        <v>101</v>
      </c>
      <c r="D2259" t="s">
        <v>46</v>
      </c>
      <c r="E2259" s="16" t="s">
        <v>133</v>
      </c>
      <c r="F2259">
        <v>2029</v>
      </c>
      <c r="G2259" s="12">
        <v>300201.976598726</v>
      </c>
      <c r="H2259" s="13">
        <v>0.36990000000000001</v>
      </c>
      <c r="I2259" s="13"/>
      <c r="J2259" s="13"/>
      <c r="K2259" s="13"/>
      <c r="L2259" s="13">
        <v>0.1</v>
      </c>
      <c r="M2259" s="13"/>
    </row>
    <row r="2260" spans="2:13" x14ac:dyDescent="0.25">
      <c r="B2260" s="14" t="s">
        <v>206</v>
      </c>
      <c r="C2260" s="14" t="s">
        <v>101</v>
      </c>
      <c r="D2260" t="s">
        <v>46</v>
      </c>
      <c r="E2260" s="16" t="s">
        <v>133</v>
      </c>
      <c r="F2260">
        <v>2030</v>
      </c>
      <c r="G2260" s="12">
        <v>303860.35521357099</v>
      </c>
      <c r="H2260" s="13">
        <v>0.74639999999999995</v>
      </c>
      <c r="I2260" s="13"/>
      <c r="J2260" s="13"/>
      <c r="K2260" s="13"/>
      <c r="L2260" s="13">
        <v>0.1</v>
      </c>
      <c r="M2260" s="13"/>
    </row>
    <row r="2261" spans="2:13" x14ac:dyDescent="0.25">
      <c r="B2261" s="14" t="s">
        <v>206</v>
      </c>
      <c r="C2261" s="14" t="s">
        <v>74</v>
      </c>
      <c r="D2261" t="s">
        <v>46</v>
      </c>
      <c r="E2261" s="16" t="s">
        <v>133</v>
      </c>
      <c r="F2261">
        <v>2026</v>
      </c>
      <c r="G2261" s="12">
        <v>282230</v>
      </c>
      <c r="H2261" s="13">
        <v>0.78</v>
      </c>
      <c r="I2261" s="13"/>
      <c r="J2261" s="13"/>
      <c r="K2261" s="13"/>
      <c r="L2261" s="13">
        <v>0.2</v>
      </c>
      <c r="M2261" s="13">
        <v>0.25</v>
      </c>
    </row>
    <row r="2262" spans="2:13" x14ac:dyDescent="0.25">
      <c r="B2262" s="14" t="s">
        <v>206</v>
      </c>
      <c r="C2262" s="14" t="s">
        <v>74</v>
      </c>
      <c r="D2262" t="s">
        <v>46</v>
      </c>
      <c r="E2262" s="16" t="s">
        <v>133</v>
      </c>
      <c r="F2262">
        <v>2027</v>
      </c>
      <c r="G2262" s="12">
        <v>285696</v>
      </c>
      <c r="H2262" s="13">
        <v>0.79</v>
      </c>
      <c r="I2262" s="13"/>
      <c r="J2262" s="13"/>
      <c r="K2262" s="13"/>
      <c r="L2262" s="13">
        <v>0.2</v>
      </c>
      <c r="M2262" s="13">
        <v>0.25</v>
      </c>
    </row>
    <row r="2263" spans="2:13" x14ac:dyDescent="0.25">
      <c r="B2263" s="14" t="s">
        <v>206</v>
      </c>
      <c r="C2263" s="14" t="s">
        <v>74</v>
      </c>
      <c r="D2263" t="s">
        <v>46</v>
      </c>
      <c r="E2263" s="16" t="s">
        <v>133</v>
      </c>
      <c r="F2263">
        <v>2028</v>
      </c>
      <c r="G2263" s="12">
        <v>289061</v>
      </c>
      <c r="H2263" s="13">
        <v>0.79</v>
      </c>
      <c r="I2263" s="13"/>
      <c r="J2263" s="13"/>
      <c r="K2263" s="13"/>
      <c r="L2263" s="13">
        <v>0.2</v>
      </c>
      <c r="M2263" s="13">
        <v>0.25</v>
      </c>
    </row>
    <row r="2264" spans="2:13" x14ac:dyDescent="0.25">
      <c r="B2264" s="14" t="s">
        <v>206</v>
      </c>
      <c r="C2264" s="14" t="s">
        <v>74</v>
      </c>
      <c r="D2264" t="s">
        <v>46</v>
      </c>
      <c r="E2264" s="16" t="s">
        <v>133</v>
      </c>
      <c r="F2264">
        <v>2029</v>
      </c>
      <c r="G2264" s="12">
        <v>292906</v>
      </c>
      <c r="H2264" s="13">
        <v>0.79</v>
      </c>
      <c r="I2264" s="13"/>
      <c r="J2264" s="13"/>
      <c r="K2264" s="13"/>
      <c r="L2264" s="13">
        <v>0.2</v>
      </c>
      <c r="M2264" s="13">
        <v>0.25</v>
      </c>
    </row>
    <row r="2265" spans="2:13" x14ac:dyDescent="0.25">
      <c r="B2265" s="15" t="s">
        <v>206</v>
      </c>
      <c r="C2265" s="14" t="s">
        <v>74</v>
      </c>
      <c r="D2265" t="s">
        <v>46</v>
      </c>
      <c r="E2265" s="16" t="s">
        <v>133</v>
      </c>
      <c r="F2265">
        <v>2030</v>
      </c>
      <c r="G2265" s="12">
        <v>296926</v>
      </c>
      <c r="H2265" s="13">
        <v>0.79</v>
      </c>
      <c r="I2265" s="13"/>
      <c r="J2265" s="13"/>
      <c r="K2265" s="13"/>
      <c r="L2265" s="13">
        <v>0.2</v>
      </c>
      <c r="M2265" s="13">
        <v>0.25</v>
      </c>
    </row>
    <row r="2266" spans="2:13" x14ac:dyDescent="0.25">
      <c r="B2266" s="14" t="s">
        <v>207</v>
      </c>
      <c r="C2266" s="14" t="s">
        <v>132</v>
      </c>
      <c r="D2266" t="s">
        <v>46</v>
      </c>
      <c r="E2266" s="16" t="s">
        <v>133</v>
      </c>
      <c r="F2266">
        <v>2026</v>
      </c>
      <c r="G2266" s="12">
        <v>262408</v>
      </c>
      <c r="H2266" s="13">
        <v>0.99</v>
      </c>
      <c r="I2266" s="13">
        <v>0.99</v>
      </c>
      <c r="J2266" s="13">
        <v>0.99</v>
      </c>
      <c r="K2266" s="13">
        <v>0</v>
      </c>
      <c r="L2266" s="13">
        <v>0.04</v>
      </c>
      <c r="M2266" s="13">
        <v>0.25</v>
      </c>
    </row>
    <row r="2267" spans="2:13" x14ac:dyDescent="0.25">
      <c r="B2267" s="14" t="s">
        <v>207</v>
      </c>
      <c r="C2267" s="14" t="s">
        <v>132</v>
      </c>
      <c r="D2267" t="s">
        <v>46</v>
      </c>
      <c r="E2267" s="16" t="s">
        <v>133</v>
      </c>
      <c r="F2267">
        <v>2027</v>
      </c>
      <c r="G2267" s="12">
        <v>263929</v>
      </c>
      <c r="H2267" s="13">
        <v>0.99</v>
      </c>
      <c r="I2267" s="13">
        <v>0.99</v>
      </c>
      <c r="J2267" s="13">
        <v>0.99</v>
      </c>
      <c r="K2267" s="13">
        <v>0</v>
      </c>
      <c r="L2267" s="13">
        <v>0.04</v>
      </c>
      <c r="M2267" s="13">
        <v>0.25</v>
      </c>
    </row>
    <row r="2268" spans="2:13" x14ac:dyDescent="0.25">
      <c r="B2268" s="14" t="s">
        <v>207</v>
      </c>
      <c r="C2268" s="14" t="s">
        <v>132</v>
      </c>
      <c r="D2268" t="s">
        <v>46</v>
      </c>
      <c r="E2268" s="16" t="s">
        <v>133</v>
      </c>
      <c r="F2268">
        <v>2028</v>
      </c>
      <c r="G2268" s="12">
        <v>260683.90817958</v>
      </c>
      <c r="H2268" s="13">
        <v>0.99</v>
      </c>
      <c r="I2268" s="13">
        <v>0.99</v>
      </c>
      <c r="J2268" s="13">
        <v>0.99</v>
      </c>
      <c r="K2268" s="13">
        <v>0</v>
      </c>
      <c r="L2268" s="13">
        <v>0.04</v>
      </c>
      <c r="M2268" s="13">
        <v>0.25</v>
      </c>
    </row>
    <row r="2269" spans="2:13" x14ac:dyDescent="0.25">
      <c r="B2269" s="14" t="s">
        <v>207</v>
      </c>
      <c r="C2269" s="14" t="s">
        <v>132</v>
      </c>
      <c r="D2269" t="s">
        <v>46</v>
      </c>
      <c r="E2269" s="16" t="s">
        <v>133</v>
      </c>
      <c r="F2269">
        <v>2029</v>
      </c>
      <c r="G2269" s="12">
        <v>262052.76971373201</v>
      </c>
      <c r="H2269" s="13">
        <v>0.99</v>
      </c>
      <c r="I2269" s="13">
        <v>0.99</v>
      </c>
      <c r="J2269" s="13">
        <v>0.99</v>
      </c>
      <c r="K2269" s="13">
        <v>0</v>
      </c>
      <c r="L2269" s="13">
        <v>0.04</v>
      </c>
      <c r="M2269" s="13">
        <v>0.25</v>
      </c>
    </row>
    <row r="2270" spans="2:13" x14ac:dyDescent="0.25">
      <c r="B2270" s="14" t="s">
        <v>207</v>
      </c>
      <c r="C2270" s="14" t="s">
        <v>132</v>
      </c>
      <c r="D2270" t="s">
        <v>46</v>
      </c>
      <c r="E2270" s="16" t="s">
        <v>133</v>
      </c>
      <c r="F2270">
        <v>2030</v>
      </c>
      <c r="G2270" s="12">
        <v>265116.12054444902</v>
      </c>
      <c r="H2270" s="13">
        <v>0.99</v>
      </c>
      <c r="I2270" s="13">
        <v>0.99</v>
      </c>
      <c r="J2270" s="13">
        <v>0.99</v>
      </c>
      <c r="K2270" s="13">
        <v>0</v>
      </c>
      <c r="L2270" s="13">
        <v>0.04</v>
      </c>
      <c r="M2270" s="13">
        <v>0.25</v>
      </c>
    </row>
    <row r="2271" spans="2:13" x14ac:dyDescent="0.25">
      <c r="B2271" s="14" t="s">
        <v>207</v>
      </c>
      <c r="C2271" s="14" t="s">
        <v>70</v>
      </c>
      <c r="D2271" t="s">
        <v>46</v>
      </c>
      <c r="E2271" s="16" t="s">
        <v>133</v>
      </c>
      <c r="F2271">
        <v>2026</v>
      </c>
      <c r="G2271" s="12">
        <v>262408</v>
      </c>
      <c r="H2271" s="13">
        <v>0.99</v>
      </c>
      <c r="I2271" s="13">
        <v>0.99</v>
      </c>
      <c r="J2271" s="13">
        <v>0</v>
      </c>
      <c r="K2271" s="13">
        <v>0</v>
      </c>
      <c r="L2271" s="13">
        <v>7.0000000000000007E-2</v>
      </c>
      <c r="M2271" s="13">
        <v>0.25</v>
      </c>
    </row>
    <row r="2272" spans="2:13" x14ac:dyDescent="0.25">
      <c r="B2272" s="14" t="s">
        <v>207</v>
      </c>
      <c r="C2272" s="14" t="s">
        <v>70</v>
      </c>
      <c r="D2272" t="s">
        <v>46</v>
      </c>
      <c r="E2272" s="16" t="s">
        <v>133</v>
      </c>
      <c r="F2272">
        <v>2027</v>
      </c>
      <c r="G2272" s="12">
        <v>263929</v>
      </c>
      <c r="H2272" s="13">
        <v>0.99</v>
      </c>
      <c r="I2272" s="13">
        <v>0.99</v>
      </c>
      <c r="J2272" s="13">
        <v>0</v>
      </c>
      <c r="K2272" s="13">
        <v>0</v>
      </c>
      <c r="L2272" s="13">
        <v>7.0000000000000007E-2</v>
      </c>
      <c r="M2272" s="13">
        <v>0.25</v>
      </c>
    </row>
    <row r="2273" spans="2:13" x14ac:dyDescent="0.25">
      <c r="B2273" s="14" t="s">
        <v>207</v>
      </c>
      <c r="C2273" s="14" t="s">
        <v>70</v>
      </c>
      <c r="D2273" t="s">
        <v>46</v>
      </c>
      <c r="E2273" s="16" t="s">
        <v>133</v>
      </c>
      <c r="F2273">
        <v>2028</v>
      </c>
      <c r="G2273" s="12">
        <v>260683.90817958</v>
      </c>
      <c r="H2273" s="13">
        <v>0.99</v>
      </c>
      <c r="I2273" s="13">
        <v>0.99</v>
      </c>
      <c r="J2273" s="13">
        <v>1.32E-2</v>
      </c>
      <c r="K2273" s="13">
        <v>0</v>
      </c>
      <c r="L2273" s="13">
        <v>7.0000000000000007E-2</v>
      </c>
      <c r="M2273" s="13">
        <v>0.25</v>
      </c>
    </row>
    <row r="2274" spans="2:13" x14ac:dyDescent="0.25">
      <c r="B2274" s="14" t="s">
        <v>207</v>
      </c>
      <c r="C2274" s="14" t="s">
        <v>70</v>
      </c>
      <c r="D2274" t="s">
        <v>46</v>
      </c>
      <c r="E2274" s="16" t="s">
        <v>133</v>
      </c>
      <c r="F2274">
        <v>2029</v>
      </c>
      <c r="G2274" s="12">
        <v>262052.76971373201</v>
      </c>
      <c r="H2274" s="13">
        <v>0.99</v>
      </c>
      <c r="I2274" s="13">
        <v>0.99</v>
      </c>
      <c r="J2274" s="13">
        <v>1.9800000000000002E-2</v>
      </c>
      <c r="K2274" s="13">
        <v>0</v>
      </c>
      <c r="L2274" s="13">
        <v>7.0000000000000007E-2</v>
      </c>
      <c r="M2274" s="13">
        <v>0.25</v>
      </c>
    </row>
    <row r="2275" spans="2:13" x14ac:dyDescent="0.25">
      <c r="B2275" s="14" t="s">
        <v>207</v>
      </c>
      <c r="C2275" s="14" t="s">
        <v>70</v>
      </c>
      <c r="D2275" t="s">
        <v>46</v>
      </c>
      <c r="E2275" s="16" t="s">
        <v>133</v>
      </c>
      <c r="F2275">
        <v>2030</v>
      </c>
      <c r="G2275" s="12">
        <v>265116.12054444902</v>
      </c>
      <c r="H2275" s="13">
        <v>0.99</v>
      </c>
      <c r="I2275" s="13">
        <v>0.99</v>
      </c>
      <c r="J2275" s="13">
        <v>2.64E-2</v>
      </c>
      <c r="K2275" s="13">
        <v>0</v>
      </c>
      <c r="L2275" s="13">
        <v>7.0000000000000007E-2</v>
      </c>
      <c r="M2275" s="13">
        <v>0.25</v>
      </c>
    </row>
    <row r="2276" spans="2:13" x14ac:dyDescent="0.25">
      <c r="B2276" s="14" t="s">
        <v>207</v>
      </c>
      <c r="C2276" s="14" t="s">
        <v>72</v>
      </c>
      <c r="D2276" t="s">
        <v>46</v>
      </c>
      <c r="E2276" s="16" t="s">
        <v>133</v>
      </c>
      <c r="F2276">
        <v>2026</v>
      </c>
      <c r="G2276" s="12">
        <v>262408</v>
      </c>
      <c r="H2276" s="13">
        <v>0.99</v>
      </c>
      <c r="I2276" s="13">
        <v>0.99</v>
      </c>
      <c r="J2276" s="13">
        <v>0.99</v>
      </c>
      <c r="K2276" s="13"/>
      <c r="L2276" s="13">
        <v>7.0000000000000007E-2</v>
      </c>
      <c r="M2276" s="13">
        <v>0.25</v>
      </c>
    </row>
    <row r="2277" spans="2:13" x14ac:dyDescent="0.25">
      <c r="B2277" s="14" t="s">
        <v>207</v>
      </c>
      <c r="C2277" s="14" t="s">
        <v>72</v>
      </c>
      <c r="D2277" t="s">
        <v>46</v>
      </c>
      <c r="E2277" s="16" t="s">
        <v>133</v>
      </c>
      <c r="F2277">
        <v>2027</v>
      </c>
      <c r="G2277" s="12">
        <v>263929</v>
      </c>
      <c r="H2277" s="13">
        <v>0.99</v>
      </c>
      <c r="I2277" s="13">
        <v>0.99</v>
      </c>
      <c r="J2277" s="13">
        <v>0.99</v>
      </c>
      <c r="K2277" s="13"/>
      <c r="L2277" s="13">
        <v>7.0000000000000007E-2</v>
      </c>
      <c r="M2277" s="13">
        <v>0.25</v>
      </c>
    </row>
    <row r="2278" spans="2:13" x14ac:dyDescent="0.25">
      <c r="B2278" s="14" t="s">
        <v>207</v>
      </c>
      <c r="C2278" s="14" t="s">
        <v>72</v>
      </c>
      <c r="D2278" t="s">
        <v>46</v>
      </c>
      <c r="E2278" s="16" t="s">
        <v>133</v>
      </c>
      <c r="F2278">
        <v>2028</v>
      </c>
      <c r="G2278" s="12">
        <v>260683.90817958</v>
      </c>
      <c r="H2278" s="13">
        <v>0.99</v>
      </c>
      <c r="I2278" s="13">
        <v>0.99</v>
      </c>
      <c r="J2278" s="13">
        <v>0.99</v>
      </c>
      <c r="K2278" s="13"/>
      <c r="L2278" s="13">
        <v>7.0000000000000007E-2</v>
      </c>
      <c r="M2278" s="13">
        <v>0.25</v>
      </c>
    </row>
    <row r="2279" spans="2:13" x14ac:dyDescent="0.25">
      <c r="B2279" s="14" t="s">
        <v>207</v>
      </c>
      <c r="C2279" s="14" t="s">
        <v>72</v>
      </c>
      <c r="D2279" t="s">
        <v>46</v>
      </c>
      <c r="E2279" s="16" t="s">
        <v>133</v>
      </c>
      <c r="F2279">
        <v>2029</v>
      </c>
      <c r="G2279" s="12">
        <v>262052.76971373201</v>
      </c>
      <c r="H2279" s="13">
        <v>0.99</v>
      </c>
      <c r="I2279" s="13">
        <v>0.99</v>
      </c>
      <c r="J2279" s="13">
        <v>0.99</v>
      </c>
      <c r="K2279" s="13"/>
      <c r="L2279" s="13">
        <v>7.0000000000000007E-2</v>
      </c>
      <c r="M2279" s="13">
        <v>0.25</v>
      </c>
    </row>
    <row r="2280" spans="2:13" x14ac:dyDescent="0.25">
      <c r="B2280" s="14" t="s">
        <v>207</v>
      </c>
      <c r="C2280" s="14" t="s">
        <v>72</v>
      </c>
      <c r="D2280" t="s">
        <v>46</v>
      </c>
      <c r="E2280" s="16" t="s">
        <v>133</v>
      </c>
      <c r="F2280">
        <v>2030</v>
      </c>
      <c r="G2280" s="12">
        <v>265116.12054444902</v>
      </c>
      <c r="H2280" s="13">
        <v>0.99</v>
      </c>
      <c r="I2280" s="13">
        <v>0.99</v>
      </c>
      <c r="J2280" s="13">
        <v>0.99</v>
      </c>
      <c r="K2280" s="13"/>
      <c r="L2280" s="13">
        <v>7.0000000000000007E-2</v>
      </c>
      <c r="M2280" s="13">
        <v>0.25</v>
      </c>
    </row>
    <row r="2281" spans="2:13" x14ac:dyDescent="0.25">
      <c r="B2281" s="14" t="s">
        <v>207</v>
      </c>
      <c r="C2281" s="14" t="s">
        <v>15</v>
      </c>
      <c r="D2281" t="s">
        <v>136</v>
      </c>
      <c r="E2281" s="16" t="s">
        <v>133</v>
      </c>
      <c r="F2281">
        <v>2026</v>
      </c>
      <c r="G2281" s="12">
        <v>0</v>
      </c>
      <c r="H2281" s="13">
        <v>0</v>
      </c>
      <c r="I2281" s="13"/>
      <c r="J2281" s="13"/>
      <c r="K2281" s="13"/>
      <c r="L2281" s="13">
        <v>0.05</v>
      </c>
      <c r="M2281" s="13">
        <v>0.25</v>
      </c>
    </row>
    <row r="2282" spans="2:13" x14ac:dyDescent="0.25">
      <c r="B2282" s="14" t="s">
        <v>207</v>
      </c>
      <c r="C2282" s="14" t="s">
        <v>15</v>
      </c>
      <c r="D2282" t="s">
        <v>46</v>
      </c>
      <c r="E2282" s="16" t="s">
        <v>133</v>
      </c>
      <c r="F2282">
        <v>2026</v>
      </c>
      <c r="G2282" s="12">
        <v>127672</v>
      </c>
      <c r="H2282" s="13">
        <v>0.8843249997</v>
      </c>
      <c r="I2282" s="13"/>
      <c r="J2282" s="13"/>
      <c r="K2282" s="13"/>
      <c r="L2282" s="13">
        <v>0.05</v>
      </c>
      <c r="M2282" s="13">
        <v>0.25</v>
      </c>
    </row>
    <row r="2283" spans="2:13" x14ac:dyDescent="0.25">
      <c r="B2283" s="14" t="s">
        <v>207</v>
      </c>
      <c r="C2283" s="14" t="s">
        <v>15</v>
      </c>
      <c r="D2283" t="s">
        <v>46</v>
      </c>
      <c r="E2283" s="16" t="s">
        <v>133</v>
      </c>
      <c r="F2283">
        <v>2027</v>
      </c>
      <c r="G2283" s="12">
        <v>126109.5</v>
      </c>
      <c r="H2283" s="13">
        <v>0.8843249997</v>
      </c>
      <c r="I2283" s="13"/>
      <c r="J2283" s="13"/>
      <c r="K2283" s="13"/>
      <c r="L2283" s="13">
        <v>0.05</v>
      </c>
      <c r="M2283" s="13">
        <v>0.25</v>
      </c>
    </row>
    <row r="2284" spans="2:13" x14ac:dyDescent="0.25">
      <c r="B2284" s="14" t="s">
        <v>207</v>
      </c>
      <c r="C2284" s="14" t="s">
        <v>15</v>
      </c>
      <c r="D2284" t="s">
        <v>46</v>
      </c>
      <c r="E2284" s="16" t="s">
        <v>133</v>
      </c>
      <c r="F2284">
        <v>2028</v>
      </c>
      <c r="G2284" s="12">
        <v>127498.5</v>
      </c>
      <c r="H2284" s="13">
        <v>0.8843249997</v>
      </c>
      <c r="I2284" s="13"/>
      <c r="J2284" s="13"/>
      <c r="K2284" s="13"/>
      <c r="L2284" s="13">
        <v>0.05</v>
      </c>
      <c r="M2284" s="13">
        <v>0.25</v>
      </c>
    </row>
    <row r="2285" spans="2:13" x14ac:dyDescent="0.25">
      <c r="B2285" s="14" t="s">
        <v>207</v>
      </c>
      <c r="C2285" s="14" t="s">
        <v>15</v>
      </c>
      <c r="D2285" t="s">
        <v>46</v>
      </c>
      <c r="E2285" s="16" t="s">
        <v>133</v>
      </c>
      <c r="F2285">
        <v>2029</v>
      </c>
      <c r="G2285" s="12">
        <v>122146</v>
      </c>
      <c r="H2285" s="13">
        <v>0.96256499959999997</v>
      </c>
      <c r="I2285" s="13"/>
      <c r="J2285" s="13"/>
      <c r="K2285" s="13"/>
      <c r="L2285" s="13">
        <v>0.05</v>
      </c>
      <c r="M2285" s="13">
        <v>0.25</v>
      </c>
    </row>
    <row r="2286" spans="2:13" x14ac:dyDescent="0.25">
      <c r="B2286" s="14" t="s">
        <v>207</v>
      </c>
      <c r="C2286" s="14" t="s">
        <v>15</v>
      </c>
      <c r="D2286" t="s">
        <v>46</v>
      </c>
      <c r="E2286" s="16" t="s">
        <v>133</v>
      </c>
      <c r="F2286">
        <v>2030</v>
      </c>
      <c r="G2286" s="12">
        <v>122480</v>
      </c>
      <c r="H2286" s="13">
        <v>0.96256499959999997</v>
      </c>
      <c r="I2286" s="13"/>
      <c r="J2286" s="13"/>
      <c r="K2286" s="13"/>
      <c r="L2286" s="13">
        <v>0.05</v>
      </c>
      <c r="M2286" s="13">
        <v>0.25</v>
      </c>
    </row>
    <row r="2287" spans="2:13" x14ac:dyDescent="0.25">
      <c r="B2287" s="14" t="s">
        <v>207</v>
      </c>
      <c r="C2287" s="14" t="s">
        <v>52</v>
      </c>
      <c r="D2287" t="s">
        <v>141</v>
      </c>
      <c r="E2287" s="16" t="s">
        <v>133</v>
      </c>
      <c r="F2287">
        <v>2026</v>
      </c>
      <c r="G2287" s="12">
        <v>818399</v>
      </c>
      <c r="H2287" s="13">
        <v>0.95</v>
      </c>
      <c r="I2287" s="13"/>
      <c r="J2287" s="13"/>
      <c r="K2287" s="13"/>
      <c r="L2287" s="13"/>
      <c r="M2287" s="13"/>
    </row>
    <row r="2288" spans="2:13" x14ac:dyDescent="0.25">
      <c r="B2288" s="14" t="s">
        <v>207</v>
      </c>
      <c r="C2288" s="14" t="s">
        <v>139</v>
      </c>
      <c r="D2288" t="s">
        <v>46</v>
      </c>
      <c r="E2288" s="16" t="s">
        <v>133</v>
      </c>
      <c r="F2288">
        <v>2026</v>
      </c>
      <c r="G2288" s="12">
        <v>262408</v>
      </c>
      <c r="H2288" s="13">
        <v>0.99</v>
      </c>
      <c r="I2288" s="13">
        <v>0.99</v>
      </c>
      <c r="J2288" s="13">
        <v>0</v>
      </c>
      <c r="K2288" s="13"/>
      <c r="L2288" s="13">
        <v>0.04</v>
      </c>
      <c r="M2288" s="13">
        <v>0.25</v>
      </c>
    </row>
    <row r="2289" spans="2:13" x14ac:dyDescent="0.25">
      <c r="B2289" s="14" t="s">
        <v>207</v>
      </c>
      <c r="C2289" s="14" t="s">
        <v>139</v>
      </c>
      <c r="D2289" t="s">
        <v>46</v>
      </c>
      <c r="E2289" s="16" t="s">
        <v>133</v>
      </c>
      <c r="F2289">
        <v>2027</v>
      </c>
      <c r="G2289" s="12">
        <v>263929</v>
      </c>
      <c r="H2289" s="13">
        <v>0.99</v>
      </c>
      <c r="I2289" s="13">
        <v>0.99</v>
      </c>
      <c r="J2289" s="13">
        <v>0</v>
      </c>
      <c r="K2289" s="13"/>
      <c r="L2289" s="13">
        <v>0.04</v>
      </c>
      <c r="M2289" s="13">
        <v>0.25</v>
      </c>
    </row>
    <row r="2290" spans="2:13" x14ac:dyDescent="0.25">
      <c r="B2290" s="14" t="s">
        <v>207</v>
      </c>
      <c r="C2290" s="14" t="s">
        <v>139</v>
      </c>
      <c r="D2290" t="s">
        <v>46</v>
      </c>
      <c r="E2290" s="16" t="s">
        <v>133</v>
      </c>
      <c r="F2290">
        <v>2028</v>
      </c>
      <c r="G2290" s="12">
        <v>260683.90817958</v>
      </c>
      <c r="H2290" s="13">
        <v>0.99</v>
      </c>
      <c r="I2290" s="13">
        <v>0.99</v>
      </c>
      <c r="J2290" s="13">
        <v>0</v>
      </c>
      <c r="K2290" s="13"/>
      <c r="L2290" s="13">
        <v>0.04</v>
      </c>
      <c r="M2290" s="13">
        <v>0.25</v>
      </c>
    </row>
    <row r="2291" spans="2:13" x14ac:dyDescent="0.25">
      <c r="B2291" s="14" t="s">
        <v>207</v>
      </c>
      <c r="C2291" s="14" t="s">
        <v>139</v>
      </c>
      <c r="D2291" t="s">
        <v>46</v>
      </c>
      <c r="E2291" s="16" t="s">
        <v>133</v>
      </c>
      <c r="F2291">
        <v>2029</v>
      </c>
      <c r="G2291" s="12">
        <v>262052.76971373201</v>
      </c>
      <c r="H2291" s="13">
        <v>0.99</v>
      </c>
      <c r="I2291" s="13">
        <v>0.99</v>
      </c>
      <c r="J2291" s="13">
        <v>0</v>
      </c>
      <c r="K2291" s="13"/>
      <c r="L2291" s="13">
        <v>0.04</v>
      </c>
      <c r="M2291" s="13">
        <v>0.25</v>
      </c>
    </row>
    <row r="2292" spans="2:13" x14ac:dyDescent="0.25">
      <c r="B2292" s="14" t="s">
        <v>207</v>
      </c>
      <c r="C2292" s="14" t="s">
        <v>139</v>
      </c>
      <c r="D2292" t="s">
        <v>46</v>
      </c>
      <c r="E2292" s="16" t="s">
        <v>133</v>
      </c>
      <c r="F2292">
        <v>2030</v>
      </c>
      <c r="G2292" s="12">
        <v>265116.12054444902</v>
      </c>
      <c r="H2292" s="13">
        <v>0.99</v>
      </c>
      <c r="I2292" s="13">
        <v>0.99</v>
      </c>
      <c r="J2292" s="13">
        <v>0</v>
      </c>
      <c r="K2292" s="13"/>
      <c r="L2292" s="13">
        <v>0.04</v>
      </c>
      <c r="M2292" s="13">
        <v>0.25</v>
      </c>
    </row>
    <row r="2293" spans="2:13" x14ac:dyDescent="0.25">
      <c r="B2293" s="14" t="s">
        <v>207</v>
      </c>
      <c r="C2293" s="14" t="s">
        <v>108</v>
      </c>
      <c r="D2293" t="s">
        <v>46</v>
      </c>
      <c r="E2293" s="16" t="s">
        <v>133</v>
      </c>
      <c r="F2293">
        <v>2026</v>
      </c>
      <c r="G2293" s="12">
        <v>260763</v>
      </c>
      <c r="H2293" s="13">
        <v>0.66720235350000001</v>
      </c>
      <c r="I2293" s="13"/>
      <c r="J2293" s="13"/>
      <c r="K2293" s="13"/>
      <c r="L2293" s="13"/>
      <c r="M2293" s="13"/>
    </row>
    <row r="2294" spans="2:13" x14ac:dyDescent="0.25">
      <c r="B2294" s="14" t="s">
        <v>207</v>
      </c>
      <c r="C2294" s="14" t="s">
        <v>108</v>
      </c>
      <c r="D2294" t="s">
        <v>46</v>
      </c>
      <c r="E2294" s="16" t="s">
        <v>133</v>
      </c>
      <c r="F2294">
        <v>2027</v>
      </c>
      <c r="G2294" s="12">
        <v>258547</v>
      </c>
      <c r="H2294" s="13">
        <v>0.6972023249</v>
      </c>
      <c r="I2294" s="13"/>
      <c r="J2294" s="13"/>
      <c r="K2294" s="13"/>
      <c r="L2294" s="13"/>
      <c r="M2294" s="13"/>
    </row>
    <row r="2295" spans="2:13" x14ac:dyDescent="0.25">
      <c r="B2295" s="14" t="s">
        <v>207</v>
      </c>
      <c r="C2295" s="14" t="s">
        <v>108</v>
      </c>
      <c r="D2295" t="s">
        <v>46</v>
      </c>
      <c r="E2295" s="16" t="s">
        <v>133</v>
      </c>
      <c r="F2295">
        <v>2028</v>
      </c>
      <c r="G2295" s="12">
        <v>257659</v>
      </c>
      <c r="H2295" s="13">
        <v>0.7272022963</v>
      </c>
      <c r="I2295" s="13"/>
      <c r="J2295" s="13"/>
      <c r="K2295" s="13"/>
      <c r="L2295" s="13"/>
      <c r="M2295" s="13"/>
    </row>
    <row r="2296" spans="2:13" x14ac:dyDescent="0.25">
      <c r="B2296" s="14" t="s">
        <v>207</v>
      </c>
      <c r="C2296" s="14" t="s">
        <v>108</v>
      </c>
      <c r="D2296" t="s">
        <v>46</v>
      </c>
      <c r="E2296" s="16" t="s">
        <v>133</v>
      </c>
      <c r="F2296">
        <v>2029</v>
      </c>
      <c r="G2296" s="12">
        <v>258300</v>
      </c>
      <c r="H2296" s="13">
        <v>0.73720228669999999</v>
      </c>
      <c r="I2296" s="13"/>
      <c r="J2296" s="13"/>
      <c r="K2296" s="13"/>
      <c r="L2296" s="13"/>
      <c r="M2296" s="13"/>
    </row>
    <row r="2297" spans="2:13" x14ac:dyDescent="0.25">
      <c r="B2297" s="15" t="s">
        <v>207</v>
      </c>
      <c r="C2297" s="14" t="s">
        <v>108</v>
      </c>
      <c r="D2297" t="s">
        <v>46</v>
      </c>
      <c r="E2297" s="16" t="s">
        <v>133</v>
      </c>
      <c r="F2297">
        <v>2030</v>
      </c>
      <c r="G2297" s="12">
        <v>260412</v>
      </c>
      <c r="H2297" s="13">
        <v>0.74720227719999999</v>
      </c>
      <c r="I2297" s="13"/>
      <c r="J2297" s="13"/>
      <c r="K2297" s="13"/>
      <c r="L2297" s="13"/>
      <c r="M2297" s="13">
        <v>0.25</v>
      </c>
    </row>
    <row r="2298" spans="2:13" x14ac:dyDescent="0.25">
      <c r="B2298" s="14" t="s">
        <v>208</v>
      </c>
      <c r="C2298" s="14" t="s">
        <v>132</v>
      </c>
      <c r="D2298" t="s">
        <v>46</v>
      </c>
      <c r="E2298" s="16" t="s">
        <v>133</v>
      </c>
      <c r="F2298">
        <v>2026</v>
      </c>
      <c r="G2298" s="12">
        <v>41445</v>
      </c>
      <c r="H2298" s="13">
        <v>0.9</v>
      </c>
      <c r="I2298" s="13">
        <v>0.9</v>
      </c>
      <c r="J2298" s="13">
        <v>0.9</v>
      </c>
      <c r="K2298" s="13">
        <v>0</v>
      </c>
      <c r="L2298" s="13">
        <v>0.1</v>
      </c>
      <c r="M2298" s="13">
        <v>0.25</v>
      </c>
    </row>
    <row r="2299" spans="2:13" x14ac:dyDescent="0.25">
      <c r="B2299" s="14" t="s">
        <v>208</v>
      </c>
      <c r="C2299" s="14" t="s">
        <v>132</v>
      </c>
      <c r="D2299" t="s">
        <v>46</v>
      </c>
      <c r="E2299" s="16" t="s">
        <v>133</v>
      </c>
      <c r="F2299">
        <v>2027</v>
      </c>
      <c r="G2299" s="12">
        <v>41711.3399939753</v>
      </c>
      <c r="H2299" s="13">
        <v>0.45329999999999998</v>
      </c>
      <c r="I2299" s="13">
        <v>0.45329999999999998</v>
      </c>
      <c r="J2299" s="13">
        <v>0.45329999999999998</v>
      </c>
      <c r="K2299" s="13">
        <v>0</v>
      </c>
      <c r="L2299" s="13">
        <v>7.0000000000000007E-2</v>
      </c>
      <c r="M2299" s="13">
        <v>0.25</v>
      </c>
    </row>
    <row r="2300" spans="2:13" x14ac:dyDescent="0.25">
      <c r="B2300" s="14" t="s">
        <v>208</v>
      </c>
      <c r="C2300" s="14" t="s">
        <v>132</v>
      </c>
      <c r="D2300" t="s">
        <v>46</v>
      </c>
      <c r="E2300" s="16" t="s">
        <v>133</v>
      </c>
      <c r="F2300">
        <v>2028</v>
      </c>
      <c r="G2300" s="12">
        <v>41976.292800481999</v>
      </c>
      <c r="H2300" s="13">
        <v>0</v>
      </c>
      <c r="I2300" s="13">
        <v>0</v>
      </c>
      <c r="J2300" s="13">
        <v>0</v>
      </c>
      <c r="K2300" s="13">
        <v>0</v>
      </c>
      <c r="L2300" s="13">
        <v>7.0000000000000007E-2</v>
      </c>
      <c r="M2300" s="13">
        <v>0.25</v>
      </c>
    </row>
    <row r="2301" spans="2:13" x14ac:dyDescent="0.25">
      <c r="B2301" s="14" t="s">
        <v>208</v>
      </c>
      <c r="C2301" s="14" t="s">
        <v>70</v>
      </c>
      <c r="D2301" t="s">
        <v>46</v>
      </c>
      <c r="E2301" s="16" t="s">
        <v>133</v>
      </c>
      <c r="F2301">
        <v>2026</v>
      </c>
      <c r="G2301" s="12">
        <v>41445</v>
      </c>
      <c r="H2301" s="13">
        <v>0.5625</v>
      </c>
      <c r="I2301" s="13">
        <v>0.53125</v>
      </c>
      <c r="J2301" s="13">
        <v>0</v>
      </c>
      <c r="K2301" s="13">
        <v>0</v>
      </c>
      <c r="L2301" s="13">
        <v>7.0000000000000007E-2</v>
      </c>
      <c r="M2301" s="13">
        <v>0.25</v>
      </c>
    </row>
    <row r="2302" spans="2:13" x14ac:dyDescent="0.25">
      <c r="B2302" s="14" t="s">
        <v>208</v>
      </c>
      <c r="C2302" s="14" t="s">
        <v>70</v>
      </c>
      <c r="D2302" t="s">
        <v>46</v>
      </c>
      <c r="E2302" s="16" t="s">
        <v>133</v>
      </c>
      <c r="F2302">
        <v>2027</v>
      </c>
      <c r="G2302" s="12">
        <v>41711.3399939753</v>
      </c>
      <c r="H2302" s="13">
        <v>0.45329999999999998</v>
      </c>
      <c r="I2302" s="13">
        <v>0.42830000000000001</v>
      </c>
      <c r="J2302" s="13">
        <v>3.3E-3</v>
      </c>
      <c r="K2302" s="13">
        <v>0</v>
      </c>
      <c r="L2302" s="13">
        <v>7.0000000000000007E-2</v>
      </c>
      <c r="M2302" s="13">
        <v>0.25</v>
      </c>
    </row>
    <row r="2303" spans="2:13" x14ac:dyDescent="0.25">
      <c r="B2303" s="14" t="s">
        <v>208</v>
      </c>
      <c r="C2303" s="14" t="s">
        <v>70</v>
      </c>
      <c r="D2303" t="s">
        <v>46</v>
      </c>
      <c r="E2303" s="16" t="s">
        <v>133</v>
      </c>
      <c r="F2303">
        <v>2028</v>
      </c>
      <c r="G2303" s="12">
        <v>41976.292800481999</v>
      </c>
      <c r="H2303" s="13">
        <v>0</v>
      </c>
      <c r="I2303" s="13">
        <v>0</v>
      </c>
      <c r="J2303" s="13">
        <v>0</v>
      </c>
      <c r="K2303" s="13">
        <v>0</v>
      </c>
      <c r="L2303" s="13">
        <v>7.0000000000000007E-2</v>
      </c>
      <c r="M2303" s="13">
        <v>0.25</v>
      </c>
    </row>
    <row r="2304" spans="2:13" x14ac:dyDescent="0.25">
      <c r="B2304" s="14" t="s">
        <v>208</v>
      </c>
      <c r="C2304" s="14" t="s">
        <v>134</v>
      </c>
      <c r="D2304" t="s">
        <v>46</v>
      </c>
      <c r="E2304" s="16" t="s">
        <v>133</v>
      </c>
      <c r="F2304">
        <v>2026</v>
      </c>
      <c r="G2304" s="12">
        <v>41445</v>
      </c>
      <c r="H2304" s="13">
        <v>0</v>
      </c>
      <c r="I2304" s="13">
        <v>0</v>
      </c>
      <c r="J2304" s="13">
        <v>0</v>
      </c>
      <c r="K2304" s="13">
        <v>0</v>
      </c>
      <c r="L2304" s="13">
        <v>7.0000000000000007E-2</v>
      </c>
      <c r="M2304" s="13">
        <v>0.25</v>
      </c>
    </row>
    <row r="2305" spans="2:13" x14ac:dyDescent="0.25">
      <c r="B2305" s="14" t="s">
        <v>208</v>
      </c>
      <c r="C2305" s="14" t="s">
        <v>134</v>
      </c>
      <c r="D2305" t="s">
        <v>46</v>
      </c>
      <c r="E2305" s="16" t="s">
        <v>133</v>
      </c>
      <c r="F2305">
        <v>2027</v>
      </c>
      <c r="G2305" s="12">
        <v>41711.3399939753</v>
      </c>
      <c r="H2305" s="13">
        <v>0.45329999999999998</v>
      </c>
      <c r="I2305" s="13">
        <v>0.45329999999999998</v>
      </c>
      <c r="J2305" s="13">
        <v>0.45329999999999998</v>
      </c>
      <c r="K2305" s="13">
        <v>0</v>
      </c>
      <c r="L2305" s="13">
        <v>7.0000000000000007E-2</v>
      </c>
      <c r="M2305" s="13">
        <v>0.25</v>
      </c>
    </row>
    <row r="2306" spans="2:13" x14ac:dyDescent="0.25">
      <c r="B2306" s="14" t="s">
        <v>208</v>
      </c>
      <c r="C2306" s="14" t="s">
        <v>134</v>
      </c>
      <c r="D2306" t="s">
        <v>46</v>
      </c>
      <c r="E2306" s="16" t="s">
        <v>133</v>
      </c>
      <c r="F2306">
        <v>2028</v>
      </c>
      <c r="G2306" s="12">
        <v>41976.292800481999</v>
      </c>
      <c r="H2306" s="13">
        <v>0.91320000000000001</v>
      </c>
      <c r="I2306" s="13">
        <v>0.91320000000000001</v>
      </c>
      <c r="J2306" s="13">
        <v>0.91320000000000001</v>
      </c>
      <c r="K2306" s="13">
        <v>0</v>
      </c>
      <c r="L2306" s="13">
        <v>7.0000000000000007E-2</v>
      </c>
      <c r="M2306" s="13">
        <v>0.25</v>
      </c>
    </row>
    <row r="2307" spans="2:13" x14ac:dyDescent="0.25">
      <c r="B2307" s="14" t="s">
        <v>208</v>
      </c>
      <c r="C2307" s="14" t="s">
        <v>134</v>
      </c>
      <c r="D2307" t="s">
        <v>46</v>
      </c>
      <c r="E2307" s="16" t="s">
        <v>133</v>
      </c>
      <c r="F2307">
        <v>2029</v>
      </c>
      <c r="G2307" s="12">
        <v>42282.861231047304</v>
      </c>
      <c r="H2307" s="13">
        <v>0.91979999999999995</v>
      </c>
      <c r="I2307" s="13">
        <v>0.91979999999999995</v>
      </c>
      <c r="J2307" s="13">
        <v>0.91979999999999995</v>
      </c>
      <c r="K2307" s="13">
        <v>0</v>
      </c>
      <c r="L2307" s="13">
        <v>7.0000000000000007E-2</v>
      </c>
      <c r="M2307" s="13">
        <v>0.25</v>
      </c>
    </row>
    <row r="2308" spans="2:13" x14ac:dyDescent="0.25">
      <c r="B2308" s="14" t="s">
        <v>208</v>
      </c>
      <c r="C2308" s="14" t="s">
        <v>134</v>
      </c>
      <c r="D2308" t="s">
        <v>46</v>
      </c>
      <c r="E2308" s="16" t="s">
        <v>133</v>
      </c>
      <c r="F2308">
        <v>2030</v>
      </c>
      <c r="G2308" s="12">
        <v>42441.0006024701</v>
      </c>
      <c r="H2308" s="13">
        <v>0.9264</v>
      </c>
      <c r="I2308" s="13">
        <v>0.9264</v>
      </c>
      <c r="J2308" s="13">
        <v>0.9264</v>
      </c>
      <c r="K2308" s="13">
        <v>0</v>
      </c>
      <c r="L2308" s="13">
        <v>7.0000000000000007E-2</v>
      </c>
      <c r="M2308" s="13">
        <v>0.25</v>
      </c>
    </row>
    <row r="2309" spans="2:13" x14ac:dyDescent="0.25">
      <c r="B2309" s="14" t="s">
        <v>208</v>
      </c>
      <c r="C2309" s="14" t="s">
        <v>72</v>
      </c>
      <c r="D2309" t="s">
        <v>46</v>
      </c>
      <c r="E2309" s="16" t="s">
        <v>133</v>
      </c>
      <c r="F2309">
        <v>2026</v>
      </c>
      <c r="G2309" s="12">
        <v>41445</v>
      </c>
      <c r="H2309" s="13">
        <v>0.9</v>
      </c>
      <c r="I2309" s="13">
        <v>0.9</v>
      </c>
      <c r="J2309" s="13">
        <v>0.9</v>
      </c>
      <c r="K2309" s="13"/>
      <c r="L2309" s="13">
        <v>0.1</v>
      </c>
      <c r="M2309" s="13">
        <v>0.25</v>
      </c>
    </row>
    <row r="2310" spans="2:13" x14ac:dyDescent="0.25">
      <c r="B2310" s="14" t="s">
        <v>208</v>
      </c>
      <c r="C2310" s="14" t="s">
        <v>72</v>
      </c>
      <c r="D2310" t="s">
        <v>46</v>
      </c>
      <c r="E2310" s="16" t="s">
        <v>133</v>
      </c>
      <c r="F2310">
        <v>2027</v>
      </c>
      <c r="G2310" s="12">
        <v>41711.3399939753</v>
      </c>
      <c r="H2310" s="13">
        <v>0.90659999999999996</v>
      </c>
      <c r="I2310" s="13">
        <v>0.90659999999999996</v>
      </c>
      <c r="J2310" s="13">
        <v>0.90659999999999996</v>
      </c>
      <c r="K2310" s="13"/>
      <c r="L2310" s="13">
        <v>7.0000000000000007E-2</v>
      </c>
      <c r="M2310" s="13">
        <v>0.25</v>
      </c>
    </row>
    <row r="2311" spans="2:13" x14ac:dyDescent="0.25">
      <c r="B2311" s="14" t="s">
        <v>208</v>
      </c>
      <c r="C2311" s="14" t="s">
        <v>72</v>
      </c>
      <c r="D2311" t="s">
        <v>46</v>
      </c>
      <c r="E2311" s="16" t="s">
        <v>133</v>
      </c>
      <c r="F2311">
        <v>2028</v>
      </c>
      <c r="G2311" s="12">
        <v>41976.292800481999</v>
      </c>
      <c r="H2311" s="13">
        <v>0.91320000000000001</v>
      </c>
      <c r="I2311" s="13">
        <v>0.91320000000000001</v>
      </c>
      <c r="J2311" s="13">
        <v>0.91320000000000001</v>
      </c>
      <c r="K2311" s="13"/>
      <c r="L2311" s="13">
        <v>7.0000000000000007E-2</v>
      </c>
      <c r="M2311" s="13">
        <v>0.25</v>
      </c>
    </row>
    <row r="2312" spans="2:13" x14ac:dyDescent="0.25">
      <c r="B2312" s="14" t="s">
        <v>208</v>
      </c>
      <c r="C2312" s="14" t="s">
        <v>72</v>
      </c>
      <c r="D2312" t="s">
        <v>46</v>
      </c>
      <c r="E2312" s="16" t="s">
        <v>133</v>
      </c>
      <c r="F2312">
        <v>2029</v>
      </c>
      <c r="G2312" s="12">
        <v>42282.861231047304</v>
      </c>
      <c r="H2312" s="13">
        <v>0.91979999999999995</v>
      </c>
      <c r="I2312" s="13">
        <v>0.91979999999999995</v>
      </c>
      <c r="J2312" s="13">
        <v>0.91979999999999995</v>
      </c>
      <c r="K2312" s="13"/>
      <c r="L2312" s="13">
        <v>7.0000000000000007E-2</v>
      </c>
      <c r="M2312" s="13">
        <v>0.25</v>
      </c>
    </row>
    <row r="2313" spans="2:13" x14ac:dyDescent="0.25">
      <c r="B2313" s="14" t="s">
        <v>208</v>
      </c>
      <c r="C2313" s="14" t="s">
        <v>72</v>
      </c>
      <c r="D2313" t="s">
        <v>46</v>
      </c>
      <c r="E2313" s="16" t="s">
        <v>133</v>
      </c>
      <c r="F2313">
        <v>2030</v>
      </c>
      <c r="G2313" s="12">
        <v>42441.0006024701</v>
      </c>
      <c r="H2313" s="13">
        <v>0.9264</v>
      </c>
      <c r="I2313" s="13">
        <v>0.9264</v>
      </c>
      <c r="J2313" s="13">
        <v>0.9264</v>
      </c>
      <c r="K2313" s="13"/>
      <c r="L2313" s="13">
        <v>7.0000000000000007E-2</v>
      </c>
      <c r="M2313" s="13">
        <v>0.25</v>
      </c>
    </row>
    <row r="2314" spans="2:13" x14ac:dyDescent="0.25">
      <c r="B2314" s="14" t="s">
        <v>208</v>
      </c>
      <c r="C2314" s="14" t="s">
        <v>102</v>
      </c>
      <c r="D2314" t="s">
        <v>46</v>
      </c>
      <c r="E2314" s="16" t="s">
        <v>133</v>
      </c>
      <c r="F2314">
        <v>2026</v>
      </c>
      <c r="G2314" s="12">
        <v>41445</v>
      </c>
      <c r="H2314" s="13">
        <v>0.91979999999999995</v>
      </c>
      <c r="I2314" s="13"/>
      <c r="J2314" s="13"/>
      <c r="K2314" s="13"/>
      <c r="L2314" s="13">
        <v>7.0000000000000007E-2</v>
      </c>
      <c r="M2314" s="13">
        <v>0.25</v>
      </c>
    </row>
    <row r="2315" spans="2:13" x14ac:dyDescent="0.25">
      <c r="B2315" s="14" t="s">
        <v>208</v>
      </c>
      <c r="C2315" s="14" t="s">
        <v>102</v>
      </c>
      <c r="D2315" t="s">
        <v>46</v>
      </c>
      <c r="E2315" s="16" t="s">
        <v>133</v>
      </c>
      <c r="F2315">
        <v>2027</v>
      </c>
      <c r="G2315" s="12">
        <v>41711.3399939753</v>
      </c>
      <c r="H2315" s="13">
        <v>0.9264</v>
      </c>
      <c r="I2315" s="13"/>
      <c r="J2315" s="13"/>
      <c r="K2315" s="13"/>
      <c r="L2315" s="13">
        <v>7.0000000000000007E-2</v>
      </c>
      <c r="M2315" s="13">
        <v>0.25</v>
      </c>
    </row>
    <row r="2316" spans="2:13" x14ac:dyDescent="0.25">
      <c r="B2316" s="14" t="s">
        <v>208</v>
      </c>
      <c r="C2316" s="14" t="s">
        <v>102</v>
      </c>
      <c r="D2316" t="s">
        <v>46</v>
      </c>
      <c r="E2316" s="16" t="s">
        <v>133</v>
      </c>
      <c r="F2316">
        <v>2028</v>
      </c>
      <c r="G2316" s="12">
        <v>41976.292800481999</v>
      </c>
      <c r="H2316" s="13">
        <v>0.93300000000000005</v>
      </c>
      <c r="I2316" s="13"/>
      <c r="J2316" s="13"/>
      <c r="K2316" s="13"/>
      <c r="L2316" s="13">
        <v>7.0000000000000007E-2</v>
      </c>
      <c r="M2316" s="13">
        <v>0.25</v>
      </c>
    </row>
    <row r="2317" spans="2:13" x14ac:dyDescent="0.25">
      <c r="B2317" s="14" t="s">
        <v>208</v>
      </c>
      <c r="C2317" s="14" t="s">
        <v>102</v>
      </c>
      <c r="D2317" t="s">
        <v>46</v>
      </c>
      <c r="E2317" s="16" t="s">
        <v>133</v>
      </c>
      <c r="F2317">
        <v>2029</v>
      </c>
      <c r="G2317" s="12">
        <v>42282.861231047304</v>
      </c>
      <c r="H2317" s="13">
        <v>0.93959999999999999</v>
      </c>
      <c r="I2317" s="13"/>
      <c r="J2317" s="13"/>
      <c r="K2317" s="13"/>
      <c r="L2317" s="13">
        <v>7.0000000000000007E-2</v>
      </c>
      <c r="M2317" s="13">
        <v>0.25</v>
      </c>
    </row>
    <row r="2318" spans="2:13" x14ac:dyDescent="0.25">
      <c r="B2318" s="14" t="s">
        <v>208</v>
      </c>
      <c r="C2318" s="14" t="s">
        <v>102</v>
      </c>
      <c r="D2318" t="s">
        <v>46</v>
      </c>
      <c r="E2318" s="16" t="s">
        <v>133</v>
      </c>
      <c r="F2318">
        <v>2030</v>
      </c>
      <c r="G2318" s="12">
        <v>42441.0006024701</v>
      </c>
      <c r="H2318" s="13">
        <v>0.94620000000000004</v>
      </c>
      <c r="I2318" s="13"/>
      <c r="J2318" s="13"/>
      <c r="K2318" s="13"/>
      <c r="L2318" s="13">
        <v>7.0000000000000007E-2</v>
      </c>
      <c r="M2318" s="13">
        <v>0.25</v>
      </c>
    </row>
    <row r="2319" spans="2:13" x14ac:dyDescent="0.25">
      <c r="B2319" s="14" t="s">
        <v>208</v>
      </c>
      <c r="C2319" s="14" t="s">
        <v>15</v>
      </c>
      <c r="D2319" t="s">
        <v>46</v>
      </c>
      <c r="E2319" s="16" t="s">
        <v>133</v>
      </c>
      <c r="F2319">
        <v>2026</v>
      </c>
      <c r="G2319" s="12">
        <v>17189</v>
      </c>
      <c r="H2319" s="13">
        <v>0.99</v>
      </c>
      <c r="I2319" s="13"/>
      <c r="J2319" s="13"/>
      <c r="K2319" s="13"/>
      <c r="L2319" s="13">
        <v>0.05</v>
      </c>
      <c r="M2319" s="13">
        <v>0.25</v>
      </c>
    </row>
    <row r="2320" spans="2:13" x14ac:dyDescent="0.25">
      <c r="B2320" s="14" t="s">
        <v>208</v>
      </c>
      <c r="C2320" s="14" t="s">
        <v>15</v>
      </c>
      <c r="D2320" t="s">
        <v>46</v>
      </c>
      <c r="E2320" s="16" t="s">
        <v>133</v>
      </c>
      <c r="F2320">
        <v>2027</v>
      </c>
      <c r="G2320" s="12">
        <v>17515</v>
      </c>
      <c r="H2320" s="13">
        <v>0.99</v>
      </c>
      <c r="I2320" s="13"/>
      <c r="J2320" s="13"/>
      <c r="K2320" s="13"/>
      <c r="L2320" s="13">
        <v>0.05</v>
      </c>
      <c r="M2320" s="13">
        <v>0.25</v>
      </c>
    </row>
    <row r="2321" spans="2:13" x14ac:dyDescent="0.25">
      <c r="B2321" s="14" t="s">
        <v>208</v>
      </c>
      <c r="C2321" s="14" t="s">
        <v>15</v>
      </c>
      <c r="D2321" t="s">
        <v>46</v>
      </c>
      <c r="E2321" s="16" t="s">
        <v>133</v>
      </c>
      <c r="F2321">
        <v>2028</v>
      </c>
      <c r="G2321" s="12">
        <v>17306</v>
      </c>
      <c r="H2321" s="13">
        <v>0.99</v>
      </c>
      <c r="I2321" s="13"/>
      <c r="J2321" s="13"/>
      <c r="K2321" s="13"/>
      <c r="L2321" s="13">
        <v>0.05</v>
      </c>
      <c r="M2321" s="13">
        <v>0.25</v>
      </c>
    </row>
    <row r="2322" spans="2:13" x14ac:dyDescent="0.25">
      <c r="B2322" s="14" t="s">
        <v>208</v>
      </c>
      <c r="C2322" s="14" t="s">
        <v>15</v>
      </c>
      <c r="D2322" t="s">
        <v>46</v>
      </c>
      <c r="E2322" s="16" t="s">
        <v>133</v>
      </c>
      <c r="F2322">
        <v>2029</v>
      </c>
      <c r="G2322" s="12">
        <v>16735</v>
      </c>
      <c r="H2322" s="13">
        <v>0.99</v>
      </c>
      <c r="I2322" s="13"/>
      <c r="J2322" s="13"/>
      <c r="K2322" s="13"/>
      <c r="L2322" s="13">
        <v>0.05</v>
      </c>
      <c r="M2322" s="13">
        <v>0.25</v>
      </c>
    </row>
    <row r="2323" spans="2:13" x14ac:dyDescent="0.25">
      <c r="B2323" s="14" t="s">
        <v>208</v>
      </c>
      <c r="C2323" s="14" t="s">
        <v>15</v>
      </c>
      <c r="D2323" t="s">
        <v>46</v>
      </c>
      <c r="E2323" s="16" t="s">
        <v>133</v>
      </c>
      <c r="F2323">
        <v>2030</v>
      </c>
      <c r="G2323" s="12">
        <v>15900</v>
      </c>
      <c r="H2323" s="13">
        <v>0.99</v>
      </c>
      <c r="I2323" s="13"/>
      <c r="J2323" s="13"/>
      <c r="K2323" s="13"/>
      <c r="L2323" s="13">
        <v>0.05</v>
      </c>
      <c r="M2323" s="13">
        <v>0.25</v>
      </c>
    </row>
    <row r="2324" spans="2:13" x14ac:dyDescent="0.25">
      <c r="B2324" s="14" t="s">
        <v>208</v>
      </c>
      <c r="C2324" s="14" t="s">
        <v>52</v>
      </c>
      <c r="D2324" t="s">
        <v>141</v>
      </c>
      <c r="E2324" s="16" t="s">
        <v>133</v>
      </c>
      <c r="F2324">
        <v>2027</v>
      </c>
      <c r="G2324" s="12">
        <v>131335.875</v>
      </c>
      <c r="H2324" s="13">
        <v>1</v>
      </c>
      <c r="I2324" s="13"/>
      <c r="J2324" s="13"/>
      <c r="K2324" s="13"/>
      <c r="L2324" s="13"/>
      <c r="M2324" s="13"/>
    </row>
    <row r="2325" spans="2:13" x14ac:dyDescent="0.25">
      <c r="B2325" s="14" t="s">
        <v>208</v>
      </c>
      <c r="C2325" s="14" t="s">
        <v>139</v>
      </c>
      <c r="D2325" t="s">
        <v>46</v>
      </c>
      <c r="E2325" s="16" t="s">
        <v>133</v>
      </c>
      <c r="F2325">
        <v>2026</v>
      </c>
      <c r="G2325" s="12">
        <v>41445</v>
      </c>
      <c r="H2325" s="13">
        <v>0.9</v>
      </c>
      <c r="I2325" s="13">
        <v>0.9</v>
      </c>
      <c r="J2325" s="13">
        <v>0.9</v>
      </c>
      <c r="K2325" s="13"/>
      <c r="L2325" s="13">
        <v>0.15</v>
      </c>
      <c r="M2325" s="13">
        <v>0.25</v>
      </c>
    </row>
    <row r="2326" spans="2:13" x14ac:dyDescent="0.25">
      <c r="B2326" s="14" t="s">
        <v>208</v>
      </c>
      <c r="C2326" s="14" t="s">
        <v>139</v>
      </c>
      <c r="D2326" t="s">
        <v>46</v>
      </c>
      <c r="E2326" s="16" t="s">
        <v>133</v>
      </c>
      <c r="F2326">
        <v>2027</v>
      </c>
      <c r="G2326" s="12">
        <v>41711.3399939753</v>
      </c>
      <c r="H2326" s="13">
        <v>0.90659999999999996</v>
      </c>
      <c r="I2326" s="13">
        <v>0.90659999999999996</v>
      </c>
      <c r="J2326" s="13">
        <v>0.90659999999999996</v>
      </c>
      <c r="K2326" s="13"/>
      <c r="L2326" s="13">
        <v>7.0000000000000007E-2</v>
      </c>
      <c r="M2326" s="13">
        <v>0.25</v>
      </c>
    </row>
    <row r="2327" spans="2:13" x14ac:dyDescent="0.25">
      <c r="B2327" s="14" t="s">
        <v>208</v>
      </c>
      <c r="C2327" s="14" t="s">
        <v>139</v>
      </c>
      <c r="D2327" t="s">
        <v>46</v>
      </c>
      <c r="E2327" s="16" t="s">
        <v>133</v>
      </c>
      <c r="F2327">
        <v>2028</v>
      </c>
      <c r="G2327" s="12">
        <v>41976.292800481999</v>
      </c>
      <c r="H2327" s="13">
        <v>0.91320000000000001</v>
      </c>
      <c r="I2327" s="13">
        <v>0.91320000000000001</v>
      </c>
      <c r="J2327" s="13">
        <v>0.91320000000000001</v>
      </c>
      <c r="K2327" s="13"/>
      <c r="L2327" s="13">
        <v>7.0000000000000007E-2</v>
      </c>
      <c r="M2327" s="13">
        <v>0.25</v>
      </c>
    </row>
    <row r="2328" spans="2:13" x14ac:dyDescent="0.25">
      <c r="B2328" s="14" t="s">
        <v>208</v>
      </c>
      <c r="C2328" s="14" t="s">
        <v>139</v>
      </c>
      <c r="D2328" t="s">
        <v>46</v>
      </c>
      <c r="E2328" s="16" t="s">
        <v>133</v>
      </c>
      <c r="F2328">
        <v>2029</v>
      </c>
      <c r="G2328" s="12">
        <v>42282.861231047304</v>
      </c>
      <c r="H2328" s="13">
        <v>0.91979999999999995</v>
      </c>
      <c r="I2328" s="13">
        <v>0.91979999999999995</v>
      </c>
      <c r="J2328" s="13">
        <v>0.91979999999999995</v>
      </c>
      <c r="K2328" s="13"/>
      <c r="L2328" s="13">
        <v>7.0000000000000007E-2</v>
      </c>
      <c r="M2328" s="13">
        <v>0.25</v>
      </c>
    </row>
    <row r="2329" spans="2:13" x14ac:dyDescent="0.25">
      <c r="B2329" s="15" t="s">
        <v>208</v>
      </c>
      <c r="C2329" s="14" t="s">
        <v>139</v>
      </c>
      <c r="D2329" t="s">
        <v>46</v>
      </c>
      <c r="E2329" s="16" t="s">
        <v>133</v>
      </c>
      <c r="F2329">
        <v>2030</v>
      </c>
      <c r="G2329" s="12">
        <v>42441.0006024701</v>
      </c>
      <c r="H2329" s="13">
        <v>0.9264</v>
      </c>
      <c r="I2329" s="13">
        <v>0.9264</v>
      </c>
      <c r="J2329" s="13">
        <v>0.9264</v>
      </c>
      <c r="K2329" s="13"/>
      <c r="L2329" s="13">
        <v>7.0000000000000007E-2</v>
      </c>
      <c r="M2329" s="13">
        <v>0.25</v>
      </c>
    </row>
    <row r="2330" spans="2:13" x14ac:dyDescent="0.25">
      <c r="B2330" s="14" t="s">
        <v>209</v>
      </c>
      <c r="C2330" s="14" t="s">
        <v>132</v>
      </c>
      <c r="D2330" t="s">
        <v>46</v>
      </c>
      <c r="E2330" s="16" t="s">
        <v>144</v>
      </c>
      <c r="F2330">
        <v>2027</v>
      </c>
      <c r="G2330" s="12">
        <v>7936.4849999999997</v>
      </c>
      <c r="H2330" s="13">
        <v>1</v>
      </c>
      <c r="I2330" s="13">
        <v>1</v>
      </c>
      <c r="J2330" s="13">
        <v>1</v>
      </c>
      <c r="K2330" s="13">
        <v>0</v>
      </c>
      <c r="L2330" s="13">
        <v>7.0000000000000007E-2</v>
      </c>
      <c r="M2330" s="13">
        <v>0.25</v>
      </c>
    </row>
    <row r="2331" spans="2:13" x14ac:dyDescent="0.25">
      <c r="B2331" s="14" t="s">
        <v>209</v>
      </c>
      <c r="C2331" s="14" t="s">
        <v>132</v>
      </c>
      <c r="D2331" t="s">
        <v>46</v>
      </c>
      <c r="E2331" s="16" t="s">
        <v>144</v>
      </c>
      <c r="F2331">
        <v>2028</v>
      </c>
      <c r="G2331" s="12">
        <v>7976.1674249999996</v>
      </c>
      <c r="H2331" s="13">
        <v>1</v>
      </c>
      <c r="I2331" s="13">
        <v>1</v>
      </c>
      <c r="J2331" s="13">
        <v>1</v>
      </c>
      <c r="K2331" s="13">
        <v>0</v>
      </c>
      <c r="L2331" s="13">
        <v>7.0000000000000007E-2</v>
      </c>
      <c r="M2331" s="13">
        <v>0.25</v>
      </c>
    </row>
    <row r="2332" spans="2:13" x14ac:dyDescent="0.25">
      <c r="B2332" s="14" t="s">
        <v>209</v>
      </c>
      <c r="C2332" s="14" t="s">
        <v>132</v>
      </c>
      <c r="D2332" t="s">
        <v>46</v>
      </c>
      <c r="E2332" s="16" t="s">
        <v>133</v>
      </c>
      <c r="F2332">
        <v>2026</v>
      </c>
      <c r="G2332" s="12">
        <v>2331862</v>
      </c>
      <c r="H2332" s="13">
        <v>0.94</v>
      </c>
      <c r="I2332" s="13">
        <v>0.93200000000000005</v>
      </c>
      <c r="J2332" s="13">
        <v>0.92</v>
      </c>
      <c r="K2332" s="13">
        <v>0</v>
      </c>
      <c r="L2332" s="13">
        <v>7.0000000000000007E-2</v>
      </c>
      <c r="M2332" s="13">
        <v>0.25</v>
      </c>
    </row>
    <row r="2333" spans="2:13" x14ac:dyDescent="0.25">
      <c r="B2333" s="14" t="s">
        <v>209</v>
      </c>
      <c r="C2333" s="14" t="s">
        <v>132</v>
      </c>
      <c r="D2333" t="s">
        <v>46</v>
      </c>
      <c r="E2333" s="16" t="s">
        <v>133</v>
      </c>
      <c r="F2333">
        <v>2027</v>
      </c>
      <c r="G2333" s="12">
        <v>2382977</v>
      </c>
      <c r="H2333" s="13">
        <v>0.95</v>
      </c>
      <c r="I2333" s="13">
        <v>0.94199999999999995</v>
      </c>
      <c r="J2333" s="13">
        <v>0.93</v>
      </c>
      <c r="K2333" s="13">
        <v>0</v>
      </c>
      <c r="L2333" s="13">
        <v>7.0000000000000007E-2</v>
      </c>
      <c r="M2333" s="13">
        <v>0.25</v>
      </c>
    </row>
    <row r="2334" spans="2:13" x14ac:dyDescent="0.25">
      <c r="B2334" s="14" t="s">
        <v>209</v>
      </c>
      <c r="C2334" s="14" t="s">
        <v>132</v>
      </c>
      <c r="D2334" t="s">
        <v>46</v>
      </c>
      <c r="E2334" s="16" t="s">
        <v>133</v>
      </c>
      <c r="F2334">
        <v>2028</v>
      </c>
      <c r="G2334" s="12">
        <v>2400171.91928272</v>
      </c>
      <c r="H2334" s="13">
        <v>0.95320000000000005</v>
      </c>
      <c r="I2334" s="13">
        <v>0.94499999999999995</v>
      </c>
      <c r="J2334" s="13">
        <v>0.93320000000000003</v>
      </c>
      <c r="K2334" s="13">
        <v>0</v>
      </c>
      <c r="L2334" s="13">
        <v>7.0000000000000007E-2</v>
      </c>
      <c r="M2334" s="13">
        <v>0.25</v>
      </c>
    </row>
    <row r="2335" spans="2:13" x14ac:dyDescent="0.25">
      <c r="B2335" s="14" t="s">
        <v>209</v>
      </c>
      <c r="C2335" s="14" t="s">
        <v>132</v>
      </c>
      <c r="D2335" t="s">
        <v>46</v>
      </c>
      <c r="E2335" s="16" t="s">
        <v>133</v>
      </c>
      <c r="F2335">
        <v>2029</v>
      </c>
      <c r="G2335" s="12">
        <v>2438176.9048690698</v>
      </c>
      <c r="H2335" s="13">
        <v>0.95979999999999999</v>
      </c>
      <c r="I2335" s="13">
        <v>0.9516</v>
      </c>
      <c r="J2335" s="13">
        <v>0.93979999999999997</v>
      </c>
      <c r="K2335" s="13">
        <v>0</v>
      </c>
      <c r="L2335" s="13">
        <v>7.0000000000000007E-2</v>
      </c>
      <c r="M2335" s="13">
        <v>0.25</v>
      </c>
    </row>
    <row r="2336" spans="2:13" x14ac:dyDescent="0.25">
      <c r="B2336" s="14" t="s">
        <v>209</v>
      </c>
      <c r="C2336" s="14" t="s">
        <v>132</v>
      </c>
      <c r="D2336" t="s">
        <v>46</v>
      </c>
      <c r="E2336" s="16" t="s">
        <v>133</v>
      </c>
      <c r="F2336">
        <v>2030</v>
      </c>
      <c r="G2336" s="12">
        <v>2475244.7546156198</v>
      </c>
      <c r="H2336" s="13">
        <v>0.96640000000000004</v>
      </c>
      <c r="I2336" s="13">
        <v>0.95820000000000005</v>
      </c>
      <c r="J2336" s="13">
        <v>0.94640000000000002</v>
      </c>
      <c r="K2336" s="13">
        <v>0</v>
      </c>
      <c r="L2336" s="13">
        <v>7.0000000000000007E-2</v>
      </c>
      <c r="M2336" s="13">
        <v>0.25</v>
      </c>
    </row>
    <row r="2337" spans="2:13" x14ac:dyDescent="0.25">
      <c r="B2337" s="14" t="s">
        <v>209</v>
      </c>
      <c r="C2337" s="14" t="s">
        <v>70</v>
      </c>
      <c r="D2337" t="s">
        <v>46</v>
      </c>
      <c r="E2337" s="16" t="s">
        <v>144</v>
      </c>
      <c r="F2337">
        <v>2027</v>
      </c>
      <c r="G2337" s="12">
        <v>7936.4849999999997</v>
      </c>
      <c r="H2337" s="13">
        <v>1</v>
      </c>
      <c r="I2337" s="13">
        <v>1</v>
      </c>
      <c r="J2337" s="13">
        <v>6.6E-3</v>
      </c>
      <c r="K2337" s="13">
        <v>0</v>
      </c>
      <c r="L2337" s="13">
        <v>7.0000000000000007E-2</v>
      </c>
      <c r="M2337" s="13">
        <v>0.25</v>
      </c>
    </row>
    <row r="2338" spans="2:13" x14ac:dyDescent="0.25">
      <c r="B2338" s="14" t="s">
        <v>209</v>
      </c>
      <c r="C2338" s="14" t="s">
        <v>70</v>
      </c>
      <c r="D2338" t="s">
        <v>46</v>
      </c>
      <c r="E2338" s="16" t="s">
        <v>144</v>
      </c>
      <c r="F2338">
        <v>2028</v>
      </c>
      <c r="G2338" s="12">
        <v>7976.1674249999996</v>
      </c>
      <c r="H2338" s="13">
        <v>1</v>
      </c>
      <c r="I2338" s="13">
        <v>1</v>
      </c>
      <c r="J2338" s="13">
        <v>1.32E-2</v>
      </c>
      <c r="K2338" s="13">
        <v>0</v>
      </c>
      <c r="L2338" s="13">
        <v>7.0000000000000007E-2</v>
      </c>
      <c r="M2338" s="13">
        <v>0.25</v>
      </c>
    </row>
    <row r="2339" spans="2:13" x14ac:dyDescent="0.25">
      <c r="B2339" s="14" t="s">
        <v>209</v>
      </c>
      <c r="C2339" s="14" t="s">
        <v>70</v>
      </c>
      <c r="D2339" t="s">
        <v>46</v>
      </c>
      <c r="E2339" s="16" t="s">
        <v>133</v>
      </c>
      <c r="F2339">
        <v>2026</v>
      </c>
      <c r="G2339" s="12">
        <v>2331862</v>
      </c>
      <c r="H2339" s="13">
        <v>0.92</v>
      </c>
      <c r="I2339" s="13">
        <v>0.92</v>
      </c>
      <c r="J2339" s="13">
        <v>0</v>
      </c>
      <c r="K2339" s="13">
        <v>0</v>
      </c>
      <c r="L2339" s="13">
        <v>7.0000000000000007E-2</v>
      </c>
      <c r="M2339" s="13">
        <v>0.25</v>
      </c>
    </row>
    <row r="2340" spans="2:13" x14ac:dyDescent="0.25">
      <c r="B2340" s="14" t="s">
        <v>209</v>
      </c>
      <c r="C2340" s="14" t="s">
        <v>70</v>
      </c>
      <c r="D2340" t="s">
        <v>46</v>
      </c>
      <c r="E2340" s="16" t="s">
        <v>133</v>
      </c>
      <c r="F2340">
        <v>2027</v>
      </c>
      <c r="G2340" s="12">
        <v>2382977</v>
      </c>
      <c r="H2340" s="13">
        <v>0.93</v>
      </c>
      <c r="I2340" s="13">
        <v>0.93</v>
      </c>
      <c r="J2340" s="13">
        <v>0</v>
      </c>
      <c r="K2340" s="13">
        <v>0</v>
      </c>
      <c r="L2340" s="13">
        <v>7.0000000000000007E-2</v>
      </c>
      <c r="M2340" s="13">
        <v>0.25</v>
      </c>
    </row>
    <row r="2341" spans="2:13" x14ac:dyDescent="0.25">
      <c r="B2341" s="14" t="s">
        <v>209</v>
      </c>
      <c r="C2341" s="14" t="s">
        <v>70</v>
      </c>
      <c r="D2341" t="s">
        <v>46</v>
      </c>
      <c r="E2341" s="16" t="s">
        <v>133</v>
      </c>
      <c r="F2341">
        <v>2028</v>
      </c>
      <c r="G2341" s="12">
        <v>2400171.91928272</v>
      </c>
      <c r="H2341" s="13">
        <v>0.93320000000000003</v>
      </c>
      <c r="I2341" s="13">
        <v>0.93320000000000003</v>
      </c>
      <c r="J2341" s="13">
        <v>1.32E-2</v>
      </c>
      <c r="K2341" s="13">
        <v>0</v>
      </c>
      <c r="L2341" s="13">
        <v>7.0000000000000007E-2</v>
      </c>
      <c r="M2341" s="13">
        <v>0.25</v>
      </c>
    </row>
    <row r="2342" spans="2:13" x14ac:dyDescent="0.25">
      <c r="B2342" s="14" t="s">
        <v>209</v>
      </c>
      <c r="C2342" s="14" t="s">
        <v>70</v>
      </c>
      <c r="D2342" t="s">
        <v>46</v>
      </c>
      <c r="E2342" s="16" t="s">
        <v>133</v>
      </c>
      <c r="F2342">
        <v>2029</v>
      </c>
      <c r="G2342" s="12">
        <v>2438176.9048690698</v>
      </c>
      <c r="H2342" s="13">
        <v>0.93979999999999997</v>
      </c>
      <c r="I2342" s="13">
        <v>0.93979999999999997</v>
      </c>
      <c r="J2342" s="13">
        <v>1.9800000000000002E-2</v>
      </c>
      <c r="K2342" s="13">
        <v>0</v>
      </c>
      <c r="L2342" s="13">
        <v>7.0000000000000007E-2</v>
      </c>
      <c r="M2342" s="13">
        <v>0.25</v>
      </c>
    </row>
    <row r="2343" spans="2:13" x14ac:dyDescent="0.25">
      <c r="B2343" s="14" t="s">
        <v>209</v>
      </c>
      <c r="C2343" s="14" t="s">
        <v>70</v>
      </c>
      <c r="D2343" t="s">
        <v>46</v>
      </c>
      <c r="E2343" s="16" t="s">
        <v>133</v>
      </c>
      <c r="F2343">
        <v>2030</v>
      </c>
      <c r="G2343" s="12">
        <v>2475244.7546156198</v>
      </c>
      <c r="H2343" s="13">
        <v>0.94640000000000002</v>
      </c>
      <c r="I2343" s="13">
        <v>0.94640000000000002</v>
      </c>
      <c r="J2343" s="13">
        <v>2.64E-2</v>
      </c>
      <c r="K2343" s="13">
        <v>0</v>
      </c>
      <c r="L2343" s="13">
        <v>7.0000000000000007E-2</v>
      </c>
      <c r="M2343" s="13">
        <v>0.25</v>
      </c>
    </row>
    <row r="2344" spans="2:13" x14ac:dyDescent="0.25">
      <c r="B2344" s="14" t="s">
        <v>209</v>
      </c>
      <c r="C2344" s="14" t="s">
        <v>72</v>
      </c>
      <c r="D2344" t="s">
        <v>46</v>
      </c>
      <c r="E2344" s="16" t="s">
        <v>144</v>
      </c>
      <c r="F2344">
        <v>2027</v>
      </c>
      <c r="G2344" s="12">
        <v>7936.4849999999997</v>
      </c>
      <c r="H2344" s="13">
        <v>0.9466</v>
      </c>
      <c r="I2344" s="13">
        <v>0.93840000000000001</v>
      </c>
      <c r="J2344" s="13">
        <v>0.92659999999999998</v>
      </c>
      <c r="K2344" s="13"/>
      <c r="L2344" s="13">
        <v>7.0000000000000007E-2</v>
      </c>
      <c r="M2344" s="13">
        <v>0.25</v>
      </c>
    </row>
    <row r="2345" spans="2:13" x14ac:dyDescent="0.25">
      <c r="B2345" s="14" t="s">
        <v>209</v>
      </c>
      <c r="C2345" s="14" t="s">
        <v>72</v>
      </c>
      <c r="D2345" t="s">
        <v>46</v>
      </c>
      <c r="E2345" s="16" t="s">
        <v>144</v>
      </c>
      <c r="F2345">
        <v>2028</v>
      </c>
      <c r="G2345" s="12">
        <v>7976.1674249999996</v>
      </c>
      <c r="H2345" s="13">
        <v>0.95320000000000005</v>
      </c>
      <c r="I2345" s="13">
        <v>0.94499999999999995</v>
      </c>
      <c r="J2345" s="13">
        <v>0.93320000000000003</v>
      </c>
      <c r="K2345" s="13"/>
      <c r="L2345" s="13">
        <v>7.0000000000000007E-2</v>
      </c>
      <c r="M2345" s="13">
        <v>0.25</v>
      </c>
    </row>
    <row r="2346" spans="2:13" x14ac:dyDescent="0.25">
      <c r="B2346" s="14" t="s">
        <v>209</v>
      </c>
      <c r="C2346" s="14" t="s">
        <v>72</v>
      </c>
      <c r="D2346" t="s">
        <v>46</v>
      </c>
      <c r="E2346" s="16" t="s">
        <v>150</v>
      </c>
      <c r="F2346">
        <v>2027</v>
      </c>
      <c r="G2346" s="12">
        <v>0</v>
      </c>
      <c r="H2346" s="13">
        <v>0.9466</v>
      </c>
      <c r="I2346" s="13">
        <v>0.93840000000000001</v>
      </c>
      <c r="J2346" s="13">
        <v>0.92659999999999998</v>
      </c>
      <c r="K2346" s="13"/>
      <c r="L2346" s="13">
        <v>7.0000000000000007E-2</v>
      </c>
      <c r="M2346" s="13">
        <v>0.25</v>
      </c>
    </row>
    <row r="2347" spans="2:13" x14ac:dyDescent="0.25">
      <c r="B2347" s="14" t="s">
        <v>209</v>
      </c>
      <c r="C2347" s="14" t="s">
        <v>72</v>
      </c>
      <c r="D2347" t="s">
        <v>46</v>
      </c>
      <c r="E2347" s="16" t="s">
        <v>150</v>
      </c>
      <c r="F2347">
        <v>2028</v>
      </c>
      <c r="G2347" s="12">
        <v>0</v>
      </c>
      <c r="H2347" s="13">
        <v>0.95320000000000005</v>
      </c>
      <c r="I2347" s="13">
        <v>0.94499999999999995</v>
      </c>
      <c r="J2347" s="13">
        <v>0.93320000000000003</v>
      </c>
      <c r="K2347" s="13"/>
      <c r="L2347" s="13">
        <v>7.0000000000000007E-2</v>
      </c>
      <c r="M2347" s="13">
        <v>0.25</v>
      </c>
    </row>
    <row r="2348" spans="2:13" x14ac:dyDescent="0.25">
      <c r="B2348" s="14" t="s">
        <v>209</v>
      </c>
      <c r="C2348" s="14" t="s">
        <v>72</v>
      </c>
      <c r="D2348" t="s">
        <v>46</v>
      </c>
      <c r="E2348" s="16" t="s">
        <v>133</v>
      </c>
      <c r="F2348">
        <v>2026</v>
      </c>
      <c r="G2348" s="12">
        <v>2331862</v>
      </c>
      <c r="H2348" s="13">
        <v>0.94</v>
      </c>
      <c r="I2348" s="13">
        <v>0.93200000000000005</v>
      </c>
      <c r="J2348" s="13">
        <v>0.92</v>
      </c>
      <c r="K2348" s="13"/>
      <c r="L2348" s="13">
        <v>7.0000000000000007E-2</v>
      </c>
      <c r="M2348" s="13">
        <v>0.25</v>
      </c>
    </row>
    <row r="2349" spans="2:13" x14ac:dyDescent="0.25">
      <c r="B2349" s="14" t="s">
        <v>209</v>
      </c>
      <c r="C2349" s="14" t="s">
        <v>72</v>
      </c>
      <c r="D2349" t="s">
        <v>46</v>
      </c>
      <c r="E2349" s="16" t="s">
        <v>133</v>
      </c>
      <c r="F2349">
        <v>2027</v>
      </c>
      <c r="G2349" s="12">
        <v>2382977</v>
      </c>
      <c r="H2349" s="13">
        <v>0.95</v>
      </c>
      <c r="I2349" s="13">
        <v>0.94199999999999995</v>
      </c>
      <c r="J2349" s="13">
        <v>0.93</v>
      </c>
      <c r="K2349" s="13"/>
      <c r="L2349" s="13">
        <v>7.0000000000000007E-2</v>
      </c>
      <c r="M2349" s="13">
        <v>0.25</v>
      </c>
    </row>
    <row r="2350" spans="2:13" x14ac:dyDescent="0.25">
      <c r="B2350" s="14" t="s">
        <v>209</v>
      </c>
      <c r="C2350" s="14" t="s">
        <v>72</v>
      </c>
      <c r="D2350" t="s">
        <v>46</v>
      </c>
      <c r="E2350" s="16" t="s">
        <v>133</v>
      </c>
      <c r="F2350">
        <v>2028</v>
      </c>
      <c r="G2350" s="12">
        <v>2400171.91928272</v>
      </c>
      <c r="H2350" s="13">
        <v>0.95320000000000005</v>
      </c>
      <c r="I2350" s="13">
        <v>0.94499999999999995</v>
      </c>
      <c r="J2350" s="13">
        <v>0.93320000000000003</v>
      </c>
      <c r="K2350" s="13"/>
      <c r="L2350" s="13">
        <v>7.0000000000000007E-2</v>
      </c>
      <c r="M2350" s="13">
        <v>0.25</v>
      </c>
    </row>
    <row r="2351" spans="2:13" x14ac:dyDescent="0.25">
      <c r="B2351" s="14" t="s">
        <v>209</v>
      </c>
      <c r="C2351" s="14" t="s">
        <v>72</v>
      </c>
      <c r="D2351" t="s">
        <v>46</v>
      </c>
      <c r="E2351" s="16" t="s">
        <v>133</v>
      </c>
      <c r="F2351">
        <v>2029</v>
      </c>
      <c r="G2351" s="12">
        <v>2438176.9048690698</v>
      </c>
      <c r="H2351" s="13">
        <v>0.95979999999999999</v>
      </c>
      <c r="I2351" s="13">
        <v>0.9516</v>
      </c>
      <c r="J2351" s="13">
        <v>0.93979999999999997</v>
      </c>
      <c r="K2351" s="13"/>
      <c r="L2351" s="13">
        <v>7.0000000000000007E-2</v>
      </c>
      <c r="M2351" s="13">
        <v>0.25</v>
      </c>
    </row>
    <row r="2352" spans="2:13" x14ac:dyDescent="0.25">
      <c r="B2352" s="14" t="s">
        <v>209</v>
      </c>
      <c r="C2352" s="14" t="s">
        <v>72</v>
      </c>
      <c r="D2352" t="s">
        <v>46</v>
      </c>
      <c r="E2352" s="16" t="s">
        <v>133</v>
      </c>
      <c r="F2352">
        <v>2030</v>
      </c>
      <c r="G2352" s="12">
        <v>2475244.7546156198</v>
      </c>
      <c r="H2352" s="13">
        <v>0.96640000000000004</v>
      </c>
      <c r="I2352" s="13">
        <v>0.95820000000000005</v>
      </c>
      <c r="J2352" s="13">
        <v>0.94640000000000002</v>
      </c>
      <c r="K2352" s="13"/>
      <c r="L2352" s="13">
        <v>7.0000000000000007E-2</v>
      </c>
      <c r="M2352" s="13">
        <v>0.25</v>
      </c>
    </row>
    <row r="2353" spans="2:13" x14ac:dyDescent="0.25">
      <c r="B2353" s="14" t="s">
        <v>209</v>
      </c>
      <c r="C2353" s="14" t="s">
        <v>102</v>
      </c>
      <c r="D2353" t="s">
        <v>46</v>
      </c>
      <c r="E2353" s="16" t="s">
        <v>133</v>
      </c>
      <c r="F2353">
        <v>2027</v>
      </c>
      <c r="G2353" s="12">
        <v>2366153.4027351402</v>
      </c>
      <c r="H2353" s="13">
        <v>6.6574952399999998E-2</v>
      </c>
      <c r="I2353" s="13"/>
      <c r="J2353" s="13"/>
      <c r="K2353" s="13"/>
      <c r="L2353" s="13">
        <v>7.0000000000000007E-2</v>
      </c>
      <c r="M2353" s="13">
        <v>0.25</v>
      </c>
    </row>
    <row r="2354" spans="2:13" x14ac:dyDescent="0.25">
      <c r="B2354" s="14" t="s">
        <v>209</v>
      </c>
      <c r="C2354" s="14" t="s">
        <v>102</v>
      </c>
      <c r="D2354" t="s">
        <v>46</v>
      </c>
      <c r="E2354" s="16" t="s">
        <v>133</v>
      </c>
      <c r="F2354">
        <v>2028</v>
      </c>
      <c r="G2354" s="12">
        <v>2400171.91928272</v>
      </c>
      <c r="H2354" s="13">
        <v>0.80549942860000001</v>
      </c>
      <c r="I2354" s="13"/>
      <c r="J2354" s="13"/>
      <c r="K2354" s="13"/>
      <c r="L2354" s="13">
        <v>7.0000000000000007E-2</v>
      </c>
      <c r="M2354" s="13">
        <v>0.25</v>
      </c>
    </row>
    <row r="2355" spans="2:13" x14ac:dyDescent="0.25">
      <c r="B2355" s="14" t="s">
        <v>209</v>
      </c>
      <c r="C2355" s="14" t="s">
        <v>102</v>
      </c>
      <c r="D2355" t="s">
        <v>46</v>
      </c>
      <c r="E2355" s="16" t="s">
        <v>133</v>
      </c>
      <c r="F2355">
        <v>2029</v>
      </c>
      <c r="G2355" s="12">
        <v>2438176.9048690698</v>
      </c>
      <c r="H2355" s="13">
        <v>0.81209942859999995</v>
      </c>
      <c r="I2355" s="13"/>
      <c r="J2355" s="13"/>
      <c r="K2355" s="13"/>
      <c r="L2355" s="13">
        <v>7.0000000000000007E-2</v>
      </c>
      <c r="M2355" s="13">
        <v>0.25</v>
      </c>
    </row>
    <row r="2356" spans="2:13" x14ac:dyDescent="0.25">
      <c r="B2356" s="14" t="s">
        <v>209</v>
      </c>
      <c r="C2356" s="14" t="s">
        <v>102</v>
      </c>
      <c r="D2356" t="s">
        <v>46</v>
      </c>
      <c r="E2356" s="16" t="s">
        <v>133</v>
      </c>
      <c r="F2356">
        <v>2030</v>
      </c>
      <c r="G2356" s="12">
        <v>2475244.7546156198</v>
      </c>
      <c r="H2356" s="13">
        <v>0.8186994286</v>
      </c>
      <c r="I2356" s="13"/>
      <c r="J2356" s="13"/>
      <c r="K2356" s="13"/>
      <c r="L2356" s="13">
        <v>7.0000000000000007E-2</v>
      </c>
      <c r="M2356" s="13">
        <v>0.25</v>
      </c>
    </row>
    <row r="2357" spans="2:13" x14ac:dyDescent="0.25">
      <c r="B2357" s="14" t="s">
        <v>209</v>
      </c>
      <c r="C2357" s="14" t="s">
        <v>15</v>
      </c>
      <c r="D2357" t="s">
        <v>46</v>
      </c>
      <c r="E2357" s="16" t="s">
        <v>144</v>
      </c>
      <c r="F2357">
        <v>2027</v>
      </c>
      <c r="G2357" s="12">
        <v>5172</v>
      </c>
      <c r="H2357" s="13">
        <v>1</v>
      </c>
      <c r="I2357" s="13"/>
      <c r="J2357" s="13"/>
      <c r="K2357" s="13"/>
      <c r="L2357" s="13">
        <v>0.05</v>
      </c>
      <c r="M2357" s="13">
        <v>0.25</v>
      </c>
    </row>
    <row r="2358" spans="2:13" x14ac:dyDescent="0.25">
      <c r="B2358" s="14" t="s">
        <v>209</v>
      </c>
      <c r="C2358" s="14" t="s">
        <v>15</v>
      </c>
      <c r="D2358" t="s">
        <v>46</v>
      </c>
      <c r="E2358" s="16" t="s">
        <v>144</v>
      </c>
      <c r="F2358">
        <v>2028</v>
      </c>
      <c r="G2358" s="12">
        <v>5287</v>
      </c>
      <c r="H2358" s="13">
        <v>1</v>
      </c>
      <c r="I2358" s="13"/>
      <c r="J2358" s="13"/>
      <c r="K2358" s="13"/>
      <c r="L2358" s="13">
        <v>0.05</v>
      </c>
      <c r="M2358" s="13">
        <v>0.25</v>
      </c>
    </row>
    <row r="2359" spans="2:13" x14ac:dyDescent="0.25">
      <c r="B2359" s="14" t="s">
        <v>209</v>
      </c>
      <c r="C2359" s="14" t="s">
        <v>15</v>
      </c>
      <c r="D2359" t="s">
        <v>46</v>
      </c>
      <c r="E2359" s="16" t="s">
        <v>133</v>
      </c>
      <c r="F2359">
        <v>2026</v>
      </c>
      <c r="G2359" s="12">
        <v>715194</v>
      </c>
      <c r="H2359" s="13">
        <v>0.93</v>
      </c>
      <c r="I2359" s="13"/>
      <c r="J2359" s="13"/>
      <c r="K2359" s="13"/>
      <c r="L2359" s="13">
        <v>0.05</v>
      </c>
      <c r="M2359" s="13">
        <v>0.25</v>
      </c>
    </row>
    <row r="2360" spans="2:13" x14ac:dyDescent="0.25">
      <c r="B2360" s="14" t="s">
        <v>209</v>
      </c>
      <c r="C2360" s="14" t="s">
        <v>15</v>
      </c>
      <c r="D2360" t="s">
        <v>46</v>
      </c>
      <c r="E2360" s="16" t="s">
        <v>133</v>
      </c>
      <c r="F2360">
        <v>2027</v>
      </c>
      <c r="G2360" s="12">
        <v>715194</v>
      </c>
      <c r="H2360" s="13">
        <v>0.95</v>
      </c>
      <c r="I2360" s="13"/>
      <c r="J2360" s="13"/>
      <c r="K2360" s="13"/>
      <c r="L2360" s="13">
        <v>0.05</v>
      </c>
      <c r="M2360" s="13">
        <v>0.25</v>
      </c>
    </row>
    <row r="2361" spans="2:13" x14ac:dyDescent="0.25">
      <c r="B2361" s="14" t="s">
        <v>209</v>
      </c>
      <c r="C2361" s="14" t="s">
        <v>15</v>
      </c>
      <c r="D2361" t="s">
        <v>46</v>
      </c>
      <c r="E2361" s="16" t="s">
        <v>133</v>
      </c>
      <c r="F2361">
        <v>2028</v>
      </c>
      <c r="G2361" s="12">
        <v>731165</v>
      </c>
      <c r="H2361" s="13">
        <v>0.94</v>
      </c>
      <c r="I2361" s="13"/>
      <c r="J2361" s="13"/>
      <c r="K2361" s="13"/>
      <c r="L2361" s="13">
        <v>0.05</v>
      </c>
      <c r="M2361" s="13">
        <v>0.25</v>
      </c>
    </row>
    <row r="2362" spans="2:13" x14ac:dyDescent="0.25">
      <c r="B2362" s="14" t="s">
        <v>209</v>
      </c>
      <c r="C2362" s="14" t="s">
        <v>15</v>
      </c>
      <c r="D2362" t="s">
        <v>46</v>
      </c>
      <c r="E2362" s="16" t="s">
        <v>133</v>
      </c>
      <c r="F2362">
        <v>2029</v>
      </c>
      <c r="G2362" s="12">
        <v>745496</v>
      </c>
      <c r="H2362" s="13">
        <v>0.94</v>
      </c>
      <c r="I2362" s="13"/>
      <c r="J2362" s="13"/>
      <c r="K2362" s="13"/>
      <c r="L2362" s="13">
        <v>0.05</v>
      </c>
      <c r="M2362" s="13">
        <v>0.25</v>
      </c>
    </row>
    <row r="2363" spans="2:13" x14ac:dyDescent="0.25">
      <c r="B2363" s="14" t="s">
        <v>209</v>
      </c>
      <c r="C2363" s="14" t="s">
        <v>15</v>
      </c>
      <c r="D2363" t="s">
        <v>46</v>
      </c>
      <c r="E2363" s="16" t="s">
        <v>133</v>
      </c>
      <c r="F2363">
        <v>2030</v>
      </c>
      <c r="G2363" s="12">
        <v>760300</v>
      </c>
      <c r="H2363" s="13">
        <v>0.94</v>
      </c>
      <c r="I2363" s="13"/>
      <c r="J2363" s="13"/>
      <c r="K2363" s="13"/>
      <c r="L2363" s="13">
        <v>0.05</v>
      </c>
      <c r="M2363" s="13">
        <v>0.25</v>
      </c>
    </row>
    <row r="2364" spans="2:13" x14ac:dyDescent="0.25">
      <c r="B2364" s="14" t="s">
        <v>209</v>
      </c>
      <c r="C2364" s="14" t="s">
        <v>145</v>
      </c>
      <c r="D2364" t="s">
        <v>46</v>
      </c>
      <c r="E2364" s="16" t="s">
        <v>133</v>
      </c>
      <c r="F2364">
        <v>2029</v>
      </c>
      <c r="G2364" s="12">
        <v>442251.424230957</v>
      </c>
      <c r="H2364" s="13">
        <v>0.85</v>
      </c>
      <c r="I2364" s="13">
        <v>0.8095</v>
      </c>
      <c r="J2364" s="13">
        <v>0.77102499999999996</v>
      </c>
      <c r="K2364" s="13"/>
      <c r="L2364" s="13"/>
      <c r="M2364" s="13">
        <v>0.25</v>
      </c>
    </row>
    <row r="2365" spans="2:13" x14ac:dyDescent="0.25">
      <c r="B2365" s="14" t="s">
        <v>209</v>
      </c>
      <c r="C2365" s="14" t="s">
        <v>145</v>
      </c>
      <c r="D2365" t="s">
        <v>46</v>
      </c>
      <c r="E2365" s="16" t="s">
        <v>133</v>
      </c>
      <c r="F2365">
        <v>2030</v>
      </c>
      <c r="G2365" s="12">
        <v>448065.37830810499</v>
      </c>
      <c r="H2365" s="13">
        <v>0.85499999999999998</v>
      </c>
      <c r="I2365" s="13">
        <v>0.8145</v>
      </c>
      <c r="J2365" s="13">
        <v>0.77602499999999996</v>
      </c>
      <c r="K2365" s="13">
        <v>0.66137124999999997</v>
      </c>
      <c r="L2365" s="13"/>
      <c r="M2365" s="13">
        <v>0.25</v>
      </c>
    </row>
    <row r="2366" spans="2:13" x14ac:dyDescent="0.25">
      <c r="B2366" s="14" t="s">
        <v>209</v>
      </c>
      <c r="C2366" s="14" t="s">
        <v>52</v>
      </c>
      <c r="D2366" t="s">
        <v>141</v>
      </c>
      <c r="E2366" s="16" t="s">
        <v>133</v>
      </c>
      <c r="F2366">
        <v>2028</v>
      </c>
      <c r="G2366" s="12">
        <v>10527146.4375</v>
      </c>
      <c r="H2366" s="13">
        <v>1</v>
      </c>
      <c r="I2366" s="13"/>
      <c r="J2366" s="13"/>
      <c r="K2366" s="13"/>
      <c r="L2366" s="13"/>
      <c r="M2366" s="13"/>
    </row>
    <row r="2367" spans="2:13" x14ac:dyDescent="0.25">
      <c r="B2367" s="14" t="s">
        <v>209</v>
      </c>
      <c r="C2367" s="14" t="s">
        <v>52</v>
      </c>
      <c r="D2367" t="s">
        <v>138</v>
      </c>
      <c r="E2367" s="16" t="s">
        <v>133</v>
      </c>
      <c r="F2367">
        <v>2026</v>
      </c>
      <c r="G2367" s="12">
        <v>2401196</v>
      </c>
      <c r="H2367" s="13">
        <v>0.85319999999999996</v>
      </c>
      <c r="I2367" s="13">
        <v>0.77956199999999998</v>
      </c>
      <c r="J2367" s="13"/>
      <c r="K2367" s="13"/>
      <c r="L2367" s="13"/>
      <c r="M2367" s="13"/>
    </row>
    <row r="2368" spans="2:13" x14ac:dyDescent="0.25">
      <c r="B2368" s="14" t="s">
        <v>209</v>
      </c>
      <c r="C2368" s="14" t="s">
        <v>52</v>
      </c>
      <c r="D2368" t="s">
        <v>138</v>
      </c>
      <c r="E2368" s="16" t="s">
        <v>133</v>
      </c>
      <c r="F2368">
        <v>2027</v>
      </c>
      <c r="G2368" s="12">
        <v>2436507</v>
      </c>
      <c r="H2368" s="13">
        <v>0.85980000000000001</v>
      </c>
      <c r="I2368" s="13">
        <v>0.78639300000000001</v>
      </c>
      <c r="J2368" s="13"/>
      <c r="K2368" s="13"/>
      <c r="L2368" s="13"/>
      <c r="M2368" s="13"/>
    </row>
    <row r="2369" spans="2:13" x14ac:dyDescent="0.25">
      <c r="B2369" s="14" t="s">
        <v>209</v>
      </c>
      <c r="C2369" s="14" t="s">
        <v>52</v>
      </c>
      <c r="D2369" t="s">
        <v>138</v>
      </c>
      <c r="E2369" s="16" t="s">
        <v>133</v>
      </c>
      <c r="F2369">
        <v>2028</v>
      </c>
      <c r="G2369" s="12">
        <v>2471537</v>
      </c>
      <c r="H2369" s="13">
        <v>0.86639999999999995</v>
      </c>
      <c r="I2369" s="13">
        <v>0.79322400000000004</v>
      </c>
      <c r="J2369" s="13"/>
      <c r="K2369" s="13"/>
      <c r="L2369" s="13"/>
      <c r="M2369" s="13"/>
    </row>
    <row r="2370" spans="2:13" x14ac:dyDescent="0.25">
      <c r="B2370" s="14" t="s">
        <v>209</v>
      </c>
      <c r="C2370" s="14" t="s">
        <v>52</v>
      </c>
      <c r="D2370" t="s">
        <v>138</v>
      </c>
      <c r="E2370" s="16" t="s">
        <v>133</v>
      </c>
      <c r="F2370">
        <v>2029</v>
      </c>
      <c r="G2370" s="12">
        <v>2510672</v>
      </c>
      <c r="H2370" s="13">
        <v>0.873</v>
      </c>
      <c r="I2370" s="13">
        <v>0.80005499999999996</v>
      </c>
      <c r="J2370" s="13"/>
      <c r="K2370" s="13"/>
      <c r="L2370" s="13"/>
      <c r="M2370" s="13"/>
    </row>
    <row r="2371" spans="2:13" x14ac:dyDescent="0.25">
      <c r="B2371" s="14" t="s">
        <v>209</v>
      </c>
      <c r="C2371" s="14" t="s">
        <v>52</v>
      </c>
      <c r="D2371" t="s">
        <v>138</v>
      </c>
      <c r="E2371" s="16" t="s">
        <v>133</v>
      </c>
      <c r="F2371">
        <v>2030</v>
      </c>
      <c r="G2371" s="12">
        <v>2548842</v>
      </c>
      <c r="H2371" s="13">
        <v>0.87960000000000005</v>
      </c>
      <c r="I2371" s="13">
        <v>0.80688599999999999</v>
      </c>
      <c r="J2371" s="13"/>
      <c r="K2371" s="13"/>
      <c r="L2371" s="13"/>
      <c r="M2371" s="13"/>
    </row>
    <row r="2372" spans="2:13" x14ac:dyDescent="0.25">
      <c r="B2372" s="14" t="s">
        <v>209</v>
      </c>
      <c r="C2372" s="14" t="s">
        <v>146</v>
      </c>
      <c r="D2372" t="s">
        <v>46</v>
      </c>
      <c r="E2372" s="16" t="s">
        <v>133</v>
      </c>
      <c r="F2372">
        <v>2028</v>
      </c>
      <c r="G2372" s="12">
        <v>28910</v>
      </c>
      <c r="H2372" s="13"/>
      <c r="I2372" s="13"/>
      <c r="J2372" s="13"/>
      <c r="K2372" s="13"/>
      <c r="L2372" s="13"/>
      <c r="M2372" s="13">
        <v>0.25</v>
      </c>
    </row>
    <row r="2373" spans="2:13" x14ac:dyDescent="0.25">
      <c r="B2373" s="14" t="s">
        <v>209</v>
      </c>
      <c r="C2373" s="14" t="s">
        <v>146</v>
      </c>
      <c r="D2373" t="s">
        <v>46</v>
      </c>
      <c r="E2373" s="16" t="s">
        <v>133</v>
      </c>
      <c r="F2373">
        <v>2029</v>
      </c>
      <c r="G2373" s="12">
        <v>29368</v>
      </c>
      <c r="H2373" s="13"/>
      <c r="I2373" s="13"/>
      <c r="J2373" s="13"/>
      <c r="K2373" s="13"/>
      <c r="L2373" s="13"/>
      <c r="M2373" s="13">
        <v>0.25</v>
      </c>
    </row>
    <row r="2374" spans="2:13" x14ac:dyDescent="0.25">
      <c r="B2374" s="14" t="s">
        <v>209</v>
      </c>
      <c r="C2374" s="14" t="s">
        <v>146</v>
      </c>
      <c r="D2374" t="s">
        <v>46</v>
      </c>
      <c r="E2374" s="16" t="s">
        <v>133</v>
      </c>
      <c r="F2374">
        <v>2030</v>
      </c>
      <c r="G2374" s="12">
        <v>29814</v>
      </c>
      <c r="H2374" s="13"/>
      <c r="I2374" s="13"/>
      <c r="J2374" s="13"/>
      <c r="K2374" s="13"/>
      <c r="L2374" s="13"/>
      <c r="M2374" s="13">
        <v>0.25</v>
      </c>
    </row>
    <row r="2375" spans="2:13" x14ac:dyDescent="0.25">
      <c r="B2375" s="14" t="s">
        <v>209</v>
      </c>
      <c r="C2375" s="14" t="s">
        <v>139</v>
      </c>
      <c r="D2375" t="s">
        <v>46</v>
      </c>
      <c r="E2375" s="16" t="s">
        <v>144</v>
      </c>
      <c r="F2375">
        <v>2027</v>
      </c>
      <c r="G2375" s="12">
        <v>7936.4849999999997</v>
      </c>
      <c r="H2375" s="13">
        <v>1</v>
      </c>
      <c r="I2375" s="13">
        <v>1</v>
      </c>
      <c r="J2375" s="13">
        <v>0</v>
      </c>
      <c r="K2375" s="13"/>
      <c r="L2375" s="13">
        <v>0.04</v>
      </c>
      <c r="M2375" s="13">
        <v>0.25</v>
      </c>
    </row>
    <row r="2376" spans="2:13" x14ac:dyDescent="0.25">
      <c r="B2376" s="14" t="s">
        <v>209</v>
      </c>
      <c r="C2376" s="14" t="s">
        <v>139</v>
      </c>
      <c r="D2376" t="s">
        <v>46</v>
      </c>
      <c r="E2376" s="16" t="s">
        <v>144</v>
      </c>
      <c r="F2376">
        <v>2028</v>
      </c>
      <c r="G2376" s="12">
        <v>7976.1674249999996</v>
      </c>
      <c r="H2376" s="13">
        <v>1</v>
      </c>
      <c r="I2376" s="13">
        <v>1</v>
      </c>
      <c r="J2376" s="13">
        <v>0</v>
      </c>
      <c r="K2376" s="13"/>
      <c r="L2376" s="13">
        <v>0.04</v>
      </c>
      <c r="M2376" s="13">
        <v>0.25</v>
      </c>
    </row>
    <row r="2377" spans="2:13" x14ac:dyDescent="0.25">
      <c r="B2377" s="14" t="s">
        <v>209</v>
      </c>
      <c r="C2377" s="14" t="s">
        <v>139</v>
      </c>
      <c r="D2377" t="s">
        <v>46</v>
      </c>
      <c r="E2377" s="16" t="s">
        <v>133</v>
      </c>
      <c r="F2377">
        <v>2026</v>
      </c>
      <c r="G2377" s="12">
        <v>2331862</v>
      </c>
      <c r="H2377" s="13">
        <v>0.94</v>
      </c>
      <c r="I2377" s="13">
        <v>0.93200000000000005</v>
      </c>
      <c r="J2377" s="13">
        <v>0</v>
      </c>
      <c r="K2377" s="13"/>
      <c r="L2377" s="13">
        <v>0.13</v>
      </c>
      <c r="M2377" s="13">
        <v>0.25</v>
      </c>
    </row>
    <row r="2378" spans="2:13" x14ac:dyDescent="0.25">
      <c r="B2378" s="14" t="s">
        <v>209</v>
      </c>
      <c r="C2378" s="14" t="s">
        <v>139</v>
      </c>
      <c r="D2378" t="s">
        <v>46</v>
      </c>
      <c r="E2378" s="16" t="s">
        <v>133</v>
      </c>
      <c r="F2378">
        <v>2027</v>
      </c>
      <c r="G2378" s="12">
        <v>2382977</v>
      </c>
      <c r="H2378" s="13">
        <v>0.95</v>
      </c>
      <c r="I2378" s="13">
        <v>0.94199999999999995</v>
      </c>
      <c r="J2378" s="13">
        <v>0</v>
      </c>
      <c r="K2378" s="13"/>
      <c r="L2378" s="13">
        <v>0.04</v>
      </c>
      <c r="M2378" s="13">
        <v>0.25</v>
      </c>
    </row>
    <row r="2379" spans="2:13" x14ac:dyDescent="0.25">
      <c r="B2379" s="14" t="s">
        <v>209</v>
      </c>
      <c r="C2379" s="14" t="s">
        <v>139</v>
      </c>
      <c r="D2379" t="s">
        <v>46</v>
      </c>
      <c r="E2379" s="16" t="s">
        <v>133</v>
      </c>
      <c r="F2379">
        <v>2028</v>
      </c>
      <c r="G2379" s="12">
        <v>2400171.91928272</v>
      </c>
      <c r="H2379" s="13">
        <v>0.95320000000000005</v>
      </c>
      <c r="I2379" s="13">
        <v>0.94520000000000004</v>
      </c>
      <c r="J2379" s="13">
        <v>0</v>
      </c>
      <c r="K2379" s="13"/>
      <c r="L2379" s="13">
        <v>0.04</v>
      </c>
      <c r="M2379" s="13">
        <v>0.25</v>
      </c>
    </row>
    <row r="2380" spans="2:13" x14ac:dyDescent="0.25">
      <c r="B2380" s="14" t="s">
        <v>209</v>
      </c>
      <c r="C2380" s="14" t="s">
        <v>139</v>
      </c>
      <c r="D2380" t="s">
        <v>46</v>
      </c>
      <c r="E2380" s="16" t="s">
        <v>133</v>
      </c>
      <c r="F2380">
        <v>2029</v>
      </c>
      <c r="G2380" s="12">
        <v>2438176.9048690698</v>
      </c>
      <c r="H2380" s="13">
        <v>0.95979999999999999</v>
      </c>
      <c r="I2380" s="13">
        <v>0.95179999999999998</v>
      </c>
      <c r="J2380" s="13">
        <v>0</v>
      </c>
      <c r="K2380" s="13"/>
      <c r="L2380" s="13">
        <v>0.04</v>
      </c>
      <c r="M2380" s="13">
        <v>0.25</v>
      </c>
    </row>
    <row r="2381" spans="2:13" x14ac:dyDescent="0.25">
      <c r="B2381" s="14" t="s">
        <v>209</v>
      </c>
      <c r="C2381" s="14" t="s">
        <v>139</v>
      </c>
      <c r="D2381" t="s">
        <v>46</v>
      </c>
      <c r="E2381" s="16" t="s">
        <v>133</v>
      </c>
      <c r="F2381">
        <v>2030</v>
      </c>
      <c r="G2381" s="12">
        <v>2475244.7546156198</v>
      </c>
      <c r="H2381" s="13">
        <v>0.96640000000000004</v>
      </c>
      <c r="I2381" s="13">
        <v>0.95840000000000003</v>
      </c>
      <c r="J2381" s="13">
        <v>0</v>
      </c>
      <c r="K2381" s="13"/>
      <c r="L2381" s="13">
        <v>0.04</v>
      </c>
      <c r="M2381" s="13">
        <v>0.25</v>
      </c>
    </row>
    <row r="2382" spans="2:13" x14ac:dyDescent="0.25">
      <c r="B2382" s="14" t="s">
        <v>209</v>
      </c>
      <c r="C2382" s="14" t="s">
        <v>108</v>
      </c>
      <c r="D2382" t="s">
        <v>46</v>
      </c>
      <c r="E2382" s="16" t="s">
        <v>133</v>
      </c>
      <c r="F2382">
        <v>2026</v>
      </c>
      <c r="G2382" s="12">
        <v>2422804</v>
      </c>
      <c r="H2382" s="13">
        <v>0.73997050519999996</v>
      </c>
      <c r="I2382" s="13"/>
      <c r="J2382" s="13"/>
      <c r="K2382" s="13"/>
      <c r="L2382" s="13"/>
      <c r="M2382" s="13"/>
    </row>
    <row r="2383" spans="2:13" x14ac:dyDescent="0.25">
      <c r="B2383" s="14" t="s">
        <v>209</v>
      </c>
      <c r="C2383" s="14" t="s">
        <v>108</v>
      </c>
      <c r="D2383" t="s">
        <v>46</v>
      </c>
      <c r="E2383" s="16" t="s">
        <v>133</v>
      </c>
      <c r="F2383">
        <v>2027</v>
      </c>
      <c r="G2383" s="12">
        <v>2460198</v>
      </c>
      <c r="H2383" s="13">
        <v>0.74997049569999996</v>
      </c>
      <c r="I2383" s="13"/>
      <c r="J2383" s="13"/>
      <c r="K2383" s="13"/>
      <c r="L2383" s="13"/>
      <c r="M2383" s="13"/>
    </row>
    <row r="2384" spans="2:13" x14ac:dyDescent="0.25">
      <c r="B2384" s="14" t="s">
        <v>209</v>
      </c>
      <c r="C2384" s="14" t="s">
        <v>108</v>
      </c>
      <c r="D2384" t="s">
        <v>46</v>
      </c>
      <c r="E2384" s="16" t="s">
        <v>133</v>
      </c>
      <c r="F2384">
        <v>2028</v>
      </c>
      <c r="G2384" s="12">
        <v>2494915</v>
      </c>
      <c r="H2384" s="13">
        <v>0.75997048619999996</v>
      </c>
      <c r="I2384" s="13"/>
      <c r="J2384" s="13"/>
      <c r="K2384" s="13"/>
      <c r="L2384" s="13"/>
      <c r="M2384" s="13"/>
    </row>
    <row r="2385" spans="2:13" x14ac:dyDescent="0.25">
      <c r="B2385" s="14" t="s">
        <v>209</v>
      </c>
      <c r="C2385" s="14" t="s">
        <v>108</v>
      </c>
      <c r="D2385" t="s">
        <v>46</v>
      </c>
      <c r="E2385" s="16" t="s">
        <v>133</v>
      </c>
      <c r="F2385">
        <v>2029</v>
      </c>
      <c r="G2385" s="12">
        <v>2531835</v>
      </c>
      <c r="H2385" s="13">
        <v>0.76997047659999995</v>
      </c>
      <c r="I2385" s="13"/>
      <c r="J2385" s="13"/>
      <c r="K2385" s="13"/>
      <c r="L2385" s="13"/>
      <c r="M2385" s="13">
        <v>0.25</v>
      </c>
    </row>
    <row r="2386" spans="2:13" x14ac:dyDescent="0.25">
      <c r="B2386" s="15" t="s">
        <v>209</v>
      </c>
      <c r="C2386" s="14" t="s">
        <v>108</v>
      </c>
      <c r="D2386" t="s">
        <v>46</v>
      </c>
      <c r="E2386" s="16" t="s">
        <v>133</v>
      </c>
      <c r="F2386">
        <v>2030</v>
      </c>
      <c r="G2386" s="12">
        <v>2570313</v>
      </c>
      <c r="H2386" s="13">
        <v>0.77997046709999995</v>
      </c>
      <c r="I2386" s="13"/>
      <c r="J2386" s="13"/>
      <c r="K2386" s="13"/>
      <c r="L2386" s="13"/>
      <c r="M2386" s="13">
        <v>0.25</v>
      </c>
    </row>
    <row r="2387" spans="2:13" x14ac:dyDescent="0.25">
      <c r="B2387" s="14" t="s">
        <v>210</v>
      </c>
      <c r="C2387" s="14" t="s">
        <v>132</v>
      </c>
      <c r="D2387" t="s">
        <v>46</v>
      </c>
      <c r="E2387" s="16" t="s">
        <v>144</v>
      </c>
      <c r="F2387">
        <v>2027</v>
      </c>
      <c r="G2387" s="12">
        <v>28889.73</v>
      </c>
      <c r="H2387" s="13">
        <v>1</v>
      </c>
      <c r="I2387" s="13">
        <v>1</v>
      </c>
      <c r="J2387" s="13">
        <v>1</v>
      </c>
      <c r="K2387" s="13">
        <v>0</v>
      </c>
      <c r="L2387" s="13">
        <v>7.0000000000000007E-2</v>
      </c>
      <c r="M2387" s="13">
        <v>0.25</v>
      </c>
    </row>
    <row r="2388" spans="2:13" x14ac:dyDescent="0.25">
      <c r="B2388" s="14" t="s">
        <v>210</v>
      </c>
      <c r="C2388" s="14" t="s">
        <v>132</v>
      </c>
      <c r="D2388" t="s">
        <v>46</v>
      </c>
      <c r="E2388" s="16" t="s">
        <v>144</v>
      </c>
      <c r="F2388">
        <v>2028</v>
      </c>
      <c r="G2388" s="12">
        <v>29034.178650000002</v>
      </c>
      <c r="H2388" s="13">
        <v>1</v>
      </c>
      <c r="I2388" s="13">
        <v>1</v>
      </c>
      <c r="J2388" s="13">
        <v>1</v>
      </c>
      <c r="K2388" s="13">
        <v>0</v>
      </c>
      <c r="L2388" s="13">
        <v>7.0000000000000007E-2</v>
      </c>
      <c r="M2388" s="13">
        <v>0.25</v>
      </c>
    </row>
    <row r="2389" spans="2:13" x14ac:dyDescent="0.25">
      <c r="B2389" s="14" t="s">
        <v>210</v>
      </c>
      <c r="C2389" s="14" t="s">
        <v>132</v>
      </c>
      <c r="D2389" t="s">
        <v>46</v>
      </c>
      <c r="E2389" s="16" t="s">
        <v>133</v>
      </c>
      <c r="F2389">
        <v>2026</v>
      </c>
      <c r="G2389" s="12">
        <v>2091430</v>
      </c>
      <c r="H2389" s="13">
        <v>0.95</v>
      </c>
      <c r="I2389" s="13">
        <v>0.93359999999999999</v>
      </c>
      <c r="J2389" s="13">
        <v>0.91</v>
      </c>
      <c r="K2389" s="13">
        <v>0</v>
      </c>
      <c r="L2389" s="13">
        <v>0.1</v>
      </c>
      <c r="M2389" s="13">
        <v>0.25</v>
      </c>
    </row>
    <row r="2390" spans="2:13" x14ac:dyDescent="0.25">
      <c r="B2390" s="14" t="s">
        <v>210</v>
      </c>
      <c r="C2390" s="14" t="s">
        <v>132</v>
      </c>
      <c r="D2390" t="s">
        <v>46</v>
      </c>
      <c r="E2390" s="16" t="s">
        <v>133</v>
      </c>
      <c r="F2390">
        <v>2027</v>
      </c>
      <c r="G2390" s="12">
        <v>2103249.2288086298</v>
      </c>
      <c r="H2390" s="13">
        <v>0.95660000000000001</v>
      </c>
      <c r="I2390" s="13">
        <v>0.94020000000000004</v>
      </c>
      <c r="J2390" s="13">
        <v>0.91659999999999997</v>
      </c>
      <c r="K2390" s="13">
        <v>0</v>
      </c>
      <c r="L2390" s="13">
        <v>7.0000000000000007E-2</v>
      </c>
      <c r="M2390" s="13">
        <v>0.25</v>
      </c>
    </row>
    <row r="2391" spans="2:13" x14ac:dyDescent="0.25">
      <c r="B2391" s="14" t="s">
        <v>210</v>
      </c>
      <c r="C2391" s="14" t="s">
        <v>132</v>
      </c>
      <c r="D2391" t="s">
        <v>46</v>
      </c>
      <c r="E2391" s="16" t="s">
        <v>133</v>
      </c>
      <c r="F2391">
        <v>2028</v>
      </c>
      <c r="G2391" s="12">
        <v>2114741.2690126002</v>
      </c>
      <c r="H2391" s="13">
        <v>0.96319999999999995</v>
      </c>
      <c r="I2391" s="13">
        <v>0.94679999999999997</v>
      </c>
      <c r="J2391" s="13">
        <v>0.92320000000000002</v>
      </c>
      <c r="K2391" s="13">
        <v>0</v>
      </c>
      <c r="L2391" s="13">
        <v>7.0000000000000007E-2</v>
      </c>
      <c r="M2391" s="13">
        <v>0.25</v>
      </c>
    </row>
    <row r="2392" spans="2:13" x14ac:dyDescent="0.25">
      <c r="B2392" s="14" t="s">
        <v>210</v>
      </c>
      <c r="C2392" s="14" t="s">
        <v>132</v>
      </c>
      <c r="D2392" t="s">
        <v>46</v>
      </c>
      <c r="E2392" s="16" t="s">
        <v>133</v>
      </c>
      <c r="F2392">
        <v>2029</v>
      </c>
      <c r="G2392" s="12">
        <v>2121011.7712224298</v>
      </c>
      <c r="H2392" s="13">
        <v>0.9698</v>
      </c>
      <c r="I2392" s="13">
        <v>0.95340000000000003</v>
      </c>
      <c r="J2392" s="13">
        <v>0.92979999999999996</v>
      </c>
      <c r="K2392" s="13">
        <v>0</v>
      </c>
      <c r="L2392" s="13">
        <v>7.0000000000000007E-2</v>
      </c>
      <c r="M2392" s="13">
        <v>0.25</v>
      </c>
    </row>
    <row r="2393" spans="2:13" x14ac:dyDescent="0.25">
      <c r="B2393" s="14" t="s">
        <v>210</v>
      </c>
      <c r="C2393" s="14" t="s">
        <v>132</v>
      </c>
      <c r="D2393" t="s">
        <v>46</v>
      </c>
      <c r="E2393" s="16" t="s">
        <v>133</v>
      </c>
      <c r="F2393">
        <v>2030</v>
      </c>
      <c r="G2393" s="12">
        <v>2129946.34843795</v>
      </c>
      <c r="H2393" s="13">
        <v>0.97640000000000005</v>
      </c>
      <c r="I2393" s="13">
        <v>0.96</v>
      </c>
      <c r="J2393" s="13">
        <v>0.93640000000000001</v>
      </c>
      <c r="K2393" s="13">
        <v>0</v>
      </c>
      <c r="L2393" s="13">
        <v>7.0000000000000007E-2</v>
      </c>
      <c r="M2393" s="13">
        <v>0.25</v>
      </c>
    </row>
    <row r="2394" spans="2:13" x14ac:dyDescent="0.25">
      <c r="B2394" s="14" t="s">
        <v>210</v>
      </c>
      <c r="C2394" s="14" t="s">
        <v>70</v>
      </c>
      <c r="D2394" t="s">
        <v>46</v>
      </c>
      <c r="E2394" s="16" t="s">
        <v>144</v>
      </c>
      <c r="F2394">
        <v>2027</v>
      </c>
      <c r="G2394" s="12">
        <v>28889.73</v>
      </c>
      <c r="H2394" s="13">
        <v>1</v>
      </c>
      <c r="I2394" s="13">
        <v>1</v>
      </c>
      <c r="J2394" s="13">
        <v>6.6E-3</v>
      </c>
      <c r="K2394" s="13">
        <v>0</v>
      </c>
      <c r="L2394" s="13">
        <v>7.0000000000000007E-2</v>
      </c>
      <c r="M2394" s="13">
        <v>0.25</v>
      </c>
    </row>
    <row r="2395" spans="2:13" x14ac:dyDescent="0.25">
      <c r="B2395" s="14" t="s">
        <v>210</v>
      </c>
      <c r="C2395" s="14" t="s">
        <v>70</v>
      </c>
      <c r="D2395" t="s">
        <v>46</v>
      </c>
      <c r="E2395" s="16" t="s">
        <v>144</v>
      </c>
      <c r="F2395">
        <v>2028</v>
      </c>
      <c r="G2395" s="12">
        <v>29034.178650000002</v>
      </c>
      <c r="H2395" s="13">
        <v>1</v>
      </c>
      <c r="I2395" s="13">
        <v>1</v>
      </c>
      <c r="J2395" s="13">
        <v>1.32E-2</v>
      </c>
      <c r="K2395" s="13">
        <v>0</v>
      </c>
      <c r="L2395" s="13">
        <v>7.0000000000000007E-2</v>
      </c>
      <c r="M2395" s="13">
        <v>0.25</v>
      </c>
    </row>
    <row r="2396" spans="2:13" x14ac:dyDescent="0.25">
      <c r="B2396" s="14" t="s">
        <v>210</v>
      </c>
      <c r="C2396" s="14" t="s">
        <v>70</v>
      </c>
      <c r="D2396" t="s">
        <v>46</v>
      </c>
      <c r="E2396" s="16" t="s">
        <v>133</v>
      </c>
      <c r="F2396">
        <v>2026</v>
      </c>
      <c r="G2396" s="12">
        <v>2091430</v>
      </c>
      <c r="H2396" s="13">
        <v>0.96</v>
      </c>
      <c r="I2396" s="13">
        <v>0.72</v>
      </c>
      <c r="J2396" s="13">
        <v>0</v>
      </c>
      <c r="K2396" s="13">
        <v>0</v>
      </c>
      <c r="L2396" s="13">
        <v>7.0000000000000007E-2</v>
      </c>
      <c r="M2396" s="13">
        <v>0.25</v>
      </c>
    </row>
    <row r="2397" spans="2:13" x14ac:dyDescent="0.25">
      <c r="B2397" s="14" t="s">
        <v>210</v>
      </c>
      <c r="C2397" s="14" t="s">
        <v>70</v>
      </c>
      <c r="D2397" t="s">
        <v>46</v>
      </c>
      <c r="E2397" s="16" t="s">
        <v>133</v>
      </c>
      <c r="F2397">
        <v>2027</v>
      </c>
      <c r="G2397" s="12">
        <v>2103249.2288086298</v>
      </c>
      <c r="H2397" s="13">
        <v>0.96660000000000001</v>
      </c>
      <c r="I2397" s="13">
        <v>0.72660000000000002</v>
      </c>
      <c r="J2397" s="13">
        <v>6.6E-3</v>
      </c>
      <c r="K2397" s="13">
        <v>0</v>
      </c>
      <c r="L2397" s="13">
        <v>7.0000000000000007E-2</v>
      </c>
      <c r="M2397" s="13">
        <v>0.25</v>
      </c>
    </row>
    <row r="2398" spans="2:13" x14ac:dyDescent="0.25">
      <c r="B2398" s="14" t="s">
        <v>210</v>
      </c>
      <c r="C2398" s="14" t="s">
        <v>70</v>
      </c>
      <c r="D2398" t="s">
        <v>46</v>
      </c>
      <c r="E2398" s="16" t="s">
        <v>133</v>
      </c>
      <c r="F2398">
        <v>2028</v>
      </c>
      <c r="G2398" s="12">
        <v>2114741.2690126002</v>
      </c>
      <c r="H2398" s="13">
        <v>0.97319999999999995</v>
      </c>
      <c r="I2398" s="13">
        <v>0.73319999999999996</v>
      </c>
      <c r="J2398" s="13">
        <v>1.32E-2</v>
      </c>
      <c r="K2398" s="13">
        <v>0</v>
      </c>
      <c r="L2398" s="13">
        <v>7.0000000000000007E-2</v>
      </c>
      <c r="M2398" s="13">
        <v>0.25</v>
      </c>
    </row>
    <row r="2399" spans="2:13" x14ac:dyDescent="0.25">
      <c r="B2399" s="14" t="s">
        <v>210</v>
      </c>
      <c r="C2399" s="14" t="s">
        <v>70</v>
      </c>
      <c r="D2399" t="s">
        <v>46</v>
      </c>
      <c r="E2399" s="16" t="s">
        <v>133</v>
      </c>
      <c r="F2399">
        <v>2029</v>
      </c>
      <c r="G2399" s="12">
        <v>2121011.7712224298</v>
      </c>
      <c r="H2399" s="13">
        <v>0.9798</v>
      </c>
      <c r="I2399" s="13">
        <v>0.73980000000000001</v>
      </c>
      <c r="J2399" s="13">
        <v>1.9800000000000002E-2</v>
      </c>
      <c r="K2399" s="13">
        <v>0</v>
      </c>
      <c r="L2399" s="13">
        <v>7.0000000000000007E-2</v>
      </c>
      <c r="M2399" s="13">
        <v>0.25</v>
      </c>
    </row>
    <row r="2400" spans="2:13" x14ac:dyDescent="0.25">
      <c r="B2400" s="14" t="s">
        <v>210</v>
      </c>
      <c r="C2400" s="14" t="s">
        <v>70</v>
      </c>
      <c r="D2400" t="s">
        <v>46</v>
      </c>
      <c r="E2400" s="16" t="s">
        <v>133</v>
      </c>
      <c r="F2400">
        <v>2030</v>
      </c>
      <c r="G2400" s="12">
        <v>2129946.34843795</v>
      </c>
      <c r="H2400" s="13">
        <v>0.98640000000000005</v>
      </c>
      <c r="I2400" s="13">
        <v>0.74639999999999995</v>
      </c>
      <c r="J2400" s="13">
        <v>2.64E-2</v>
      </c>
      <c r="K2400" s="13">
        <v>0</v>
      </c>
      <c r="L2400" s="13">
        <v>7.0000000000000007E-2</v>
      </c>
      <c r="M2400" s="13">
        <v>0.25</v>
      </c>
    </row>
    <row r="2401" spans="2:13" x14ac:dyDescent="0.25">
      <c r="B2401" s="14" t="s">
        <v>210</v>
      </c>
      <c r="C2401" s="14" t="s">
        <v>72</v>
      </c>
      <c r="D2401" t="s">
        <v>46</v>
      </c>
      <c r="E2401" s="16" t="s">
        <v>144</v>
      </c>
      <c r="F2401">
        <v>2027</v>
      </c>
      <c r="G2401" s="12">
        <v>28889.73</v>
      </c>
      <c r="H2401" s="13">
        <v>0.95660000000000001</v>
      </c>
      <c r="I2401" s="13">
        <v>0.94020000000000004</v>
      </c>
      <c r="J2401" s="13">
        <v>0.91659999999999997</v>
      </c>
      <c r="K2401" s="13"/>
      <c r="L2401" s="13">
        <v>7.0000000000000007E-2</v>
      </c>
      <c r="M2401" s="13">
        <v>0.25</v>
      </c>
    </row>
    <row r="2402" spans="2:13" x14ac:dyDescent="0.25">
      <c r="B2402" s="14" t="s">
        <v>210</v>
      </c>
      <c r="C2402" s="14" t="s">
        <v>72</v>
      </c>
      <c r="D2402" t="s">
        <v>46</v>
      </c>
      <c r="E2402" s="16" t="s">
        <v>144</v>
      </c>
      <c r="F2402">
        <v>2028</v>
      </c>
      <c r="G2402" s="12">
        <v>29034.178650000002</v>
      </c>
      <c r="H2402" s="13">
        <v>0.96319999999999995</v>
      </c>
      <c r="I2402" s="13">
        <v>0.94679999999999997</v>
      </c>
      <c r="J2402" s="13">
        <v>0.92320000000000002</v>
      </c>
      <c r="K2402" s="13"/>
      <c r="L2402" s="13">
        <v>7.0000000000000007E-2</v>
      </c>
      <c r="M2402" s="13">
        <v>0.25</v>
      </c>
    </row>
    <row r="2403" spans="2:13" x14ac:dyDescent="0.25">
      <c r="B2403" s="14" t="s">
        <v>210</v>
      </c>
      <c r="C2403" s="14" t="s">
        <v>72</v>
      </c>
      <c r="D2403" t="s">
        <v>46</v>
      </c>
      <c r="E2403" s="16" t="s">
        <v>150</v>
      </c>
      <c r="F2403">
        <v>2027</v>
      </c>
      <c r="G2403" s="12">
        <v>0</v>
      </c>
      <c r="H2403" s="13">
        <v>0.95660000000000001</v>
      </c>
      <c r="I2403" s="13">
        <v>0.94020000000000004</v>
      </c>
      <c r="J2403" s="13">
        <v>0.91659999999999997</v>
      </c>
      <c r="K2403" s="13"/>
      <c r="L2403" s="13">
        <v>7.0000000000000007E-2</v>
      </c>
      <c r="M2403" s="13">
        <v>0.25</v>
      </c>
    </row>
    <row r="2404" spans="2:13" x14ac:dyDescent="0.25">
      <c r="B2404" s="14" t="s">
        <v>210</v>
      </c>
      <c r="C2404" s="14" t="s">
        <v>72</v>
      </c>
      <c r="D2404" t="s">
        <v>46</v>
      </c>
      <c r="E2404" s="16" t="s">
        <v>150</v>
      </c>
      <c r="F2404">
        <v>2028</v>
      </c>
      <c r="G2404" s="12">
        <v>0</v>
      </c>
      <c r="H2404" s="13">
        <v>0.96319999999999995</v>
      </c>
      <c r="I2404" s="13">
        <v>0.94679999999999997</v>
      </c>
      <c r="J2404" s="13">
        <v>0.92320000000000002</v>
      </c>
      <c r="K2404" s="13"/>
      <c r="L2404" s="13">
        <v>7.0000000000000007E-2</v>
      </c>
      <c r="M2404" s="13">
        <v>0.25</v>
      </c>
    </row>
    <row r="2405" spans="2:13" x14ac:dyDescent="0.25">
      <c r="B2405" s="14" t="s">
        <v>210</v>
      </c>
      <c r="C2405" s="14" t="s">
        <v>72</v>
      </c>
      <c r="D2405" t="s">
        <v>46</v>
      </c>
      <c r="E2405" s="16" t="s">
        <v>133</v>
      </c>
      <c r="F2405">
        <v>2026</v>
      </c>
      <c r="G2405" s="12">
        <v>2091430</v>
      </c>
      <c r="H2405" s="13">
        <v>0.95</v>
      </c>
      <c r="I2405" s="13">
        <v>0.93359999999999999</v>
      </c>
      <c r="J2405" s="13">
        <v>0.91</v>
      </c>
      <c r="K2405" s="13"/>
      <c r="L2405" s="13">
        <v>7.0000000000000007E-2</v>
      </c>
      <c r="M2405" s="13">
        <v>0.25</v>
      </c>
    </row>
    <row r="2406" spans="2:13" x14ac:dyDescent="0.25">
      <c r="B2406" s="14" t="s">
        <v>210</v>
      </c>
      <c r="C2406" s="14" t="s">
        <v>72</v>
      </c>
      <c r="D2406" t="s">
        <v>46</v>
      </c>
      <c r="E2406" s="16" t="s">
        <v>133</v>
      </c>
      <c r="F2406">
        <v>2027</v>
      </c>
      <c r="G2406" s="12">
        <v>2103249.2288086298</v>
      </c>
      <c r="H2406" s="13">
        <v>0.95660000000000001</v>
      </c>
      <c r="I2406" s="13">
        <v>0.94020000000000004</v>
      </c>
      <c r="J2406" s="13">
        <v>0.91659999999999997</v>
      </c>
      <c r="K2406" s="13"/>
      <c r="L2406" s="13">
        <v>7.0000000000000007E-2</v>
      </c>
      <c r="M2406" s="13">
        <v>0.25</v>
      </c>
    </row>
    <row r="2407" spans="2:13" x14ac:dyDescent="0.25">
      <c r="B2407" s="14" t="s">
        <v>210</v>
      </c>
      <c r="C2407" s="14" t="s">
        <v>72</v>
      </c>
      <c r="D2407" t="s">
        <v>46</v>
      </c>
      <c r="E2407" s="16" t="s">
        <v>133</v>
      </c>
      <c r="F2407">
        <v>2028</v>
      </c>
      <c r="G2407" s="12">
        <v>2114741.2690126002</v>
      </c>
      <c r="H2407" s="13">
        <v>0.96319999999999995</v>
      </c>
      <c r="I2407" s="13">
        <v>0.94679999999999997</v>
      </c>
      <c r="J2407" s="13">
        <v>0.92320000000000002</v>
      </c>
      <c r="K2407" s="13"/>
      <c r="L2407" s="13">
        <v>7.0000000000000007E-2</v>
      </c>
      <c r="M2407" s="13">
        <v>0.25</v>
      </c>
    </row>
    <row r="2408" spans="2:13" x14ac:dyDescent="0.25">
      <c r="B2408" s="14" t="s">
        <v>210</v>
      </c>
      <c r="C2408" s="14" t="s">
        <v>72</v>
      </c>
      <c r="D2408" t="s">
        <v>46</v>
      </c>
      <c r="E2408" s="16" t="s">
        <v>133</v>
      </c>
      <c r="F2408">
        <v>2029</v>
      </c>
      <c r="G2408" s="12">
        <v>2121011.7712224298</v>
      </c>
      <c r="H2408" s="13">
        <v>0.9698</v>
      </c>
      <c r="I2408" s="13">
        <v>0.95340000000000003</v>
      </c>
      <c r="J2408" s="13">
        <v>0.92979999999999996</v>
      </c>
      <c r="K2408" s="13"/>
      <c r="L2408" s="13">
        <v>7.0000000000000007E-2</v>
      </c>
      <c r="M2408" s="13">
        <v>0.25</v>
      </c>
    </row>
    <row r="2409" spans="2:13" x14ac:dyDescent="0.25">
      <c r="B2409" s="14" t="s">
        <v>210</v>
      </c>
      <c r="C2409" s="14" t="s">
        <v>72</v>
      </c>
      <c r="D2409" t="s">
        <v>46</v>
      </c>
      <c r="E2409" s="16" t="s">
        <v>133</v>
      </c>
      <c r="F2409">
        <v>2030</v>
      </c>
      <c r="G2409" s="12">
        <v>2129946.34843795</v>
      </c>
      <c r="H2409" s="13">
        <v>0.97</v>
      </c>
      <c r="I2409" s="13">
        <v>0.95622399999999996</v>
      </c>
      <c r="J2409" s="13">
        <v>0.93640000000000001</v>
      </c>
      <c r="K2409" s="13"/>
      <c r="L2409" s="13">
        <v>7.0000000000000007E-2</v>
      </c>
      <c r="M2409" s="13">
        <v>0.25</v>
      </c>
    </row>
    <row r="2410" spans="2:13" x14ac:dyDescent="0.25">
      <c r="B2410" s="14" t="s">
        <v>210</v>
      </c>
      <c r="C2410" s="14" t="s">
        <v>102</v>
      </c>
      <c r="D2410" t="s">
        <v>46</v>
      </c>
      <c r="E2410" s="16" t="s">
        <v>133</v>
      </c>
      <c r="F2410">
        <v>2026</v>
      </c>
      <c r="G2410" s="12">
        <v>2415087</v>
      </c>
      <c r="H2410" s="13">
        <v>0.91979999999999995</v>
      </c>
      <c r="I2410" s="13"/>
      <c r="J2410" s="13"/>
      <c r="K2410" s="13"/>
      <c r="L2410" s="13">
        <v>7.0000000000000007E-2</v>
      </c>
      <c r="M2410" s="13">
        <v>0.25</v>
      </c>
    </row>
    <row r="2411" spans="2:13" x14ac:dyDescent="0.25">
      <c r="B2411" s="14" t="s">
        <v>210</v>
      </c>
      <c r="C2411" s="14" t="s">
        <v>102</v>
      </c>
      <c r="D2411" t="s">
        <v>46</v>
      </c>
      <c r="E2411" s="16" t="s">
        <v>133</v>
      </c>
      <c r="F2411">
        <v>2027</v>
      </c>
      <c r="G2411" s="12">
        <v>2428735.3008495402</v>
      </c>
      <c r="H2411" s="13">
        <v>0.9264</v>
      </c>
      <c r="I2411" s="13"/>
      <c r="J2411" s="13"/>
      <c r="K2411" s="13"/>
      <c r="L2411" s="13">
        <v>7.0000000000000007E-2</v>
      </c>
      <c r="M2411" s="13">
        <v>0.25</v>
      </c>
    </row>
    <row r="2412" spans="2:13" x14ac:dyDescent="0.25">
      <c r="B2412" s="14" t="s">
        <v>210</v>
      </c>
      <c r="C2412" s="14" t="s">
        <v>102</v>
      </c>
      <c r="D2412" t="s">
        <v>46</v>
      </c>
      <c r="E2412" s="16" t="s">
        <v>133</v>
      </c>
      <c r="F2412">
        <v>2028</v>
      </c>
      <c r="G2412" s="12">
        <v>2442005.77937384</v>
      </c>
      <c r="H2412" s="13">
        <v>0.93300000000000005</v>
      </c>
      <c r="I2412" s="13"/>
      <c r="J2412" s="13"/>
      <c r="K2412" s="13"/>
      <c r="L2412" s="13">
        <v>7.0000000000000007E-2</v>
      </c>
      <c r="M2412" s="13">
        <v>0.25</v>
      </c>
    </row>
    <row r="2413" spans="2:13" x14ac:dyDescent="0.25">
      <c r="B2413" s="14" t="s">
        <v>210</v>
      </c>
      <c r="C2413" s="14" t="s">
        <v>102</v>
      </c>
      <c r="D2413" t="s">
        <v>46</v>
      </c>
      <c r="E2413" s="16" t="s">
        <v>133</v>
      </c>
      <c r="F2413">
        <v>2029</v>
      </c>
      <c r="G2413" s="12">
        <v>2449246.6664082701</v>
      </c>
      <c r="H2413" s="13">
        <v>0.93959999999999999</v>
      </c>
      <c r="I2413" s="13"/>
      <c r="J2413" s="13"/>
      <c r="K2413" s="13"/>
      <c r="L2413" s="13">
        <v>7.0000000000000007E-2</v>
      </c>
      <c r="M2413" s="13">
        <v>0.25</v>
      </c>
    </row>
    <row r="2414" spans="2:13" x14ac:dyDescent="0.25">
      <c r="B2414" s="14" t="s">
        <v>210</v>
      </c>
      <c r="C2414" s="14" t="s">
        <v>102</v>
      </c>
      <c r="D2414" t="s">
        <v>46</v>
      </c>
      <c r="E2414" s="16" t="s">
        <v>133</v>
      </c>
      <c r="F2414">
        <v>2030</v>
      </c>
      <c r="G2414" s="12">
        <v>2459563.9045102899</v>
      </c>
      <c r="H2414" s="13">
        <v>0.94620000000000004</v>
      </c>
      <c r="I2414" s="13"/>
      <c r="J2414" s="13"/>
      <c r="K2414" s="13"/>
      <c r="L2414" s="13">
        <v>7.0000000000000007E-2</v>
      </c>
      <c r="M2414" s="13">
        <v>0.25</v>
      </c>
    </row>
    <row r="2415" spans="2:13" x14ac:dyDescent="0.25">
      <c r="B2415" s="14" t="s">
        <v>210</v>
      </c>
      <c r="C2415" s="14" t="s">
        <v>15</v>
      </c>
      <c r="D2415" t="s">
        <v>46</v>
      </c>
      <c r="E2415" s="16" t="s">
        <v>144</v>
      </c>
      <c r="F2415">
        <v>2027</v>
      </c>
      <c r="G2415" s="12">
        <v>33439</v>
      </c>
      <c r="H2415" s="13">
        <v>1</v>
      </c>
      <c r="I2415" s="13"/>
      <c r="J2415" s="13"/>
      <c r="K2415" s="13"/>
      <c r="L2415" s="13">
        <v>0.04</v>
      </c>
      <c r="M2415" s="13">
        <v>0.25</v>
      </c>
    </row>
    <row r="2416" spans="2:13" x14ac:dyDescent="0.25">
      <c r="B2416" s="14" t="s">
        <v>210</v>
      </c>
      <c r="C2416" s="14" t="s">
        <v>15</v>
      </c>
      <c r="D2416" t="s">
        <v>46</v>
      </c>
      <c r="E2416" s="16" t="s">
        <v>144</v>
      </c>
      <c r="F2416">
        <v>2028</v>
      </c>
      <c r="G2416" s="12">
        <v>34249</v>
      </c>
      <c r="H2416" s="13">
        <v>1</v>
      </c>
      <c r="I2416" s="13"/>
      <c r="J2416" s="13"/>
      <c r="K2416" s="13"/>
      <c r="L2416" s="13">
        <v>0.04</v>
      </c>
      <c r="M2416" s="13">
        <v>0.25</v>
      </c>
    </row>
    <row r="2417" spans="2:13" x14ac:dyDescent="0.25">
      <c r="B2417" s="14" t="s">
        <v>210</v>
      </c>
      <c r="C2417" s="14" t="s">
        <v>15</v>
      </c>
      <c r="D2417" t="s">
        <v>46</v>
      </c>
      <c r="E2417" s="16" t="s">
        <v>133</v>
      </c>
      <c r="F2417">
        <v>2026</v>
      </c>
      <c r="G2417" s="12">
        <v>749024</v>
      </c>
      <c r="H2417" s="13">
        <v>0.95</v>
      </c>
      <c r="I2417" s="13"/>
      <c r="J2417" s="13"/>
      <c r="K2417" s="13"/>
      <c r="L2417" s="13">
        <v>7.0000000000000007E-2</v>
      </c>
      <c r="M2417" s="13">
        <v>0.25</v>
      </c>
    </row>
    <row r="2418" spans="2:13" x14ac:dyDescent="0.25">
      <c r="B2418" s="14" t="s">
        <v>210</v>
      </c>
      <c r="C2418" s="14" t="s">
        <v>15</v>
      </c>
      <c r="D2418" t="s">
        <v>46</v>
      </c>
      <c r="E2418" s="16" t="s">
        <v>133</v>
      </c>
      <c r="F2418">
        <v>2027</v>
      </c>
      <c r="G2418" s="12">
        <v>770746</v>
      </c>
      <c r="H2418" s="13">
        <v>0.95</v>
      </c>
      <c r="I2418" s="13"/>
      <c r="J2418" s="13"/>
      <c r="K2418" s="13"/>
      <c r="L2418" s="13">
        <v>7.0000000000000007E-2</v>
      </c>
      <c r="M2418" s="13">
        <v>0.25</v>
      </c>
    </row>
    <row r="2419" spans="2:13" x14ac:dyDescent="0.25">
      <c r="B2419" s="14" t="s">
        <v>210</v>
      </c>
      <c r="C2419" s="14" t="s">
        <v>15</v>
      </c>
      <c r="D2419" t="s">
        <v>46</v>
      </c>
      <c r="E2419" s="16" t="s">
        <v>133</v>
      </c>
      <c r="F2419">
        <v>2028</v>
      </c>
      <c r="G2419" s="12">
        <v>789416</v>
      </c>
      <c r="H2419" s="13">
        <v>0.95</v>
      </c>
      <c r="I2419" s="13"/>
      <c r="J2419" s="13"/>
      <c r="K2419" s="13"/>
      <c r="L2419" s="13">
        <v>7.0000000000000007E-2</v>
      </c>
      <c r="M2419" s="13">
        <v>0.25</v>
      </c>
    </row>
    <row r="2420" spans="2:13" x14ac:dyDescent="0.25">
      <c r="B2420" s="14" t="s">
        <v>210</v>
      </c>
      <c r="C2420" s="14" t="s">
        <v>15</v>
      </c>
      <c r="D2420" t="s">
        <v>46</v>
      </c>
      <c r="E2420" s="16" t="s">
        <v>133</v>
      </c>
      <c r="F2420">
        <v>2029</v>
      </c>
      <c r="G2420" s="12">
        <v>806518</v>
      </c>
      <c r="H2420" s="13">
        <v>0.95</v>
      </c>
      <c r="I2420" s="13"/>
      <c r="J2420" s="13"/>
      <c r="K2420" s="13"/>
      <c r="L2420" s="13">
        <v>7.0000000000000007E-2</v>
      </c>
      <c r="M2420" s="13">
        <v>0.25</v>
      </c>
    </row>
    <row r="2421" spans="2:13" x14ac:dyDescent="0.25">
      <c r="B2421" s="14" t="s">
        <v>210</v>
      </c>
      <c r="C2421" s="14" t="s">
        <v>15</v>
      </c>
      <c r="D2421" t="s">
        <v>46</v>
      </c>
      <c r="E2421" s="16" t="s">
        <v>133</v>
      </c>
      <c r="F2421">
        <v>2030</v>
      </c>
      <c r="G2421" s="12">
        <v>822924</v>
      </c>
      <c r="H2421" s="13">
        <v>0.95</v>
      </c>
      <c r="I2421" s="13"/>
      <c r="J2421" s="13"/>
      <c r="K2421" s="13"/>
      <c r="L2421" s="13">
        <v>7.0000000000000007E-2</v>
      </c>
      <c r="M2421" s="13">
        <v>0.25</v>
      </c>
    </row>
    <row r="2422" spans="2:13" x14ac:dyDescent="0.25">
      <c r="B2422" s="14" t="s">
        <v>210</v>
      </c>
      <c r="C2422" s="14" t="s">
        <v>145</v>
      </c>
      <c r="D2422" t="s">
        <v>46</v>
      </c>
      <c r="E2422" s="16" t="s">
        <v>133</v>
      </c>
      <c r="F2422">
        <v>2026</v>
      </c>
      <c r="G2422" s="12">
        <v>1491728.4400007599</v>
      </c>
      <c r="H2422" s="13">
        <v>0.95</v>
      </c>
      <c r="I2422" s="13">
        <v>0.92</v>
      </c>
      <c r="J2422" s="13">
        <v>0.83499999999999996</v>
      </c>
      <c r="K2422" s="13">
        <v>0.56000000000000005</v>
      </c>
      <c r="L2422" s="13"/>
      <c r="M2422" s="13">
        <v>0.25</v>
      </c>
    </row>
    <row r="2423" spans="2:13" x14ac:dyDescent="0.25">
      <c r="B2423" s="14" t="s">
        <v>210</v>
      </c>
      <c r="C2423" s="14" t="s">
        <v>145</v>
      </c>
      <c r="D2423" t="s">
        <v>46</v>
      </c>
      <c r="E2423" s="16" t="s">
        <v>133</v>
      </c>
      <c r="F2423">
        <v>2027</v>
      </c>
      <c r="G2423" s="12">
        <v>1411869.92214879</v>
      </c>
      <c r="H2423" s="13">
        <v>0.95</v>
      </c>
      <c r="I2423" s="13">
        <v>0.92</v>
      </c>
      <c r="J2423" s="13">
        <v>0.84</v>
      </c>
      <c r="K2423" s="13">
        <v>0.56499999999999995</v>
      </c>
      <c r="L2423" s="13"/>
      <c r="M2423" s="13">
        <v>0.25</v>
      </c>
    </row>
    <row r="2424" spans="2:13" x14ac:dyDescent="0.25">
      <c r="B2424" s="14" t="s">
        <v>210</v>
      </c>
      <c r="C2424" s="14" t="s">
        <v>145</v>
      </c>
      <c r="D2424" t="s">
        <v>46</v>
      </c>
      <c r="E2424" s="16" t="s">
        <v>133</v>
      </c>
      <c r="F2424">
        <v>2028</v>
      </c>
      <c r="G2424" s="12">
        <v>1335105.8232895699</v>
      </c>
      <c r="H2424" s="13">
        <v>0.95</v>
      </c>
      <c r="I2424" s="13">
        <v>0.92</v>
      </c>
      <c r="J2424" s="13">
        <v>0.84499999999999997</v>
      </c>
      <c r="K2424" s="13">
        <v>0.56999999999999995</v>
      </c>
      <c r="L2424" s="13"/>
      <c r="M2424" s="13">
        <v>0.25</v>
      </c>
    </row>
    <row r="2425" spans="2:13" x14ac:dyDescent="0.25">
      <c r="B2425" s="14" t="s">
        <v>210</v>
      </c>
      <c r="C2425" s="14" t="s">
        <v>145</v>
      </c>
      <c r="D2425" t="s">
        <v>46</v>
      </c>
      <c r="E2425" s="16" t="s">
        <v>133</v>
      </c>
      <c r="F2425">
        <v>2029</v>
      </c>
      <c r="G2425" s="12">
        <v>1251410.7001662101</v>
      </c>
      <c r="H2425" s="13">
        <v>0.95</v>
      </c>
      <c r="I2425" s="13">
        <v>0.92</v>
      </c>
      <c r="J2425" s="13">
        <v>0.85</v>
      </c>
      <c r="K2425" s="13">
        <v>0.57499999999999996</v>
      </c>
      <c r="L2425" s="13"/>
      <c r="M2425" s="13">
        <v>0.25</v>
      </c>
    </row>
    <row r="2426" spans="2:13" x14ac:dyDescent="0.25">
      <c r="B2426" s="14" t="s">
        <v>210</v>
      </c>
      <c r="C2426" s="14" t="s">
        <v>145</v>
      </c>
      <c r="D2426" t="s">
        <v>46</v>
      </c>
      <c r="E2426" s="16" t="s">
        <v>133</v>
      </c>
      <c r="F2426">
        <v>2030</v>
      </c>
      <c r="G2426" s="12">
        <v>1256993.0939716899</v>
      </c>
      <c r="H2426" s="13">
        <v>0.95</v>
      </c>
      <c r="I2426" s="13">
        <v>0.92</v>
      </c>
      <c r="J2426" s="13">
        <v>0.85499999999999998</v>
      </c>
      <c r="K2426" s="13">
        <v>0.57999999999999996</v>
      </c>
      <c r="L2426" s="13"/>
      <c r="M2426" s="13">
        <v>0.25</v>
      </c>
    </row>
    <row r="2427" spans="2:13" x14ac:dyDescent="0.25">
      <c r="B2427" s="14" t="s">
        <v>210</v>
      </c>
      <c r="C2427" s="14" t="s">
        <v>52</v>
      </c>
      <c r="D2427" t="s">
        <v>141</v>
      </c>
      <c r="E2427" s="16" t="s">
        <v>133</v>
      </c>
      <c r="F2427">
        <v>2026</v>
      </c>
      <c r="G2427" s="12">
        <v>7453458</v>
      </c>
      <c r="H2427" s="13">
        <v>0.95</v>
      </c>
      <c r="I2427" s="13"/>
      <c r="J2427" s="13"/>
      <c r="K2427" s="13"/>
      <c r="L2427" s="13"/>
      <c r="M2427" s="13"/>
    </row>
    <row r="2428" spans="2:13" x14ac:dyDescent="0.25">
      <c r="B2428" s="14" t="s">
        <v>210</v>
      </c>
      <c r="C2428" s="14" t="s">
        <v>52</v>
      </c>
      <c r="D2428" t="s">
        <v>141</v>
      </c>
      <c r="E2428" s="16" t="s">
        <v>133</v>
      </c>
      <c r="F2428">
        <v>2029</v>
      </c>
      <c r="G2428" s="12">
        <v>7565794.3125</v>
      </c>
      <c r="H2428" s="13">
        <v>0.85</v>
      </c>
      <c r="I2428" s="13"/>
      <c r="J2428" s="13"/>
      <c r="K2428" s="13"/>
      <c r="L2428" s="13"/>
      <c r="M2428" s="13"/>
    </row>
    <row r="2429" spans="2:13" x14ac:dyDescent="0.25">
      <c r="B2429" s="14" t="s">
        <v>210</v>
      </c>
      <c r="C2429" s="14" t="s">
        <v>52</v>
      </c>
      <c r="D2429" t="s">
        <v>138</v>
      </c>
      <c r="E2429" s="16" t="s">
        <v>144</v>
      </c>
      <c r="F2429">
        <v>2027</v>
      </c>
      <c r="G2429" s="12">
        <v>29724</v>
      </c>
      <c r="H2429" s="13">
        <v>1</v>
      </c>
      <c r="I2429" s="13">
        <v>0.53799300000000005</v>
      </c>
      <c r="J2429" s="13"/>
      <c r="K2429" s="13"/>
      <c r="L2429" s="13"/>
      <c r="M2429" s="13"/>
    </row>
    <row r="2430" spans="2:13" x14ac:dyDescent="0.25">
      <c r="B2430" s="14" t="s">
        <v>210</v>
      </c>
      <c r="C2430" s="14" t="s">
        <v>52</v>
      </c>
      <c r="D2430" t="s">
        <v>138</v>
      </c>
      <c r="E2430" s="16" t="s">
        <v>144</v>
      </c>
      <c r="F2430">
        <v>2028</v>
      </c>
      <c r="G2430" s="12">
        <v>29886</v>
      </c>
      <c r="H2430" s="13">
        <v>1</v>
      </c>
      <c r="I2430" s="13">
        <v>0.54482399999999997</v>
      </c>
      <c r="J2430" s="13"/>
      <c r="K2430" s="13"/>
      <c r="L2430" s="13"/>
      <c r="M2430" s="13"/>
    </row>
    <row r="2431" spans="2:13" x14ac:dyDescent="0.25">
      <c r="B2431" s="14" t="s">
        <v>210</v>
      </c>
      <c r="C2431" s="14" t="s">
        <v>52</v>
      </c>
      <c r="D2431" t="s">
        <v>138</v>
      </c>
      <c r="E2431" s="16" t="s">
        <v>133</v>
      </c>
      <c r="F2431">
        <v>2026</v>
      </c>
      <c r="G2431" s="12">
        <v>2091430</v>
      </c>
      <c r="H2431" s="13">
        <v>0.9</v>
      </c>
      <c r="I2431" s="13">
        <v>0.6</v>
      </c>
      <c r="J2431" s="13"/>
      <c r="K2431" s="13"/>
      <c r="L2431" s="13"/>
      <c r="M2431" s="13"/>
    </row>
    <row r="2432" spans="2:13" x14ac:dyDescent="0.25">
      <c r="B2432" s="14" t="s">
        <v>210</v>
      </c>
      <c r="C2432" s="14" t="s">
        <v>52</v>
      </c>
      <c r="D2432" t="s">
        <v>138</v>
      </c>
      <c r="E2432" s="16" t="s">
        <v>133</v>
      </c>
      <c r="F2432">
        <v>2027</v>
      </c>
      <c r="G2432" s="12">
        <v>2152082</v>
      </c>
      <c r="H2432" s="13">
        <v>0.9</v>
      </c>
      <c r="I2432" s="13">
        <v>0.53799300000000005</v>
      </c>
      <c r="J2432" s="13"/>
      <c r="K2432" s="13"/>
      <c r="L2432" s="13"/>
      <c r="M2432" s="13"/>
    </row>
    <row r="2433" spans="2:13" x14ac:dyDescent="0.25">
      <c r="B2433" s="14" t="s">
        <v>210</v>
      </c>
      <c r="C2433" s="14" t="s">
        <v>52</v>
      </c>
      <c r="D2433" t="s">
        <v>138</v>
      </c>
      <c r="E2433" s="16" t="s">
        <v>133</v>
      </c>
      <c r="F2433">
        <v>2028</v>
      </c>
      <c r="G2433" s="12">
        <v>2163841</v>
      </c>
      <c r="H2433" s="13">
        <v>0.9</v>
      </c>
      <c r="I2433" s="13">
        <v>0.54482399999999997</v>
      </c>
      <c r="J2433" s="13"/>
      <c r="K2433" s="13"/>
      <c r="L2433" s="13"/>
      <c r="M2433" s="13"/>
    </row>
    <row r="2434" spans="2:13" x14ac:dyDescent="0.25">
      <c r="B2434" s="14" t="s">
        <v>210</v>
      </c>
      <c r="C2434" s="14" t="s">
        <v>52</v>
      </c>
      <c r="D2434" t="s">
        <v>138</v>
      </c>
      <c r="E2434" s="16" t="s">
        <v>133</v>
      </c>
      <c r="F2434">
        <v>2029</v>
      </c>
      <c r="G2434" s="12">
        <v>2170257</v>
      </c>
      <c r="H2434" s="13">
        <v>0.9</v>
      </c>
      <c r="I2434" s="13">
        <v>0.55165500000000001</v>
      </c>
      <c r="J2434" s="13"/>
      <c r="K2434" s="13"/>
      <c r="L2434" s="13"/>
      <c r="M2434" s="13"/>
    </row>
    <row r="2435" spans="2:13" x14ac:dyDescent="0.25">
      <c r="B2435" s="14" t="s">
        <v>210</v>
      </c>
      <c r="C2435" s="14" t="s">
        <v>52</v>
      </c>
      <c r="D2435" t="s">
        <v>138</v>
      </c>
      <c r="E2435" s="16" t="s">
        <v>133</v>
      </c>
      <c r="F2435">
        <v>2030</v>
      </c>
      <c r="G2435" s="12">
        <v>2179399</v>
      </c>
      <c r="H2435" s="13">
        <v>0.9</v>
      </c>
      <c r="I2435" s="13">
        <v>0.55848600000000004</v>
      </c>
      <c r="J2435" s="13"/>
      <c r="K2435" s="13"/>
      <c r="L2435" s="13"/>
      <c r="M2435" s="13"/>
    </row>
    <row r="2436" spans="2:13" x14ac:dyDescent="0.25">
      <c r="B2436" s="14" t="s">
        <v>210</v>
      </c>
      <c r="C2436" s="14" t="s">
        <v>139</v>
      </c>
      <c r="D2436" t="s">
        <v>46</v>
      </c>
      <c r="E2436" s="16" t="s">
        <v>144</v>
      </c>
      <c r="F2436">
        <v>2027</v>
      </c>
      <c r="G2436" s="12">
        <v>28889.73</v>
      </c>
      <c r="H2436" s="13">
        <v>1</v>
      </c>
      <c r="I2436" s="13">
        <v>1</v>
      </c>
      <c r="J2436" s="13">
        <v>1</v>
      </c>
      <c r="K2436" s="13"/>
      <c r="L2436" s="13">
        <v>7.0000000000000007E-2</v>
      </c>
      <c r="M2436" s="13">
        <v>0.25</v>
      </c>
    </row>
    <row r="2437" spans="2:13" x14ac:dyDescent="0.25">
      <c r="B2437" s="14" t="s">
        <v>210</v>
      </c>
      <c r="C2437" s="14" t="s">
        <v>139</v>
      </c>
      <c r="D2437" t="s">
        <v>46</v>
      </c>
      <c r="E2437" s="16" t="s">
        <v>144</v>
      </c>
      <c r="F2437">
        <v>2028</v>
      </c>
      <c r="G2437" s="12">
        <v>29034.178650000002</v>
      </c>
      <c r="H2437" s="13">
        <v>1</v>
      </c>
      <c r="I2437" s="13">
        <v>1</v>
      </c>
      <c r="J2437" s="13">
        <v>1</v>
      </c>
      <c r="K2437" s="13"/>
      <c r="L2437" s="13">
        <v>7.0000000000000007E-2</v>
      </c>
      <c r="M2437" s="13">
        <v>0.25</v>
      </c>
    </row>
    <row r="2438" spans="2:13" x14ac:dyDescent="0.25">
      <c r="B2438" s="14" t="s">
        <v>210</v>
      </c>
      <c r="C2438" s="14" t="s">
        <v>139</v>
      </c>
      <c r="D2438" t="s">
        <v>46</v>
      </c>
      <c r="E2438" s="16" t="s">
        <v>133</v>
      </c>
      <c r="F2438">
        <v>2026</v>
      </c>
      <c r="G2438" s="12">
        <v>2091430</v>
      </c>
      <c r="H2438" s="13">
        <v>0.9</v>
      </c>
      <c r="I2438" s="13">
        <v>0.85899999999999999</v>
      </c>
      <c r="J2438" s="13">
        <v>0.8</v>
      </c>
      <c r="K2438" s="13"/>
      <c r="L2438" s="13">
        <v>7.0000000000000007E-2</v>
      </c>
      <c r="M2438" s="13">
        <v>0.25</v>
      </c>
    </row>
    <row r="2439" spans="2:13" x14ac:dyDescent="0.25">
      <c r="B2439" s="14" t="s">
        <v>210</v>
      </c>
      <c r="C2439" s="14" t="s">
        <v>139</v>
      </c>
      <c r="D2439" t="s">
        <v>46</v>
      </c>
      <c r="E2439" s="16" t="s">
        <v>133</v>
      </c>
      <c r="F2439">
        <v>2027</v>
      </c>
      <c r="G2439" s="12">
        <v>2103249.2288086298</v>
      </c>
      <c r="H2439" s="13">
        <v>0.90659999999999996</v>
      </c>
      <c r="I2439" s="13">
        <v>0.86560000000000004</v>
      </c>
      <c r="J2439" s="13">
        <v>0.80659999999999998</v>
      </c>
      <c r="K2439" s="13"/>
      <c r="L2439" s="13">
        <v>7.0000000000000007E-2</v>
      </c>
      <c r="M2439" s="13">
        <v>0.25</v>
      </c>
    </row>
    <row r="2440" spans="2:13" x14ac:dyDescent="0.25">
      <c r="B2440" s="14" t="s">
        <v>210</v>
      </c>
      <c r="C2440" s="14" t="s">
        <v>139</v>
      </c>
      <c r="D2440" t="s">
        <v>46</v>
      </c>
      <c r="E2440" s="16" t="s">
        <v>133</v>
      </c>
      <c r="F2440">
        <v>2028</v>
      </c>
      <c r="G2440" s="12">
        <v>2114741.2690126002</v>
      </c>
      <c r="H2440" s="13">
        <v>0.91320000000000001</v>
      </c>
      <c r="I2440" s="13">
        <v>0.87219999999999998</v>
      </c>
      <c r="J2440" s="13">
        <v>0.81320000000000003</v>
      </c>
      <c r="K2440" s="13"/>
      <c r="L2440" s="13">
        <v>7.0000000000000007E-2</v>
      </c>
      <c r="M2440" s="13">
        <v>0.25</v>
      </c>
    </row>
    <row r="2441" spans="2:13" x14ac:dyDescent="0.25">
      <c r="B2441" s="14" t="s">
        <v>210</v>
      </c>
      <c r="C2441" s="14" t="s">
        <v>139</v>
      </c>
      <c r="D2441" t="s">
        <v>46</v>
      </c>
      <c r="E2441" s="16" t="s">
        <v>133</v>
      </c>
      <c r="F2441">
        <v>2029</v>
      </c>
      <c r="G2441" s="12">
        <v>2121011.7712224298</v>
      </c>
      <c r="H2441" s="13">
        <v>0.91979999999999995</v>
      </c>
      <c r="I2441" s="13">
        <v>0.87880000000000003</v>
      </c>
      <c r="J2441" s="13">
        <v>0.81979999999999997</v>
      </c>
      <c r="K2441" s="13"/>
      <c r="L2441" s="13">
        <v>7.0000000000000007E-2</v>
      </c>
      <c r="M2441" s="13">
        <v>0.25</v>
      </c>
    </row>
    <row r="2442" spans="2:13" x14ac:dyDescent="0.25">
      <c r="B2442" s="14" t="s">
        <v>210</v>
      </c>
      <c r="C2442" s="14" t="s">
        <v>139</v>
      </c>
      <c r="D2442" t="s">
        <v>46</v>
      </c>
      <c r="E2442" s="16" t="s">
        <v>133</v>
      </c>
      <c r="F2442">
        <v>2030</v>
      </c>
      <c r="G2442" s="12">
        <v>2129946.34843795</v>
      </c>
      <c r="H2442" s="13">
        <v>0.9264</v>
      </c>
      <c r="I2442" s="13">
        <v>0.88539999999999996</v>
      </c>
      <c r="J2442" s="13">
        <v>0.82640000000000002</v>
      </c>
      <c r="K2442" s="13"/>
      <c r="L2442" s="13">
        <v>7.0000000000000007E-2</v>
      </c>
      <c r="M2442" s="13">
        <v>0.25</v>
      </c>
    </row>
    <row r="2443" spans="2:13" x14ac:dyDescent="0.25">
      <c r="B2443" s="14" t="s">
        <v>210</v>
      </c>
      <c r="C2443" s="14" t="s">
        <v>74</v>
      </c>
      <c r="D2443" t="s">
        <v>46</v>
      </c>
      <c r="E2443" s="16" t="s">
        <v>144</v>
      </c>
      <c r="F2443">
        <v>2027</v>
      </c>
      <c r="G2443" s="12">
        <v>28908.451313853599</v>
      </c>
      <c r="H2443" s="13">
        <v>1</v>
      </c>
      <c r="I2443" s="13"/>
      <c r="J2443" s="13"/>
      <c r="K2443" s="13"/>
      <c r="L2443" s="13">
        <v>0.2</v>
      </c>
      <c r="M2443" s="13">
        <v>0.25</v>
      </c>
    </row>
    <row r="2444" spans="2:13" x14ac:dyDescent="0.25">
      <c r="B2444" s="14" t="s">
        <v>210</v>
      </c>
      <c r="C2444" s="14" t="s">
        <v>74</v>
      </c>
      <c r="D2444" t="s">
        <v>46</v>
      </c>
      <c r="E2444" s="16" t="s">
        <v>144</v>
      </c>
      <c r="F2444">
        <v>2028</v>
      </c>
      <c r="G2444" s="12">
        <v>29066.405530683001</v>
      </c>
      <c r="H2444" s="13">
        <v>1</v>
      </c>
      <c r="I2444" s="13"/>
      <c r="J2444" s="13"/>
      <c r="K2444" s="13"/>
      <c r="L2444" s="13">
        <v>0.2</v>
      </c>
      <c r="M2444" s="13">
        <v>0.25</v>
      </c>
    </row>
    <row r="2445" spans="2:13" x14ac:dyDescent="0.25">
      <c r="B2445" s="14" t="s">
        <v>210</v>
      </c>
      <c r="C2445" s="14" t="s">
        <v>74</v>
      </c>
      <c r="D2445" t="s">
        <v>46</v>
      </c>
      <c r="E2445" s="16" t="s">
        <v>133</v>
      </c>
      <c r="F2445">
        <v>2026</v>
      </c>
      <c r="G2445" s="12">
        <v>2091430</v>
      </c>
      <c r="H2445" s="13">
        <v>0.65</v>
      </c>
      <c r="I2445" s="13"/>
      <c r="J2445" s="13"/>
      <c r="K2445" s="13"/>
      <c r="L2445" s="13">
        <v>0.2</v>
      </c>
      <c r="M2445" s="13">
        <v>0.25</v>
      </c>
    </row>
    <row r="2446" spans="2:13" x14ac:dyDescent="0.25">
      <c r="B2446" s="14" t="s">
        <v>210</v>
      </c>
      <c r="C2446" s="14" t="s">
        <v>74</v>
      </c>
      <c r="D2446" t="s">
        <v>46</v>
      </c>
      <c r="E2446" s="16" t="s">
        <v>133</v>
      </c>
      <c r="F2446">
        <v>2027</v>
      </c>
      <c r="G2446" s="12">
        <v>2152082</v>
      </c>
      <c r="H2446" s="13">
        <v>0.65</v>
      </c>
      <c r="I2446" s="13"/>
      <c r="J2446" s="13"/>
      <c r="K2446" s="13"/>
      <c r="L2446" s="13">
        <v>0.2</v>
      </c>
      <c r="M2446" s="13">
        <v>0.25</v>
      </c>
    </row>
    <row r="2447" spans="2:13" x14ac:dyDescent="0.25">
      <c r="B2447" s="14" t="s">
        <v>210</v>
      </c>
      <c r="C2447" s="14" t="s">
        <v>74</v>
      </c>
      <c r="D2447" t="s">
        <v>46</v>
      </c>
      <c r="E2447" s="16" t="s">
        <v>133</v>
      </c>
      <c r="F2447">
        <v>2028</v>
      </c>
      <c r="G2447" s="12">
        <v>2163841</v>
      </c>
      <c r="H2447" s="13">
        <v>0.65</v>
      </c>
      <c r="I2447" s="13"/>
      <c r="J2447" s="13"/>
      <c r="K2447" s="13"/>
      <c r="L2447" s="13">
        <v>0.2</v>
      </c>
      <c r="M2447" s="13">
        <v>0.25</v>
      </c>
    </row>
    <row r="2448" spans="2:13" x14ac:dyDescent="0.25">
      <c r="B2448" s="14" t="s">
        <v>210</v>
      </c>
      <c r="C2448" s="14" t="s">
        <v>74</v>
      </c>
      <c r="D2448" t="s">
        <v>46</v>
      </c>
      <c r="E2448" s="16" t="s">
        <v>133</v>
      </c>
      <c r="F2448">
        <v>2029</v>
      </c>
      <c r="G2448" s="12">
        <v>2170257</v>
      </c>
      <c r="H2448" s="13">
        <v>0.65</v>
      </c>
      <c r="I2448" s="13"/>
      <c r="J2448" s="13"/>
      <c r="K2448" s="13"/>
      <c r="L2448" s="13">
        <v>0.2</v>
      </c>
      <c r="M2448" s="13">
        <v>0.25</v>
      </c>
    </row>
    <row r="2449" spans="2:13" x14ac:dyDescent="0.25">
      <c r="B2449" s="15" t="s">
        <v>210</v>
      </c>
      <c r="C2449" s="14" t="s">
        <v>74</v>
      </c>
      <c r="D2449" t="s">
        <v>46</v>
      </c>
      <c r="E2449" s="16" t="s">
        <v>133</v>
      </c>
      <c r="F2449">
        <v>2030</v>
      </c>
      <c r="G2449" s="12">
        <v>2179399</v>
      </c>
      <c r="H2449" s="13">
        <v>0.65</v>
      </c>
      <c r="I2449" s="13"/>
      <c r="J2449" s="13"/>
      <c r="K2449" s="13"/>
      <c r="L2449" s="13">
        <v>0.2</v>
      </c>
      <c r="M2449" s="13">
        <v>0.25</v>
      </c>
    </row>
    <row r="2450" spans="2:13" x14ac:dyDescent="0.25">
      <c r="B2450" s="14" t="s">
        <v>211</v>
      </c>
      <c r="C2450" s="14" t="s">
        <v>70</v>
      </c>
      <c r="D2450" t="s">
        <v>46</v>
      </c>
      <c r="E2450" s="16" t="s">
        <v>133</v>
      </c>
      <c r="F2450">
        <v>2026</v>
      </c>
      <c r="G2450" s="12">
        <v>885348</v>
      </c>
      <c r="H2450" s="13">
        <v>0.97</v>
      </c>
      <c r="I2450" s="13">
        <v>0.97</v>
      </c>
      <c r="J2450" s="13">
        <v>0</v>
      </c>
      <c r="K2450" s="13">
        <v>0</v>
      </c>
      <c r="L2450" s="13">
        <v>7.0000000000000007E-2</v>
      </c>
      <c r="M2450" s="13">
        <v>0.25</v>
      </c>
    </row>
    <row r="2451" spans="2:13" x14ac:dyDescent="0.25">
      <c r="B2451" s="14" t="s">
        <v>211</v>
      </c>
      <c r="C2451" s="14" t="s">
        <v>70</v>
      </c>
      <c r="D2451" t="s">
        <v>46</v>
      </c>
      <c r="E2451" s="16" t="s">
        <v>133</v>
      </c>
      <c r="F2451">
        <v>2027</v>
      </c>
      <c r="G2451" s="12">
        <v>873197</v>
      </c>
      <c r="H2451" s="13">
        <v>0.97660000000000002</v>
      </c>
      <c r="I2451" s="13">
        <v>0.97660000000000002</v>
      </c>
      <c r="J2451" s="13">
        <v>6.6E-3</v>
      </c>
      <c r="K2451" s="13">
        <v>0</v>
      </c>
      <c r="L2451" s="13">
        <v>7.0000000000000007E-2</v>
      </c>
      <c r="M2451" s="13">
        <v>0.25</v>
      </c>
    </row>
    <row r="2452" spans="2:13" x14ac:dyDescent="0.25">
      <c r="B2452" s="14" t="s">
        <v>211</v>
      </c>
      <c r="C2452" s="14" t="s">
        <v>70</v>
      </c>
      <c r="D2452" t="s">
        <v>46</v>
      </c>
      <c r="E2452" s="16" t="s">
        <v>133</v>
      </c>
      <c r="F2452">
        <v>2028</v>
      </c>
      <c r="G2452" s="12">
        <v>863936</v>
      </c>
      <c r="H2452" s="13">
        <v>0.98319999999999996</v>
      </c>
      <c r="I2452" s="13">
        <v>0.98319999999999996</v>
      </c>
      <c r="J2452" s="13">
        <v>1.32E-2</v>
      </c>
      <c r="K2452" s="13">
        <v>0</v>
      </c>
      <c r="L2452" s="13">
        <v>7.0000000000000007E-2</v>
      </c>
      <c r="M2452" s="13">
        <v>0.25</v>
      </c>
    </row>
    <row r="2453" spans="2:13" x14ac:dyDescent="0.25">
      <c r="B2453" s="14" t="s">
        <v>211</v>
      </c>
      <c r="C2453" s="14" t="s">
        <v>70</v>
      </c>
      <c r="D2453" t="s">
        <v>46</v>
      </c>
      <c r="E2453" s="16" t="s">
        <v>133</v>
      </c>
      <c r="F2453">
        <v>2029</v>
      </c>
      <c r="G2453" s="12">
        <v>856789</v>
      </c>
      <c r="H2453" s="13">
        <v>0.98980000000000001</v>
      </c>
      <c r="I2453" s="13">
        <v>0.98980000000000001</v>
      </c>
      <c r="J2453" s="13">
        <v>1.9800000000000002E-2</v>
      </c>
      <c r="K2453" s="13">
        <v>0</v>
      </c>
      <c r="L2453" s="13">
        <v>7.0000000000000007E-2</v>
      </c>
      <c r="M2453" s="13">
        <v>0.25</v>
      </c>
    </row>
    <row r="2454" spans="2:13" x14ac:dyDescent="0.25">
      <c r="B2454" s="15" t="s">
        <v>211</v>
      </c>
      <c r="C2454" s="14" t="s">
        <v>70</v>
      </c>
      <c r="D2454" t="s">
        <v>46</v>
      </c>
      <c r="E2454" s="16" t="s">
        <v>133</v>
      </c>
      <c r="F2454">
        <v>2030</v>
      </c>
      <c r="G2454" s="12">
        <v>851756</v>
      </c>
      <c r="H2454" s="13">
        <v>0.99</v>
      </c>
      <c r="I2454" s="13">
        <v>0.99</v>
      </c>
      <c r="J2454" s="13">
        <v>2.64E-2</v>
      </c>
      <c r="K2454" s="13">
        <v>0</v>
      </c>
      <c r="L2454" s="13">
        <v>7.0000000000000007E-2</v>
      </c>
      <c r="M2454" s="13">
        <v>0.25</v>
      </c>
    </row>
    <row r="2455" spans="2:13" x14ac:dyDescent="0.25">
      <c r="B2455" s="14" t="s">
        <v>212</v>
      </c>
      <c r="C2455" s="14" t="s">
        <v>70</v>
      </c>
      <c r="D2455" t="s">
        <v>46</v>
      </c>
      <c r="E2455" s="16" t="s">
        <v>133</v>
      </c>
      <c r="F2455">
        <v>2026</v>
      </c>
      <c r="G2455" s="12">
        <v>1290732</v>
      </c>
      <c r="H2455" s="13">
        <v>0.91</v>
      </c>
      <c r="I2455" s="13">
        <v>0.89200000000000002</v>
      </c>
      <c r="J2455" s="13">
        <v>0</v>
      </c>
      <c r="K2455" s="13">
        <v>0</v>
      </c>
      <c r="L2455" s="13">
        <v>7.0000000000000007E-2</v>
      </c>
      <c r="M2455" s="13">
        <v>0.25</v>
      </c>
    </row>
    <row r="2456" spans="2:13" x14ac:dyDescent="0.25">
      <c r="B2456" s="14" t="s">
        <v>212</v>
      </c>
      <c r="C2456" s="14" t="s">
        <v>70</v>
      </c>
      <c r="D2456" t="s">
        <v>46</v>
      </c>
      <c r="E2456" s="16" t="s">
        <v>133</v>
      </c>
      <c r="F2456">
        <v>2027</v>
      </c>
      <c r="G2456" s="12">
        <v>1274589</v>
      </c>
      <c r="H2456" s="13">
        <v>0.91659999999999997</v>
      </c>
      <c r="I2456" s="13">
        <v>0.89859999999999995</v>
      </c>
      <c r="J2456" s="13">
        <v>6.6E-3</v>
      </c>
      <c r="K2456" s="13">
        <v>0</v>
      </c>
      <c r="L2456" s="13">
        <v>7.0000000000000007E-2</v>
      </c>
      <c r="M2456" s="13">
        <v>0.25</v>
      </c>
    </row>
    <row r="2457" spans="2:13" x14ac:dyDescent="0.25">
      <c r="B2457" s="14" t="s">
        <v>212</v>
      </c>
      <c r="C2457" s="14" t="s">
        <v>70</v>
      </c>
      <c r="D2457" t="s">
        <v>46</v>
      </c>
      <c r="E2457" s="16" t="s">
        <v>133</v>
      </c>
      <c r="F2457">
        <v>2028</v>
      </c>
      <c r="G2457" s="12">
        <v>1264585</v>
      </c>
      <c r="H2457" s="13">
        <v>0.92320000000000002</v>
      </c>
      <c r="I2457" s="13">
        <v>0.9052</v>
      </c>
      <c r="J2457" s="13">
        <v>1.32E-2</v>
      </c>
      <c r="K2457" s="13">
        <v>0</v>
      </c>
      <c r="L2457" s="13">
        <v>7.0000000000000007E-2</v>
      </c>
      <c r="M2457" s="13">
        <v>0.25</v>
      </c>
    </row>
    <row r="2458" spans="2:13" x14ac:dyDescent="0.25">
      <c r="B2458" s="14" t="s">
        <v>212</v>
      </c>
      <c r="C2458" s="14" t="s">
        <v>70</v>
      </c>
      <c r="D2458" t="s">
        <v>46</v>
      </c>
      <c r="E2458" s="16" t="s">
        <v>133</v>
      </c>
      <c r="F2458">
        <v>2029</v>
      </c>
      <c r="G2458" s="12">
        <v>1260155</v>
      </c>
      <c r="H2458" s="13">
        <v>0.92979999999999996</v>
      </c>
      <c r="I2458" s="13">
        <v>0.91180000000000005</v>
      </c>
      <c r="J2458" s="13">
        <v>1.9800000000000002E-2</v>
      </c>
      <c r="K2458" s="13">
        <v>0</v>
      </c>
      <c r="L2458" s="13">
        <v>7.0000000000000007E-2</v>
      </c>
      <c r="M2458" s="13">
        <v>0.25</v>
      </c>
    </row>
    <row r="2459" spans="2:13" x14ac:dyDescent="0.25">
      <c r="B2459" s="15" t="s">
        <v>212</v>
      </c>
      <c r="C2459" s="14" t="s">
        <v>70</v>
      </c>
      <c r="D2459" t="s">
        <v>46</v>
      </c>
      <c r="E2459" s="16" t="s">
        <v>133</v>
      </c>
      <c r="F2459">
        <v>2030</v>
      </c>
      <c r="G2459" s="12">
        <v>1260801</v>
      </c>
      <c r="H2459" s="13">
        <v>0.93640000000000001</v>
      </c>
      <c r="I2459" s="13">
        <v>0.91839999999999999</v>
      </c>
      <c r="J2459" s="13">
        <v>2.64E-2</v>
      </c>
      <c r="K2459" s="13">
        <v>0</v>
      </c>
      <c r="L2459" s="13">
        <v>7.0000000000000007E-2</v>
      </c>
      <c r="M2459" s="13">
        <v>0.25</v>
      </c>
    </row>
    <row r="2460" spans="2:13" x14ac:dyDescent="0.25">
      <c r="B2460" s="14" t="s">
        <v>213</v>
      </c>
      <c r="C2460" s="14" t="s">
        <v>132</v>
      </c>
      <c r="D2460" t="s">
        <v>46</v>
      </c>
      <c r="E2460" s="16" t="s">
        <v>133</v>
      </c>
      <c r="F2460">
        <v>2026</v>
      </c>
      <c r="G2460" s="12">
        <v>1306206</v>
      </c>
      <c r="H2460" s="13">
        <v>0.86</v>
      </c>
      <c r="I2460" s="13">
        <v>0.81899999999999995</v>
      </c>
      <c r="J2460" s="13">
        <v>0.76</v>
      </c>
      <c r="K2460" s="13">
        <v>0</v>
      </c>
      <c r="L2460" s="13">
        <v>0.04</v>
      </c>
      <c r="M2460" s="13">
        <v>0.25</v>
      </c>
    </row>
    <row r="2461" spans="2:13" x14ac:dyDescent="0.25">
      <c r="B2461" s="14" t="s">
        <v>213</v>
      </c>
      <c r="C2461" s="14" t="s">
        <v>132</v>
      </c>
      <c r="D2461" t="s">
        <v>46</v>
      </c>
      <c r="E2461" s="16" t="s">
        <v>133</v>
      </c>
      <c r="F2461">
        <v>2027</v>
      </c>
      <c r="G2461" s="12">
        <v>1345654</v>
      </c>
      <c r="H2461" s="13">
        <v>0.435</v>
      </c>
      <c r="I2461" s="13">
        <v>0.41449999999999998</v>
      </c>
      <c r="J2461" s="13">
        <v>0.38500000000000001</v>
      </c>
      <c r="K2461" s="13">
        <v>0</v>
      </c>
      <c r="L2461" s="13">
        <v>0.04</v>
      </c>
      <c r="M2461" s="13">
        <v>0.25</v>
      </c>
    </row>
    <row r="2462" spans="2:13" x14ac:dyDescent="0.25">
      <c r="B2462" s="14" t="s">
        <v>213</v>
      </c>
      <c r="C2462" s="14" t="s">
        <v>132</v>
      </c>
      <c r="D2462" t="s">
        <v>46</v>
      </c>
      <c r="E2462" s="16" t="s">
        <v>133</v>
      </c>
      <c r="F2462">
        <v>2028</v>
      </c>
      <c r="G2462" s="12">
        <v>1308581.6809250901</v>
      </c>
      <c r="H2462" s="13">
        <v>0</v>
      </c>
      <c r="I2462" s="13">
        <v>0</v>
      </c>
      <c r="J2462" s="13">
        <v>0</v>
      </c>
      <c r="K2462" s="13">
        <v>0</v>
      </c>
      <c r="L2462" s="13">
        <v>0.04</v>
      </c>
      <c r="M2462" s="13">
        <v>0.25</v>
      </c>
    </row>
    <row r="2463" spans="2:13" x14ac:dyDescent="0.25">
      <c r="B2463" s="14" t="s">
        <v>213</v>
      </c>
      <c r="C2463" s="14" t="s">
        <v>70</v>
      </c>
      <c r="D2463" t="s">
        <v>46</v>
      </c>
      <c r="E2463" s="16" t="s">
        <v>133</v>
      </c>
      <c r="F2463">
        <v>2026</v>
      </c>
      <c r="G2463" s="12">
        <v>1306206</v>
      </c>
      <c r="H2463" s="13">
        <v>0.71</v>
      </c>
      <c r="I2463" s="13">
        <v>0.71</v>
      </c>
      <c r="J2463" s="13">
        <v>0</v>
      </c>
      <c r="K2463" s="13">
        <v>0</v>
      </c>
      <c r="L2463" s="13">
        <v>7.0000000000000007E-2</v>
      </c>
      <c r="M2463" s="13">
        <v>0.25</v>
      </c>
    </row>
    <row r="2464" spans="2:13" x14ac:dyDescent="0.25">
      <c r="B2464" s="14" t="s">
        <v>213</v>
      </c>
      <c r="C2464" s="14" t="s">
        <v>70</v>
      </c>
      <c r="D2464" t="s">
        <v>46</v>
      </c>
      <c r="E2464" s="16" t="s">
        <v>133</v>
      </c>
      <c r="F2464">
        <v>2027</v>
      </c>
      <c r="G2464" s="12">
        <v>1345654</v>
      </c>
      <c r="H2464" s="13">
        <v>0.36</v>
      </c>
      <c r="I2464" s="13">
        <v>0.36</v>
      </c>
      <c r="J2464" s="13">
        <v>0</v>
      </c>
      <c r="K2464" s="13">
        <v>0</v>
      </c>
      <c r="L2464" s="13">
        <v>7.0000000000000007E-2</v>
      </c>
      <c r="M2464" s="13">
        <v>0.25</v>
      </c>
    </row>
    <row r="2465" spans="2:13" x14ac:dyDescent="0.25">
      <c r="B2465" s="14" t="s">
        <v>213</v>
      </c>
      <c r="C2465" s="14" t="s">
        <v>70</v>
      </c>
      <c r="D2465" t="s">
        <v>46</v>
      </c>
      <c r="E2465" s="16" t="s">
        <v>133</v>
      </c>
      <c r="F2465">
        <v>2028</v>
      </c>
      <c r="G2465" s="12">
        <v>1308581.6809250901</v>
      </c>
      <c r="H2465" s="13">
        <v>0</v>
      </c>
      <c r="I2465" s="13">
        <v>0</v>
      </c>
      <c r="J2465" s="13">
        <v>0</v>
      </c>
      <c r="K2465" s="13">
        <v>0</v>
      </c>
      <c r="L2465" s="13">
        <v>7.0000000000000007E-2</v>
      </c>
      <c r="M2465" s="13">
        <v>0.25</v>
      </c>
    </row>
    <row r="2466" spans="2:13" x14ac:dyDescent="0.25">
      <c r="B2466" s="14" t="s">
        <v>213</v>
      </c>
      <c r="C2466" s="14" t="s">
        <v>134</v>
      </c>
      <c r="D2466" t="s">
        <v>46</v>
      </c>
      <c r="E2466" s="16" t="s">
        <v>133</v>
      </c>
      <c r="F2466">
        <v>2026</v>
      </c>
      <c r="G2466" s="12">
        <v>1306206</v>
      </c>
      <c r="H2466" s="13">
        <v>0</v>
      </c>
      <c r="I2466" s="13">
        <v>0</v>
      </c>
      <c r="J2466" s="13">
        <v>0</v>
      </c>
      <c r="K2466" s="13">
        <v>0</v>
      </c>
      <c r="L2466" s="13">
        <v>7.0000000000000007E-2</v>
      </c>
      <c r="M2466" s="13">
        <v>0.25</v>
      </c>
    </row>
    <row r="2467" spans="2:13" x14ac:dyDescent="0.25">
      <c r="B2467" s="14" t="s">
        <v>213</v>
      </c>
      <c r="C2467" s="14" t="s">
        <v>134</v>
      </c>
      <c r="D2467" t="s">
        <v>46</v>
      </c>
      <c r="E2467" s="16" t="s">
        <v>133</v>
      </c>
      <c r="F2467">
        <v>2027</v>
      </c>
      <c r="G2467" s="12">
        <v>1345654</v>
      </c>
      <c r="H2467" s="13">
        <v>0.43330000000000002</v>
      </c>
      <c r="I2467" s="13">
        <v>0.4128</v>
      </c>
      <c r="J2467" s="13">
        <v>0.38329999999999997</v>
      </c>
      <c r="K2467" s="13">
        <v>0</v>
      </c>
      <c r="L2467" s="13">
        <v>7.0000000000000007E-2</v>
      </c>
      <c r="M2467" s="13">
        <v>0.25</v>
      </c>
    </row>
    <row r="2468" spans="2:13" x14ac:dyDescent="0.25">
      <c r="B2468" s="14" t="s">
        <v>213</v>
      </c>
      <c r="C2468" s="14" t="s">
        <v>134</v>
      </c>
      <c r="D2468" t="s">
        <v>46</v>
      </c>
      <c r="E2468" s="16" t="s">
        <v>133</v>
      </c>
      <c r="F2468">
        <v>2028</v>
      </c>
      <c r="G2468" s="12">
        <v>1308581.6809250901</v>
      </c>
      <c r="H2468" s="13">
        <v>0.87319999999999998</v>
      </c>
      <c r="I2468" s="13">
        <v>0.83220000000000005</v>
      </c>
      <c r="J2468" s="13">
        <v>0.7732</v>
      </c>
      <c r="K2468" s="13">
        <v>0</v>
      </c>
      <c r="L2468" s="13">
        <v>7.0000000000000007E-2</v>
      </c>
      <c r="M2468" s="13">
        <v>0.25</v>
      </c>
    </row>
    <row r="2469" spans="2:13" x14ac:dyDescent="0.25">
      <c r="B2469" s="14" t="s">
        <v>213</v>
      </c>
      <c r="C2469" s="14" t="s">
        <v>134</v>
      </c>
      <c r="D2469" t="s">
        <v>46</v>
      </c>
      <c r="E2469" s="16" t="s">
        <v>133</v>
      </c>
      <c r="F2469">
        <v>2029</v>
      </c>
      <c r="G2469" s="12">
        <v>1312393.0662936701</v>
      </c>
      <c r="H2469" s="13">
        <v>0.87980000000000003</v>
      </c>
      <c r="I2469" s="13">
        <v>0.83879999999999999</v>
      </c>
      <c r="J2469" s="13">
        <v>0.77980000000000005</v>
      </c>
      <c r="K2469" s="13">
        <v>0</v>
      </c>
      <c r="L2469" s="13">
        <v>7.0000000000000007E-2</v>
      </c>
      <c r="M2469" s="13">
        <v>0.25</v>
      </c>
    </row>
    <row r="2470" spans="2:13" x14ac:dyDescent="0.25">
      <c r="B2470" s="14" t="s">
        <v>213</v>
      </c>
      <c r="C2470" s="14" t="s">
        <v>134</v>
      </c>
      <c r="D2470" t="s">
        <v>46</v>
      </c>
      <c r="E2470" s="16" t="s">
        <v>133</v>
      </c>
      <c r="F2470">
        <v>2030</v>
      </c>
      <c r="G2470" s="12">
        <v>1313144.2848205401</v>
      </c>
      <c r="H2470" s="13">
        <v>0.88639999999999997</v>
      </c>
      <c r="I2470" s="13">
        <v>0.84540000000000004</v>
      </c>
      <c r="J2470" s="13">
        <v>0.78639999999999999</v>
      </c>
      <c r="K2470" s="13">
        <v>0</v>
      </c>
      <c r="L2470" s="13">
        <v>7.0000000000000007E-2</v>
      </c>
      <c r="M2470" s="13">
        <v>0.25</v>
      </c>
    </row>
    <row r="2471" spans="2:13" x14ac:dyDescent="0.25">
      <c r="B2471" s="14" t="s">
        <v>213</v>
      </c>
      <c r="C2471" s="14" t="s">
        <v>72</v>
      </c>
      <c r="D2471" t="s">
        <v>46</v>
      </c>
      <c r="E2471" s="16" t="s">
        <v>133</v>
      </c>
      <c r="F2471">
        <v>2026</v>
      </c>
      <c r="G2471" s="12">
        <v>1306206</v>
      </c>
      <c r="H2471" s="13">
        <v>0.86</v>
      </c>
      <c r="I2471" s="13">
        <v>0.81899999999999995</v>
      </c>
      <c r="J2471" s="13">
        <v>0.76</v>
      </c>
      <c r="K2471" s="13"/>
      <c r="L2471" s="13">
        <v>7.0000000000000007E-2</v>
      </c>
      <c r="M2471" s="13">
        <v>0.25</v>
      </c>
    </row>
    <row r="2472" spans="2:13" x14ac:dyDescent="0.25">
      <c r="B2472" s="14" t="s">
        <v>213</v>
      </c>
      <c r="C2472" s="14" t="s">
        <v>72</v>
      </c>
      <c r="D2472" t="s">
        <v>46</v>
      </c>
      <c r="E2472" s="16" t="s">
        <v>133</v>
      </c>
      <c r="F2472">
        <v>2027</v>
      </c>
      <c r="G2472" s="12">
        <v>1345654</v>
      </c>
      <c r="H2472" s="13">
        <v>0.87</v>
      </c>
      <c r="I2472" s="13">
        <v>0.82899999999999996</v>
      </c>
      <c r="J2472" s="13">
        <v>0.77</v>
      </c>
      <c r="K2472" s="13"/>
      <c r="L2472" s="13">
        <v>7.0000000000000007E-2</v>
      </c>
      <c r="M2472" s="13">
        <v>0.25</v>
      </c>
    </row>
    <row r="2473" spans="2:13" x14ac:dyDescent="0.25">
      <c r="B2473" s="14" t="s">
        <v>213</v>
      </c>
      <c r="C2473" s="14" t="s">
        <v>72</v>
      </c>
      <c r="D2473" t="s">
        <v>46</v>
      </c>
      <c r="E2473" s="16" t="s">
        <v>133</v>
      </c>
      <c r="F2473">
        <v>2028</v>
      </c>
      <c r="G2473" s="12">
        <v>1308581.6809250901</v>
      </c>
      <c r="H2473" s="13">
        <v>0.87319999999999998</v>
      </c>
      <c r="I2473" s="13">
        <v>0.83220000000000005</v>
      </c>
      <c r="J2473" s="13">
        <v>0.7732</v>
      </c>
      <c r="K2473" s="13"/>
      <c r="L2473" s="13">
        <v>7.0000000000000007E-2</v>
      </c>
      <c r="M2473" s="13">
        <v>0.25</v>
      </c>
    </row>
    <row r="2474" spans="2:13" x14ac:dyDescent="0.25">
      <c r="B2474" s="14" t="s">
        <v>213</v>
      </c>
      <c r="C2474" s="14" t="s">
        <v>72</v>
      </c>
      <c r="D2474" t="s">
        <v>46</v>
      </c>
      <c r="E2474" s="16" t="s">
        <v>133</v>
      </c>
      <c r="F2474">
        <v>2029</v>
      </c>
      <c r="G2474" s="12">
        <v>1312393.0662936701</v>
      </c>
      <c r="H2474" s="13">
        <v>0.87980000000000003</v>
      </c>
      <c r="I2474" s="13">
        <v>0.83879999999999999</v>
      </c>
      <c r="J2474" s="13">
        <v>0.77980000000000005</v>
      </c>
      <c r="K2474" s="13"/>
      <c r="L2474" s="13">
        <v>7.0000000000000007E-2</v>
      </c>
      <c r="M2474" s="13">
        <v>0.25</v>
      </c>
    </row>
    <row r="2475" spans="2:13" x14ac:dyDescent="0.25">
      <c r="B2475" s="14" t="s">
        <v>213</v>
      </c>
      <c r="C2475" s="14" t="s">
        <v>72</v>
      </c>
      <c r="D2475" t="s">
        <v>46</v>
      </c>
      <c r="E2475" s="16" t="s">
        <v>133</v>
      </c>
      <c r="F2475">
        <v>2030</v>
      </c>
      <c r="G2475" s="12">
        <v>1313144.2848205401</v>
      </c>
      <c r="H2475" s="13">
        <v>0.88639999999999997</v>
      </c>
      <c r="I2475" s="13">
        <v>0.84540000000000004</v>
      </c>
      <c r="J2475" s="13">
        <v>0.78639999999999999</v>
      </c>
      <c r="K2475" s="13"/>
      <c r="L2475" s="13">
        <v>7.0000000000000007E-2</v>
      </c>
      <c r="M2475" s="13">
        <v>0.25</v>
      </c>
    </row>
    <row r="2476" spans="2:13" x14ac:dyDescent="0.25">
      <c r="B2476" s="14" t="s">
        <v>213</v>
      </c>
      <c r="C2476" s="14" t="s">
        <v>182</v>
      </c>
      <c r="D2476" t="s">
        <v>46</v>
      </c>
      <c r="E2476" s="16" t="s">
        <v>133</v>
      </c>
      <c r="F2476">
        <v>2029</v>
      </c>
      <c r="G2476" s="12">
        <v>1312393.0662936701</v>
      </c>
      <c r="H2476" s="13">
        <v>0.39979999999999999</v>
      </c>
      <c r="I2476" s="13"/>
      <c r="J2476" s="13"/>
      <c r="K2476" s="13"/>
      <c r="L2476" s="13">
        <v>0.17</v>
      </c>
      <c r="M2476" s="13">
        <v>0.25</v>
      </c>
    </row>
    <row r="2477" spans="2:13" x14ac:dyDescent="0.25">
      <c r="B2477" s="14" t="s">
        <v>213</v>
      </c>
      <c r="C2477" s="14" t="s">
        <v>182</v>
      </c>
      <c r="D2477" t="s">
        <v>46</v>
      </c>
      <c r="E2477" s="16" t="s">
        <v>133</v>
      </c>
      <c r="F2477">
        <v>2030</v>
      </c>
      <c r="G2477" s="12">
        <v>1313144.2848205401</v>
      </c>
      <c r="H2477" s="13">
        <v>0.80620000000000003</v>
      </c>
      <c r="I2477" s="13"/>
      <c r="J2477" s="13"/>
      <c r="K2477" s="13"/>
      <c r="L2477" s="13">
        <v>0.17</v>
      </c>
      <c r="M2477" s="13">
        <v>0.25</v>
      </c>
    </row>
    <row r="2478" spans="2:13" x14ac:dyDescent="0.25">
      <c r="B2478" s="14" t="s">
        <v>213</v>
      </c>
      <c r="C2478" s="14" t="s">
        <v>102</v>
      </c>
      <c r="D2478" t="s">
        <v>46</v>
      </c>
      <c r="E2478" s="16" t="s">
        <v>133</v>
      </c>
      <c r="F2478">
        <v>2028</v>
      </c>
      <c r="G2478" s="12">
        <v>1308581.6809250901</v>
      </c>
      <c r="H2478" s="13">
        <v>5.3896590600000002E-2</v>
      </c>
      <c r="I2478" s="13"/>
      <c r="J2478" s="13"/>
      <c r="K2478" s="13"/>
      <c r="L2478" s="13">
        <v>7.0000000000000007E-2</v>
      </c>
      <c r="M2478" s="13">
        <v>0.25</v>
      </c>
    </row>
    <row r="2479" spans="2:13" x14ac:dyDescent="0.25">
      <c r="B2479" s="14" t="s">
        <v>213</v>
      </c>
      <c r="C2479" s="14" t="s">
        <v>102</v>
      </c>
      <c r="D2479" t="s">
        <v>46</v>
      </c>
      <c r="E2479" s="16" t="s">
        <v>133</v>
      </c>
      <c r="F2479">
        <v>2029</v>
      </c>
      <c r="G2479" s="12">
        <v>1312393.0662936701</v>
      </c>
      <c r="H2479" s="13">
        <v>0.65335908679999999</v>
      </c>
      <c r="I2479" s="13"/>
      <c r="J2479" s="13"/>
      <c r="K2479" s="13"/>
      <c r="L2479" s="13">
        <v>7.0000000000000007E-2</v>
      </c>
      <c r="M2479" s="13">
        <v>0.25</v>
      </c>
    </row>
    <row r="2480" spans="2:13" x14ac:dyDescent="0.25">
      <c r="B2480" s="14" t="s">
        <v>213</v>
      </c>
      <c r="C2480" s="14" t="s">
        <v>102</v>
      </c>
      <c r="D2480" t="s">
        <v>46</v>
      </c>
      <c r="E2480" s="16" t="s">
        <v>133</v>
      </c>
      <c r="F2480">
        <v>2030</v>
      </c>
      <c r="G2480" s="12">
        <v>1313144.2848205401</v>
      </c>
      <c r="H2480" s="13">
        <v>0.65995908680000004</v>
      </c>
      <c r="I2480" s="13"/>
      <c r="J2480" s="13"/>
      <c r="K2480" s="13"/>
      <c r="L2480" s="13">
        <v>7.0000000000000007E-2</v>
      </c>
      <c r="M2480" s="13">
        <v>0.25</v>
      </c>
    </row>
    <row r="2481" spans="2:13" x14ac:dyDescent="0.25">
      <c r="B2481" s="14" t="s">
        <v>213</v>
      </c>
      <c r="C2481" s="14" t="s">
        <v>15</v>
      </c>
      <c r="D2481" t="s">
        <v>136</v>
      </c>
      <c r="E2481" s="16" t="s">
        <v>133</v>
      </c>
      <c r="F2481">
        <v>2027</v>
      </c>
      <c r="G2481" s="12">
        <v>0</v>
      </c>
      <c r="H2481" s="13">
        <v>0</v>
      </c>
      <c r="I2481" s="13"/>
      <c r="J2481" s="13"/>
      <c r="K2481" s="13"/>
      <c r="L2481" s="13">
        <v>0.05</v>
      </c>
      <c r="M2481" s="13">
        <v>0.25</v>
      </c>
    </row>
    <row r="2482" spans="2:13" x14ac:dyDescent="0.25">
      <c r="B2482" s="14" t="s">
        <v>213</v>
      </c>
      <c r="C2482" s="14" t="s">
        <v>15</v>
      </c>
      <c r="D2482" t="s">
        <v>136</v>
      </c>
      <c r="E2482" s="16" t="s">
        <v>133</v>
      </c>
      <c r="F2482">
        <v>2028</v>
      </c>
      <c r="G2482" s="12">
        <v>2623362.5</v>
      </c>
      <c r="H2482" s="13">
        <v>0.8</v>
      </c>
      <c r="I2482" s="13"/>
      <c r="J2482" s="13"/>
      <c r="K2482" s="13"/>
      <c r="L2482" s="13">
        <v>0.05</v>
      </c>
      <c r="M2482" s="13">
        <v>0.25</v>
      </c>
    </row>
    <row r="2483" spans="2:13" x14ac:dyDescent="0.25">
      <c r="B2483" s="14" t="s">
        <v>213</v>
      </c>
      <c r="C2483" s="14" t="s">
        <v>15</v>
      </c>
      <c r="D2483" t="s">
        <v>136</v>
      </c>
      <c r="E2483" s="16" t="s">
        <v>133</v>
      </c>
      <c r="F2483">
        <v>2029</v>
      </c>
      <c r="G2483" s="12">
        <v>0</v>
      </c>
      <c r="H2483" s="13">
        <v>0</v>
      </c>
      <c r="I2483" s="13"/>
      <c r="J2483" s="13"/>
      <c r="K2483" s="13"/>
      <c r="L2483" s="13">
        <v>0.05</v>
      </c>
      <c r="M2483" s="13">
        <v>0.25</v>
      </c>
    </row>
    <row r="2484" spans="2:13" x14ac:dyDescent="0.25">
      <c r="B2484" s="14" t="s">
        <v>213</v>
      </c>
      <c r="C2484" s="14" t="s">
        <v>15</v>
      </c>
      <c r="D2484" t="s">
        <v>46</v>
      </c>
      <c r="E2484" s="16" t="s">
        <v>133</v>
      </c>
      <c r="F2484">
        <v>2027</v>
      </c>
      <c r="G2484" s="12">
        <v>560598</v>
      </c>
      <c r="H2484" s="13">
        <v>0</v>
      </c>
      <c r="I2484" s="13"/>
      <c r="J2484" s="13"/>
      <c r="K2484" s="13"/>
      <c r="L2484" s="13">
        <v>0.05</v>
      </c>
      <c r="M2484" s="13">
        <v>0.25</v>
      </c>
    </row>
    <row r="2485" spans="2:13" x14ac:dyDescent="0.25">
      <c r="B2485" s="14" t="s">
        <v>213</v>
      </c>
      <c r="C2485" s="14" t="s">
        <v>15</v>
      </c>
      <c r="D2485" t="s">
        <v>46</v>
      </c>
      <c r="E2485" s="16" t="s">
        <v>133</v>
      </c>
      <c r="F2485">
        <v>2028</v>
      </c>
      <c r="G2485" s="12">
        <v>577015</v>
      </c>
      <c r="H2485" s="13">
        <v>0.4564280986</v>
      </c>
      <c r="I2485" s="13"/>
      <c r="J2485" s="13"/>
      <c r="K2485" s="13"/>
      <c r="L2485" s="13">
        <v>0.05</v>
      </c>
      <c r="M2485" s="13">
        <v>0.25</v>
      </c>
    </row>
    <row r="2486" spans="2:13" x14ac:dyDescent="0.25">
      <c r="B2486" s="14" t="s">
        <v>213</v>
      </c>
      <c r="C2486" s="14" t="s">
        <v>15</v>
      </c>
      <c r="D2486" t="s">
        <v>46</v>
      </c>
      <c r="E2486" s="16" t="s">
        <v>133</v>
      </c>
      <c r="F2486">
        <v>2029</v>
      </c>
      <c r="G2486" s="12">
        <v>593471.5</v>
      </c>
      <c r="H2486" s="13">
        <v>0.46123949860000002</v>
      </c>
      <c r="I2486" s="13"/>
      <c r="J2486" s="13"/>
      <c r="K2486" s="13"/>
      <c r="L2486" s="13">
        <v>0.05</v>
      </c>
      <c r="M2486" s="13">
        <v>0.25</v>
      </c>
    </row>
    <row r="2487" spans="2:13" x14ac:dyDescent="0.25">
      <c r="B2487" s="14" t="s">
        <v>213</v>
      </c>
      <c r="C2487" s="14" t="s">
        <v>15</v>
      </c>
      <c r="D2487" t="s">
        <v>46</v>
      </c>
      <c r="E2487" s="16" t="s">
        <v>133</v>
      </c>
      <c r="F2487">
        <v>2030</v>
      </c>
      <c r="G2487" s="12">
        <v>608971</v>
      </c>
      <c r="H2487" s="13">
        <v>0.46605089849999998</v>
      </c>
      <c r="I2487" s="13"/>
      <c r="J2487" s="13"/>
      <c r="K2487" s="13"/>
      <c r="L2487" s="13">
        <v>0.05</v>
      </c>
      <c r="M2487" s="13">
        <v>0.25</v>
      </c>
    </row>
    <row r="2488" spans="2:13" x14ac:dyDescent="0.25">
      <c r="B2488" s="14" t="s">
        <v>213</v>
      </c>
      <c r="C2488" s="14" t="s">
        <v>52</v>
      </c>
      <c r="D2488" t="s">
        <v>141</v>
      </c>
      <c r="E2488" s="16" t="s">
        <v>133</v>
      </c>
      <c r="F2488">
        <v>2026</v>
      </c>
      <c r="G2488" s="12">
        <v>5557797</v>
      </c>
      <c r="H2488" s="13">
        <v>0.95</v>
      </c>
      <c r="I2488" s="13"/>
      <c r="J2488" s="13"/>
      <c r="K2488" s="13"/>
      <c r="L2488" s="13"/>
      <c r="M2488" s="13"/>
    </row>
    <row r="2489" spans="2:13" x14ac:dyDescent="0.25">
      <c r="B2489" s="14" t="s">
        <v>213</v>
      </c>
      <c r="C2489" s="14" t="s">
        <v>52</v>
      </c>
      <c r="D2489" t="s">
        <v>141</v>
      </c>
      <c r="E2489" s="16" t="s">
        <v>133</v>
      </c>
      <c r="F2489">
        <v>2029</v>
      </c>
      <c r="G2489" s="12">
        <v>6098819.0625</v>
      </c>
      <c r="H2489" s="13">
        <v>0.85</v>
      </c>
      <c r="I2489" s="13"/>
      <c r="J2489" s="13"/>
      <c r="K2489" s="13"/>
      <c r="L2489" s="13"/>
      <c r="M2489" s="13"/>
    </row>
    <row r="2490" spans="2:13" x14ac:dyDescent="0.25">
      <c r="B2490" s="14" t="s">
        <v>213</v>
      </c>
      <c r="C2490" s="14" t="s">
        <v>52</v>
      </c>
      <c r="D2490" t="s">
        <v>138</v>
      </c>
      <c r="E2490" s="16" t="s">
        <v>133</v>
      </c>
      <c r="F2490">
        <v>2026</v>
      </c>
      <c r="G2490" s="12">
        <v>1306206</v>
      </c>
      <c r="H2490" s="13">
        <v>0.74</v>
      </c>
      <c r="I2490" s="13">
        <v>0.55000000000000004</v>
      </c>
      <c r="J2490" s="13"/>
      <c r="K2490" s="13"/>
      <c r="L2490" s="13"/>
      <c r="M2490" s="13"/>
    </row>
    <row r="2491" spans="2:13" x14ac:dyDescent="0.25">
      <c r="B2491" s="14" t="s">
        <v>213</v>
      </c>
      <c r="C2491" s="14" t="s">
        <v>52</v>
      </c>
      <c r="D2491" t="s">
        <v>138</v>
      </c>
      <c r="E2491" s="16" t="s">
        <v>133</v>
      </c>
      <c r="F2491">
        <v>2027</v>
      </c>
      <c r="G2491" s="12">
        <v>1345654</v>
      </c>
      <c r="H2491" s="13">
        <v>0.75</v>
      </c>
      <c r="I2491" s="13">
        <v>0.56000000000000005</v>
      </c>
      <c r="J2491" s="13"/>
      <c r="K2491" s="13"/>
      <c r="L2491" s="13"/>
      <c r="M2491" s="13"/>
    </row>
    <row r="2492" spans="2:13" x14ac:dyDescent="0.25">
      <c r="B2492" s="14" t="s">
        <v>213</v>
      </c>
      <c r="C2492" s="14" t="s">
        <v>52</v>
      </c>
      <c r="D2492" t="s">
        <v>138</v>
      </c>
      <c r="E2492" s="16" t="s">
        <v>133</v>
      </c>
      <c r="F2492">
        <v>2028</v>
      </c>
      <c r="G2492" s="12">
        <v>1345415</v>
      </c>
      <c r="H2492" s="13">
        <v>0.75</v>
      </c>
      <c r="I2492" s="13">
        <v>0.56000000000000005</v>
      </c>
      <c r="J2492" s="13"/>
      <c r="K2492" s="13"/>
      <c r="L2492" s="13"/>
      <c r="M2492" s="13"/>
    </row>
    <row r="2493" spans="2:13" x14ac:dyDescent="0.25">
      <c r="B2493" s="14" t="s">
        <v>213</v>
      </c>
      <c r="C2493" s="14" t="s">
        <v>52</v>
      </c>
      <c r="D2493" t="s">
        <v>138</v>
      </c>
      <c r="E2493" s="16" t="s">
        <v>133</v>
      </c>
      <c r="F2493">
        <v>2029</v>
      </c>
      <c r="G2493" s="12">
        <v>1349334</v>
      </c>
      <c r="H2493" s="13">
        <v>0.75</v>
      </c>
      <c r="I2493" s="13">
        <v>0.433</v>
      </c>
      <c r="J2493" s="13"/>
      <c r="K2493" s="13"/>
      <c r="L2493" s="13"/>
      <c r="M2493" s="13"/>
    </row>
    <row r="2494" spans="2:13" x14ac:dyDescent="0.25">
      <c r="B2494" s="14" t="s">
        <v>213</v>
      </c>
      <c r="C2494" s="14" t="s">
        <v>52</v>
      </c>
      <c r="D2494" t="s">
        <v>138</v>
      </c>
      <c r="E2494" s="16" t="s">
        <v>133</v>
      </c>
      <c r="F2494">
        <v>2030</v>
      </c>
      <c r="G2494" s="12">
        <v>1350106</v>
      </c>
      <c r="H2494" s="13">
        <v>0.75</v>
      </c>
      <c r="I2494" s="13">
        <v>0.43959999999999999</v>
      </c>
      <c r="J2494" s="13"/>
      <c r="K2494" s="13"/>
      <c r="L2494" s="13"/>
      <c r="M2494" s="13"/>
    </row>
    <row r="2495" spans="2:13" x14ac:dyDescent="0.25">
      <c r="B2495" s="14" t="s">
        <v>213</v>
      </c>
      <c r="C2495" s="14" t="s">
        <v>146</v>
      </c>
      <c r="D2495" t="s">
        <v>46</v>
      </c>
      <c r="E2495" s="16" t="s">
        <v>133</v>
      </c>
      <c r="F2495">
        <v>2027</v>
      </c>
      <c r="G2495" s="12">
        <v>25050</v>
      </c>
      <c r="H2495" s="13"/>
      <c r="I2495" s="13"/>
      <c r="J2495" s="13"/>
      <c r="K2495" s="13"/>
      <c r="L2495" s="13"/>
      <c r="M2495" s="13">
        <v>0.25</v>
      </c>
    </row>
    <row r="2496" spans="2:13" x14ac:dyDescent="0.25">
      <c r="B2496" s="14" t="s">
        <v>213</v>
      </c>
      <c r="C2496" s="14" t="s">
        <v>146</v>
      </c>
      <c r="D2496" t="s">
        <v>46</v>
      </c>
      <c r="E2496" s="16" t="s">
        <v>133</v>
      </c>
      <c r="F2496">
        <v>2028</v>
      </c>
      <c r="G2496" s="12">
        <v>25045</v>
      </c>
      <c r="H2496" s="13"/>
      <c r="I2496" s="13"/>
      <c r="J2496" s="13"/>
      <c r="K2496" s="13"/>
      <c r="L2496" s="13"/>
      <c r="M2496" s="13">
        <v>0.25</v>
      </c>
    </row>
    <row r="2497" spans="2:13" x14ac:dyDescent="0.25">
      <c r="B2497" s="14" t="s">
        <v>213</v>
      </c>
      <c r="C2497" s="14" t="s">
        <v>146</v>
      </c>
      <c r="D2497" t="s">
        <v>46</v>
      </c>
      <c r="E2497" s="16" t="s">
        <v>133</v>
      </c>
      <c r="F2497">
        <v>2029</v>
      </c>
      <c r="G2497" s="12">
        <v>25118</v>
      </c>
      <c r="H2497" s="13"/>
      <c r="I2497" s="13"/>
      <c r="J2497" s="13"/>
      <c r="K2497" s="13"/>
      <c r="L2497" s="13"/>
      <c r="M2497" s="13">
        <v>0.25</v>
      </c>
    </row>
    <row r="2498" spans="2:13" x14ac:dyDescent="0.25">
      <c r="B2498" s="14" t="s">
        <v>213</v>
      </c>
      <c r="C2498" s="14" t="s">
        <v>146</v>
      </c>
      <c r="D2498" t="s">
        <v>46</v>
      </c>
      <c r="E2498" s="16" t="s">
        <v>133</v>
      </c>
      <c r="F2498">
        <v>2030</v>
      </c>
      <c r="G2498" s="12">
        <v>25133</v>
      </c>
      <c r="H2498" s="13"/>
      <c r="I2498" s="13"/>
      <c r="J2498" s="13"/>
      <c r="K2498" s="13"/>
      <c r="L2498" s="13"/>
      <c r="M2498" s="13">
        <v>0.25</v>
      </c>
    </row>
    <row r="2499" spans="2:13" x14ac:dyDescent="0.25">
      <c r="B2499" s="14" t="s">
        <v>213</v>
      </c>
      <c r="C2499" s="14" t="s">
        <v>139</v>
      </c>
      <c r="D2499" t="s">
        <v>46</v>
      </c>
      <c r="E2499" s="16" t="s">
        <v>133</v>
      </c>
      <c r="F2499">
        <v>2026</v>
      </c>
      <c r="G2499" s="12">
        <v>1306206</v>
      </c>
      <c r="H2499" s="13">
        <v>0.86</v>
      </c>
      <c r="I2499" s="13">
        <v>0.81</v>
      </c>
      <c r="J2499" s="13">
        <v>0</v>
      </c>
      <c r="K2499" s="13"/>
      <c r="L2499" s="13">
        <v>0.04</v>
      </c>
      <c r="M2499" s="13">
        <v>0.25</v>
      </c>
    </row>
    <row r="2500" spans="2:13" x14ac:dyDescent="0.25">
      <c r="B2500" s="14" t="s">
        <v>213</v>
      </c>
      <c r="C2500" s="14" t="s">
        <v>139</v>
      </c>
      <c r="D2500" t="s">
        <v>46</v>
      </c>
      <c r="E2500" s="16" t="s">
        <v>133</v>
      </c>
      <c r="F2500">
        <v>2027</v>
      </c>
      <c r="G2500" s="12">
        <v>1345654</v>
      </c>
      <c r="H2500" s="13">
        <v>0.87</v>
      </c>
      <c r="I2500" s="13">
        <v>0.82</v>
      </c>
      <c r="J2500" s="13">
        <v>0</v>
      </c>
      <c r="K2500" s="13"/>
      <c r="L2500" s="13">
        <v>0.04</v>
      </c>
      <c r="M2500" s="13">
        <v>0.25</v>
      </c>
    </row>
    <row r="2501" spans="2:13" x14ac:dyDescent="0.25">
      <c r="B2501" s="14" t="s">
        <v>213</v>
      </c>
      <c r="C2501" s="14" t="s">
        <v>139</v>
      </c>
      <c r="D2501" t="s">
        <v>46</v>
      </c>
      <c r="E2501" s="16" t="s">
        <v>133</v>
      </c>
      <c r="F2501">
        <v>2028</v>
      </c>
      <c r="G2501" s="12">
        <v>1345415</v>
      </c>
      <c r="H2501" s="13">
        <v>0.87</v>
      </c>
      <c r="I2501" s="13">
        <v>0.82</v>
      </c>
      <c r="J2501" s="13">
        <v>0</v>
      </c>
      <c r="K2501" s="13"/>
      <c r="L2501" s="13">
        <v>0.04</v>
      </c>
      <c r="M2501" s="13">
        <v>0.25</v>
      </c>
    </row>
    <row r="2502" spans="2:13" x14ac:dyDescent="0.25">
      <c r="B2502" s="14" t="s">
        <v>213</v>
      </c>
      <c r="C2502" s="14" t="s">
        <v>139</v>
      </c>
      <c r="D2502" t="s">
        <v>46</v>
      </c>
      <c r="E2502" s="16" t="s">
        <v>133</v>
      </c>
      <c r="F2502">
        <v>2029</v>
      </c>
      <c r="G2502" s="12">
        <v>1312393.0662936701</v>
      </c>
      <c r="H2502" s="13">
        <v>0.87980000000000003</v>
      </c>
      <c r="I2502" s="13">
        <v>0.82979999999999998</v>
      </c>
      <c r="J2502" s="13">
        <v>0</v>
      </c>
      <c r="K2502" s="13"/>
      <c r="L2502" s="13">
        <v>0.04</v>
      </c>
      <c r="M2502" s="13">
        <v>0.25</v>
      </c>
    </row>
    <row r="2503" spans="2:13" x14ac:dyDescent="0.25">
      <c r="B2503" s="15" t="s">
        <v>213</v>
      </c>
      <c r="C2503" s="14" t="s">
        <v>139</v>
      </c>
      <c r="D2503" t="s">
        <v>46</v>
      </c>
      <c r="E2503" s="16" t="s">
        <v>133</v>
      </c>
      <c r="F2503">
        <v>2030</v>
      </c>
      <c r="G2503" s="12">
        <v>1313144.2848205401</v>
      </c>
      <c r="H2503" s="13">
        <v>0.88639999999999997</v>
      </c>
      <c r="I2503" s="13">
        <v>0.83640000000000003</v>
      </c>
      <c r="J2503" s="13">
        <v>0</v>
      </c>
      <c r="K2503" s="13"/>
      <c r="L2503" s="13">
        <v>0.04</v>
      </c>
      <c r="M2503" s="13">
        <v>0.25</v>
      </c>
    </row>
    <row r="2504" spans="2:13" x14ac:dyDescent="0.25">
      <c r="B2504" s="14" t="s">
        <v>214</v>
      </c>
      <c r="C2504" s="14" t="s">
        <v>132</v>
      </c>
      <c r="D2504" t="s">
        <v>46</v>
      </c>
      <c r="E2504" s="16" t="s">
        <v>133</v>
      </c>
      <c r="F2504">
        <v>2026</v>
      </c>
      <c r="G2504" s="12">
        <v>713669</v>
      </c>
      <c r="H2504" s="13">
        <v>0.97</v>
      </c>
      <c r="I2504" s="13">
        <v>0.94499999999999995</v>
      </c>
      <c r="J2504" s="13">
        <v>0.91</v>
      </c>
      <c r="K2504" s="13">
        <v>0</v>
      </c>
      <c r="L2504" s="13">
        <v>0.04</v>
      </c>
      <c r="M2504" s="13">
        <v>0.25</v>
      </c>
    </row>
    <row r="2505" spans="2:13" x14ac:dyDescent="0.25">
      <c r="B2505" s="14" t="s">
        <v>214</v>
      </c>
      <c r="C2505" s="14" t="s">
        <v>132</v>
      </c>
      <c r="D2505" t="s">
        <v>46</v>
      </c>
      <c r="E2505" s="16" t="s">
        <v>133</v>
      </c>
      <c r="F2505">
        <v>2027</v>
      </c>
      <c r="G2505" s="12">
        <v>727753</v>
      </c>
      <c r="H2505" s="13">
        <v>0.98</v>
      </c>
      <c r="I2505" s="13">
        <v>0.95499999999999996</v>
      </c>
      <c r="J2505" s="13">
        <v>0.92</v>
      </c>
      <c r="K2505" s="13">
        <v>0</v>
      </c>
      <c r="L2505" s="13">
        <v>0.04</v>
      </c>
      <c r="M2505" s="13">
        <v>0.25</v>
      </c>
    </row>
    <row r="2506" spans="2:13" x14ac:dyDescent="0.25">
      <c r="B2506" s="14" t="s">
        <v>214</v>
      </c>
      <c r="C2506" s="14" t="s">
        <v>132</v>
      </c>
      <c r="D2506" t="s">
        <v>46</v>
      </c>
      <c r="E2506" s="16" t="s">
        <v>133</v>
      </c>
      <c r="F2506">
        <v>2028</v>
      </c>
      <c r="G2506" s="12">
        <v>733274.909802721</v>
      </c>
      <c r="H2506" s="13">
        <v>0.98319999999999996</v>
      </c>
      <c r="I2506" s="13">
        <v>0.95860000000000001</v>
      </c>
      <c r="J2506" s="13">
        <v>0.92320000000000002</v>
      </c>
      <c r="K2506" s="13">
        <v>0</v>
      </c>
      <c r="L2506" s="13">
        <v>0.04</v>
      </c>
      <c r="M2506" s="13">
        <v>0.25</v>
      </c>
    </row>
    <row r="2507" spans="2:13" x14ac:dyDescent="0.25">
      <c r="B2507" s="14" t="s">
        <v>214</v>
      </c>
      <c r="C2507" s="14" t="s">
        <v>132</v>
      </c>
      <c r="D2507" t="s">
        <v>46</v>
      </c>
      <c r="E2507" s="16" t="s">
        <v>133</v>
      </c>
      <c r="F2507">
        <v>2029</v>
      </c>
      <c r="G2507" s="12">
        <v>745568.67069797101</v>
      </c>
      <c r="H2507" s="13">
        <v>0.98980000000000001</v>
      </c>
      <c r="I2507" s="13">
        <v>0.96519999999999995</v>
      </c>
      <c r="J2507" s="13">
        <v>0.92979999999999996</v>
      </c>
      <c r="K2507" s="13">
        <v>0</v>
      </c>
      <c r="L2507" s="13">
        <v>0.04</v>
      </c>
      <c r="M2507" s="13">
        <v>0.25</v>
      </c>
    </row>
    <row r="2508" spans="2:13" x14ac:dyDescent="0.25">
      <c r="B2508" s="14" t="s">
        <v>214</v>
      </c>
      <c r="C2508" s="14" t="s">
        <v>132</v>
      </c>
      <c r="D2508" t="s">
        <v>46</v>
      </c>
      <c r="E2508" s="16" t="s">
        <v>133</v>
      </c>
      <c r="F2508">
        <v>2030</v>
      </c>
      <c r="G2508" s="12">
        <v>755854.47446617996</v>
      </c>
      <c r="H2508" s="13">
        <v>0.99</v>
      </c>
      <c r="I2508" s="13">
        <v>0.9718</v>
      </c>
      <c r="J2508" s="13">
        <v>0.93640000000000001</v>
      </c>
      <c r="K2508" s="13">
        <v>0</v>
      </c>
      <c r="L2508" s="13">
        <v>0.04</v>
      </c>
      <c r="M2508" s="13">
        <v>0.25</v>
      </c>
    </row>
    <row r="2509" spans="2:13" x14ac:dyDescent="0.25">
      <c r="B2509" s="14" t="s">
        <v>214</v>
      </c>
      <c r="C2509" s="14" t="s">
        <v>70</v>
      </c>
      <c r="D2509" t="s">
        <v>46</v>
      </c>
      <c r="E2509" s="16" t="s">
        <v>133</v>
      </c>
      <c r="F2509">
        <v>2026</v>
      </c>
      <c r="G2509" s="12">
        <v>713669</v>
      </c>
      <c r="H2509" s="13">
        <v>0.87</v>
      </c>
      <c r="I2509" s="13">
        <v>0.83</v>
      </c>
      <c r="J2509" s="13">
        <v>0</v>
      </c>
      <c r="K2509" s="13">
        <v>0</v>
      </c>
      <c r="L2509" s="13">
        <v>7.0000000000000007E-2</v>
      </c>
      <c r="M2509" s="13">
        <v>0.25</v>
      </c>
    </row>
    <row r="2510" spans="2:13" x14ac:dyDescent="0.25">
      <c r="B2510" s="14" t="s">
        <v>214</v>
      </c>
      <c r="C2510" s="14" t="s">
        <v>70</v>
      </c>
      <c r="D2510" t="s">
        <v>46</v>
      </c>
      <c r="E2510" s="16" t="s">
        <v>133</v>
      </c>
      <c r="F2510">
        <v>2027</v>
      </c>
      <c r="G2510" s="12">
        <v>727753</v>
      </c>
      <c r="H2510" s="13">
        <v>0.88</v>
      </c>
      <c r="I2510" s="13">
        <v>0.84</v>
      </c>
      <c r="J2510" s="13">
        <v>0</v>
      </c>
      <c r="K2510" s="13">
        <v>0</v>
      </c>
      <c r="L2510" s="13">
        <v>7.0000000000000007E-2</v>
      </c>
      <c r="M2510" s="13">
        <v>0.25</v>
      </c>
    </row>
    <row r="2511" spans="2:13" x14ac:dyDescent="0.25">
      <c r="B2511" s="14" t="s">
        <v>214</v>
      </c>
      <c r="C2511" s="14" t="s">
        <v>70</v>
      </c>
      <c r="D2511" t="s">
        <v>46</v>
      </c>
      <c r="E2511" s="16" t="s">
        <v>133</v>
      </c>
      <c r="F2511">
        <v>2028</v>
      </c>
      <c r="G2511" s="12">
        <v>733274.909802721</v>
      </c>
      <c r="H2511" s="13">
        <v>0.88319999999999999</v>
      </c>
      <c r="I2511" s="13">
        <v>0.84319999999999995</v>
      </c>
      <c r="J2511" s="13">
        <v>1.32E-2</v>
      </c>
      <c r="K2511" s="13">
        <v>0</v>
      </c>
      <c r="L2511" s="13">
        <v>7.0000000000000007E-2</v>
      </c>
      <c r="M2511" s="13">
        <v>0.25</v>
      </c>
    </row>
    <row r="2512" spans="2:13" x14ac:dyDescent="0.25">
      <c r="B2512" s="14" t="s">
        <v>214</v>
      </c>
      <c r="C2512" s="14" t="s">
        <v>70</v>
      </c>
      <c r="D2512" t="s">
        <v>46</v>
      </c>
      <c r="E2512" s="16" t="s">
        <v>133</v>
      </c>
      <c r="F2512">
        <v>2029</v>
      </c>
      <c r="G2512" s="12">
        <v>745568.67069797101</v>
      </c>
      <c r="H2512" s="13">
        <v>0.88980000000000004</v>
      </c>
      <c r="I2512" s="13">
        <v>0.8498</v>
      </c>
      <c r="J2512" s="13">
        <v>1.9800000000000002E-2</v>
      </c>
      <c r="K2512" s="13">
        <v>0</v>
      </c>
      <c r="L2512" s="13">
        <v>7.0000000000000007E-2</v>
      </c>
      <c r="M2512" s="13">
        <v>0.25</v>
      </c>
    </row>
    <row r="2513" spans="2:13" x14ac:dyDescent="0.25">
      <c r="B2513" s="14" t="s">
        <v>214</v>
      </c>
      <c r="C2513" s="14" t="s">
        <v>70</v>
      </c>
      <c r="D2513" t="s">
        <v>46</v>
      </c>
      <c r="E2513" s="16" t="s">
        <v>133</v>
      </c>
      <c r="F2513">
        <v>2030</v>
      </c>
      <c r="G2513" s="12">
        <v>755854.47446617996</v>
      </c>
      <c r="H2513" s="13">
        <v>0.89639999999999997</v>
      </c>
      <c r="I2513" s="13">
        <v>0.85640000000000005</v>
      </c>
      <c r="J2513" s="13">
        <v>2.64E-2</v>
      </c>
      <c r="K2513" s="13">
        <v>0</v>
      </c>
      <c r="L2513" s="13">
        <v>7.0000000000000007E-2</v>
      </c>
      <c r="M2513" s="13">
        <v>0.25</v>
      </c>
    </row>
    <row r="2514" spans="2:13" x14ac:dyDescent="0.25">
      <c r="B2514" s="14" t="s">
        <v>214</v>
      </c>
      <c r="C2514" s="14" t="s">
        <v>72</v>
      </c>
      <c r="D2514" t="s">
        <v>46</v>
      </c>
      <c r="E2514" s="16" t="s">
        <v>133</v>
      </c>
      <c r="F2514">
        <v>2026</v>
      </c>
      <c r="G2514" s="12">
        <v>713669</v>
      </c>
      <c r="H2514" s="13">
        <v>0.97</v>
      </c>
      <c r="I2514" s="13">
        <v>0.94499999999999995</v>
      </c>
      <c r="J2514" s="13">
        <v>0.91</v>
      </c>
      <c r="K2514" s="13"/>
      <c r="L2514" s="13">
        <v>7.0000000000000007E-2</v>
      </c>
      <c r="M2514" s="13">
        <v>0.25</v>
      </c>
    </row>
    <row r="2515" spans="2:13" x14ac:dyDescent="0.25">
      <c r="B2515" s="14" t="s">
        <v>214</v>
      </c>
      <c r="C2515" s="14" t="s">
        <v>72</v>
      </c>
      <c r="D2515" t="s">
        <v>46</v>
      </c>
      <c r="E2515" s="16" t="s">
        <v>133</v>
      </c>
      <c r="F2515">
        <v>2027</v>
      </c>
      <c r="G2515" s="12">
        <v>727753</v>
      </c>
      <c r="H2515" s="13">
        <v>0.98</v>
      </c>
      <c r="I2515" s="13">
        <v>0.95499999999999996</v>
      </c>
      <c r="J2515" s="13">
        <v>0.92</v>
      </c>
      <c r="K2515" s="13"/>
      <c r="L2515" s="13">
        <v>7.0000000000000007E-2</v>
      </c>
      <c r="M2515" s="13">
        <v>0.25</v>
      </c>
    </row>
    <row r="2516" spans="2:13" x14ac:dyDescent="0.25">
      <c r="B2516" s="14" t="s">
        <v>214</v>
      </c>
      <c r="C2516" s="14" t="s">
        <v>72</v>
      </c>
      <c r="D2516" t="s">
        <v>46</v>
      </c>
      <c r="E2516" s="16" t="s">
        <v>133</v>
      </c>
      <c r="F2516">
        <v>2028</v>
      </c>
      <c r="G2516" s="12">
        <v>733274.909802721</v>
      </c>
      <c r="H2516" s="13">
        <v>0.97</v>
      </c>
      <c r="I2516" s="13">
        <v>0.95081199999999999</v>
      </c>
      <c r="J2516" s="13">
        <v>0.92320000000000002</v>
      </c>
      <c r="K2516" s="13"/>
      <c r="L2516" s="13">
        <v>7.0000000000000007E-2</v>
      </c>
      <c r="M2516" s="13">
        <v>0.25</v>
      </c>
    </row>
    <row r="2517" spans="2:13" x14ac:dyDescent="0.25">
      <c r="B2517" s="14" t="s">
        <v>214</v>
      </c>
      <c r="C2517" s="14" t="s">
        <v>72</v>
      </c>
      <c r="D2517" t="s">
        <v>46</v>
      </c>
      <c r="E2517" s="16" t="s">
        <v>133</v>
      </c>
      <c r="F2517">
        <v>2029</v>
      </c>
      <c r="G2517" s="12">
        <v>745568.67069797101</v>
      </c>
      <c r="H2517" s="13">
        <v>0.97</v>
      </c>
      <c r="I2517" s="13">
        <v>0.95351799999999998</v>
      </c>
      <c r="J2517" s="13">
        <v>0.92979999999999996</v>
      </c>
      <c r="K2517" s="13"/>
      <c r="L2517" s="13">
        <v>7.0000000000000007E-2</v>
      </c>
      <c r="M2517" s="13">
        <v>0.25</v>
      </c>
    </row>
    <row r="2518" spans="2:13" x14ac:dyDescent="0.25">
      <c r="B2518" s="14" t="s">
        <v>214</v>
      </c>
      <c r="C2518" s="14" t="s">
        <v>72</v>
      </c>
      <c r="D2518" t="s">
        <v>46</v>
      </c>
      <c r="E2518" s="16" t="s">
        <v>133</v>
      </c>
      <c r="F2518">
        <v>2030</v>
      </c>
      <c r="G2518" s="12">
        <v>755854.47446617996</v>
      </c>
      <c r="H2518" s="13">
        <v>0.97</v>
      </c>
      <c r="I2518" s="13">
        <v>0.95622399999999996</v>
      </c>
      <c r="J2518" s="13">
        <v>0.93640000000000001</v>
      </c>
      <c r="K2518" s="13"/>
      <c r="L2518" s="13">
        <v>7.0000000000000007E-2</v>
      </c>
      <c r="M2518" s="13">
        <v>0.25</v>
      </c>
    </row>
    <row r="2519" spans="2:13" x14ac:dyDescent="0.25">
      <c r="B2519" s="14" t="s">
        <v>214</v>
      </c>
      <c r="C2519" s="14" t="s">
        <v>102</v>
      </c>
      <c r="D2519" t="s">
        <v>46</v>
      </c>
      <c r="E2519" s="16" t="s">
        <v>133</v>
      </c>
      <c r="F2519">
        <v>2028</v>
      </c>
      <c r="G2519" s="12">
        <v>733274.909802721</v>
      </c>
      <c r="H2519" s="13">
        <v>7.5126145699999994E-2</v>
      </c>
      <c r="I2519" s="13"/>
      <c r="J2519" s="13"/>
      <c r="K2519" s="13"/>
      <c r="L2519" s="13">
        <v>7.0000000000000007E-2</v>
      </c>
      <c r="M2519" s="13">
        <v>0.25</v>
      </c>
    </row>
    <row r="2520" spans="2:13" x14ac:dyDescent="0.25">
      <c r="B2520" s="14" t="s">
        <v>214</v>
      </c>
      <c r="C2520" s="14" t="s">
        <v>102</v>
      </c>
      <c r="D2520" t="s">
        <v>46</v>
      </c>
      <c r="E2520" s="16" t="s">
        <v>133</v>
      </c>
      <c r="F2520">
        <v>2029</v>
      </c>
      <c r="G2520" s="12">
        <v>745568.67069797101</v>
      </c>
      <c r="H2520" s="13">
        <v>0.90811374860000005</v>
      </c>
      <c r="I2520" s="13"/>
      <c r="J2520" s="13"/>
      <c r="K2520" s="13"/>
      <c r="L2520" s="13">
        <v>7.0000000000000007E-2</v>
      </c>
      <c r="M2520" s="13">
        <v>0.25</v>
      </c>
    </row>
    <row r="2521" spans="2:13" x14ac:dyDescent="0.25">
      <c r="B2521" s="14" t="s">
        <v>214</v>
      </c>
      <c r="C2521" s="14" t="s">
        <v>102</v>
      </c>
      <c r="D2521" t="s">
        <v>46</v>
      </c>
      <c r="E2521" s="16" t="s">
        <v>133</v>
      </c>
      <c r="F2521">
        <v>2030</v>
      </c>
      <c r="G2521" s="12">
        <v>755854.47446617996</v>
      </c>
      <c r="H2521" s="13">
        <v>0.91471374859999999</v>
      </c>
      <c r="I2521" s="13"/>
      <c r="J2521" s="13"/>
      <c r="K2521" s="13"/>
      <c r="L2521" s="13">
        <v>7.0000000000000007E-2</v>
      </c>
      <c r="M2521" s="13">
        <v>0.25</v>
      </c>
    </row>
    <row r="2522" spans="2:13" x14ac:dyDescent="0.25">
      <c r="B2522" s="14" t="s">
        <v>214</v>
      </c>
      <c r="C2522" s="14" t="s">
        <v>15</v>
      </c>
      <c r="D2522" t="s">
        <v>46</v>
      </c>
      <c r="E2522" s="16" t="s">
        <v>133</v>
      </c>
      <c r="F2522">
        <v>2026</v>
      </c>
      <c r="G2522" s="12">
        <v>282836</v>
      </c>
      <c r="H2522" s="13">
        <v>0.71399999999999997</v>
      </c>
      <c r="I2522" s="13"/>
      <c r="J2522" s="13"/>
      <c r="K2522" s="13"/>
      <c r="L2522" s="13">
        <v>0.04</v>
      </c>
      <c r="M2522" s="13">
        <v>0.25</v>
      </c>
    </row>
    <row r="2523" spans="2:13" x14ac:dyDescent="0.25">
      <c r="B2523" s="14" t="s">
        <v>214</v>
      </c>
      <c r="C2523" s="14" t="s">
        <v>15</v>
      </c>
      <c r="D2523" t="s">
        <v>46</v>
      </c>
      <c r="E2523" s="16" t="s">
        <v>133</v>
      </c>
      <c r="F2523">
        <v>2027</v>
      </c>
      <c r="G2523" s="12">
        <v>286869</v>
      </c>
      <c r="H2523" s="13">
        <v>0.71399999999999997</v>
      </c>
      <c r="I2523" s="13"/>
      <c r="J2523" s="13"/>
      <c r="K2523" s="13"/>
      <c r="L2523" s="13">
        <v>0.04</v>
      </c>
      <c r="M2523" s="13">
        <v>0.25</v>
      </c>
    </row>
    <row r="2524" spans="2:13" x14ac:dyDescent="0.25">
      <c r="B2524" s="14" t="s">
        <v>214</v>
      </c>
      <c r="C2524" s="14" t="s">
        <v>15</v>
      </c>
      <c r="D2524" t="s">
        <v>46</v>
      </c>
      <c r="E2524" s="16" t="s">
        <v>133</v>
      </c>
      <c r="F2524">
        <v>2028</v>
      </c>
      <c r="G2524" s="12">
        <v>292299</v>
      </c>
      <c r="H2524" s="13">
        <v>0.6</v>
      </c>
      <c r="I2524" s="13"/>
      <c r="J2524" s="13"/>
      <c r="K2524" s="13"/>
      <c r="L2524" s="13">
        <v>0.04</v>
      </c>
      <c r="M2524" s="13">
        <v>0.25</v>
      </c>
    </row>
    <row r="2525" spans="2:13" x14ac:dyDescent="0.25">
      <c r="B2525" s="14" t="s">
        <v>214</v>
      </c>
      <c r="C2525" s="14" t="s">
        <v>15</v>
      </c>
      <c r="D2525" t="s">
        <v>46</v>
      </c>
      <c r="E2525" s="16" t="s">
        <v>133</v>
      </c>
      <c r="F2525">
        <v>2029</v>
      </c>
      <c r="G2525" s="12">
        <v>297131</v>
      </c>
      <c r="H2525" s="13">
        <v>0.6</v>
      </c>
      <c r="I2525" s="13"/>
      <c r="J2525" s="13"/>
      <c r="K2525" s="13"/>
      <c r="L2525" s="13">
        <v>0.04</v>
      </c>
      <c r="M2525" s="13">
        <v>0.25</v>
      </c>
    </row>
    <row r="2526" spans="2:13" x14ac:dyDescent="0.25">
      <c r="B2526" s="14" t="s">
        <v>214</v>
      </c>
      <c r="C2526" s="14" t="s">
        <v>15</v>
      </c>
      <c r="D2526" t="s">
        <v>46</v>
      </c>
      <c r="E2526" s="16" t="s">
        <v>133</v>
      </c>
      <c r="F2526">
        <v>2030</v>
      </c>
      <c r="G2526" s="12">
        <v>301731</v>
      </c>
      <c r="H2526" s="13">
        <v>0.6</v>
      </c>
      <c r="I2526" s="13"/>
      <c r="J2526" s="13"/>
      <c r="K2526" s="13"/>
      <c r="L2526" s="13">
        <v>0.04</v>
      </c>
      <c r="M2526" s="13">
        <v>0.25</v>
      </c>
    </row>
    <row r="2527" spans="2:13" x14ac:dyDescent="0.25">
      <c r="B2527" s="14" t="s">
        <v>214</v>
      </c>
      <c r="C2527" s="14" t="s">
        <v>145</v>
      </c>
      <c r="D2527" t="s">
        <v>46</v>
      </c>
      <c r="E2527" s="16" t="s">
        <v>133</v>
      </c>
      <c r="F2527">
        <v>2026</v>
      </c>
      <c r="G2527" s="12">
        <v>522614</v>
      </c>
      <c r="H2527" s="13">
        <v>0.80500000000000005</v>
      </c>
      <c r="I2527" s="13">
        <v>0.77500000000000002</v>
      </c>
      <c r="J2527" s="13">
        <v>0.77500000000000002</v>
      </c>
      <c r="K2527" s="13">
        <v>0.59</v>
      </c>
      <c r="L2527" s="13"/>
      <c r="M2527" s="13">
        <v>0.25</v>
      </c>
    </row>
    <row r="2528" spans="2:13" x14ac:dyDescent="0.25">
      <c r="B2528" s="14" t="s">
        <v>214</v>
      </c>
      <c r="C2528" s="14" t="s">
        <v>145</v>
      </c>
      <c r="D2528" t="s">
        <v>46</v>
      </c>
      <c r="E2528" s="16" t="s">
        <v>133</v>
      </c>
      <c r="F2528">
        <v>2027</v>
      </c>
      <c r="G2528" s="12">
        <v>500498.28714698798</v>
      </c>
      <c r="H2528" s="13">
        <v>0.81</v>
      </c>
      <c r="I2528" s="13">
        <v>0.78</v>
      </c>
      <c r="J2528" s="13">
        <v>0.78</v>
      </c>
      <c r="K2528" s="13">
        <v>0.59499999999999997</v>
      </c>
      <c r="L2528" s="13"/>
      <c r="M2528" s="13">
        <v>0.25</v>
      </c>
    </row>
    <row r="2529" spans="2:13" x14ac:dyDescent="0.25">
      <c r="B2529" s="14" t="s">
        <v>214</v>
      </c>
      <c r="C2529" s="14" t="s">
        <v>145</v>
      </c>
      <c r="D2529" t="s">
        <v>46</v>
      </c>
      <c r="E2529" s="16" t="s">
        <v>133</v>
      </c>
      <c r="F2529">
        <v>2028</v>
      </c>
      <c r="G2529" s="12">
        <v>475966.14049989101</v>
      </c>
      <c r="H2529" s="13">
        <v>0.81499999999999995</v>
      </c>
      <c r="I2529" s="13">
        <v>0.78500000000000003</v>
      </c>
      <c r="J2529" s="13">
        <v>0.78500000000000003</v>
      </c>
      <c r="K2529" s="13">
        <v>0.6</v>
      </c>
      <c r="L2529" s="13"/>
      <c r="M2529" s="13">
        <v>0.25</v>
      </c>
    </row>
    <row r="2530" spans="2:13" x14ac:dyDescent="0.25">
      <c r="B2530" s="14" t="s">
        <v>214</v>
      </c>
      <c r="C2530" s="14" t="s">
        <v>145</v>
      </c>
      <c r="D2530" t="s">
        <v>46</v>
      </c>
      <c r="E2530" s="16" t="s">
        <v>133</v>
      </c>
      <c r="F2530">
        <v>2029</v>
      </c>
      <c r="G2530" s="12">
        <v>449518.78931453102</v>
      </c>
      <c r="H2530" s="13">
        <v>0.82</v>
      </c>
      <c r="I2530" s="13">
        <v>0.79</v>
      </c>
      <c r="J2530" s="13">
        <v>0.79</v>
      </c>
      <c r="K2530" s="13">
        <v>0.60499999999999998</v>
      </c>
      <c r="L2530" s="13"/>
      <c r="M2530" s="13">
        <v>0.25</v>
      </c>
    </row>
    <row r="2531" spans="2:13" x14ac:dyDescent="0.25">
      <c r="B2531" s="14" t="s">
        <v>214</v>
      </c>
      <c r="C2531" s="14" t="s">
        <v>145</v>
      </c>
      <c r="D2531" t="s">
        <v>46</v>
      </c>
      <c r="E2531" s="16" t="s">
        <v>133</v>
      </c>
      <c r="F2531">
        <v>2030</v>
      </c>
      <c r="G2531" s="12">
        <v>455579.30774527899</v>
      </c>
      <c r="H2531" s="13">
        <v>0.82499999999999996</v>
      </c>
      <c r="I2531" s="13">
        <v>0.79500000000000004</v>
      </c>
      <c r="J2531" s="13">
        <v>0.79500000000000004</v>
      </c>
      <c r="K2531" s="13">
        <v>0.61</v>
      </c>
      <c r="L2531" s="13"/>
      <c r="M2531" s="13">
        <v>0.25</v>
      </c>
    </row>
    <row r="2532" spans="2:13" x14ac:dyDescent="0.25">
      <c r="B2532" s="14" t="s">
        <v>214</v>
      </c>
      <c r="C2532" s="14" t="s">
        <v>52</v>
      </c>
      <c r="D2532" t="s">
        <v>141</v>
      </c>
      <c r="E2532" s="16" t="s">
        <v>133</v>
      </c>
      <c r="F2532">
        <v>2027</v>
      </c>
      <c r="G2532" s="12">
        <v>4306724.7708805297</v>
      </c>
      <c r="H2532" s="13">
        <v>1</v>
      </c>
      <c r="I2532" s="13"/>
      <c r="J2532" s="13"/>
      <c r="K2532" s="13"/>
      <c r="L2532" s="13"/>
      <c r="M2532" s="13"/>
    </row>
    <row r="2533" spans="2:13" x14ac:dyDescent="0.25">
      <c r="B2533" s="14" t="s">
        <v>214</v>
      </c>
      <c r="C2533" s="14" t="s">
        <v>109</v>
      </c>
      <c r="D2533" t="s">
        <v>151</v>
      </c>
      <c r="E2533" s="16" t="s">
        <v>133</v>
      </c>
      <c r="F2533">
        <v>2028</v>
      </c>
      <c r="G2533" s="12">
        <v>2432432.4324324299</v>
      </c>
      <c r="H2533" s="13">
        <v>1</v>
      </c>
      <c r="I2533" s="13">
        <v>0.85</v>
      </c>
      <c r="J2533" s="13"/>
      <c r="K2533" s="13"/>
      <c r="L2533" s="13"/>
      <c r="M2533" s="13"/>
    </row>
    <row r="2534" spans="2:13" x14ac:dyDescent="0.25">
      <c r="B2534" s="14" t="s">
        <v>214</v>
      </c>
      <c r="C2534" s="14" t="s">
        <v>139</v>
      </c>
      <c r="D2534" t="s">
        <v>46</v>
      </c>
      <c r="E2534" s="16" t="s">
        <v>133</v>
      </c>
      <c r="F2534">
        <v>2026</v>
      </c>
      <c r="G2534" s="12">
        <v>713669</v>
      </c>
      <c r="H2534" s="13">
        <v>0.97</v>
      </c>
      <c r="I2534" s="13">
        <v>0.94499999999999995</v>
      </c>
      <c r="J2534" s="13">
        <v>0.94499999999999995</v>
      </c>
      <c r="K2534" s="13"/>
      <c r="L2534" s="13">
        <v>0.13</v>
      </c>
      <c r="M2534" s="13">
        <v>0.25</v>
      </c>
    </row>
    <row r="2535" spans="2:13" x14ac:dyDescent="0.25">
      <c r="B2535" s="14" t="s">
        <v>214</v>
      </c>
      <c r="C2535" s="14" t="s">
        <v>139</v>
      </c>
      <c r="D2535" t="s">
        <v>46</v>
      </c>
      <c r="E2535" s="16" t="s">
        <v>133</v>
      </c>
      <c r="F2535">
        <v>2027</v>
      </c>
      <c r="G2535" s="12">
        <v>727753</v>
      </c>
      <c r="H2535" s="13">
        <v>0.98</v>
      </c>
      <c r="I2535" s="13">
        <v>0.95499999999999996</v>
      </c>
      <c r="J2535" s="13">
        <v>0.95499999999999996</v>
      </c>
      <c r="K2535" s="13"/>
      <c r="L2535" s="13">
        <v>0.13</v>
      </c>
      <c r="M2535" s="13">
        <v>0.25</v>
      </c>
    </row>
    <row r="2536" spans="2:13" x14ac:dyDescent="0.25">
      <c r="B2536" s="14" t="s">
        <v>214</v>
      </c>
      <c r="C2536" s="14" t="s">
        <v>139</v>
      </c>
      <c r="D2536" t="s">
        <v>46</v>
      </c>
      <c r="E2536" s="16" t="s">
        <v>133</v>
      </c>
      <c r="F2536">
        <v>2028</v>
      </c>
      <c r="G2536" s="12">
        <v>733274.909802721</v>
      </c>
      <c r="H2536" s="13">
        <v>0.97</v>
      </c>
      <c r="I2536" s="13">
        <v>0.95081199999999999</v>
      </c>
      <c r="J2536" s="13">
        <v>0.92320000000000002</v>
      </c>
      <c r="K2536" s="13"/>
      <c r="L2536" s="13">
        <v>0.13</v>
      </c>
      <c r="M2536" s="13">
        <v>0.25</v>
      </c>
    </row>
    <row r="2537" spans="2:13" x14ac:dyDescent="0.25">
      <c r="B2537" s="14" t="s">
        <v>214</v>
      </c>
      <c r="C2537" s="14" t="s">
        <v>139</v>
      </c>
      <c r="D2537" t="s">
        <v>46</v>
      </c>
      <c r="E2537" s="16" t="s">
        <v>133</v>
      </c>
      <c r="F2537">
        <v>2029</v>
      </c>
      <c r="G2537" s="12">
        <v>745568.67069797101</v>
      </c>
      <c r="H2537" s="13">
        <v>0.97</v>
      </c>
      <c r="I2537" s="13">
        <v>0.95351799999999998</v>
      </c>
      <c r="J2537" s="13">
        <v>0.92979999999999996</v>
      </c>
      <c r="K2537" s="13"/>
      <c r="L2537" s="13">
        <v>0.13</v>
      </c>
      <c r="M2537" s="13">
        <v>0.25</v>
      </c>
    </row>
    <row r="2538" spans="2:13" x14ac:dyDescent="0.25">
      <c r="B2538" s="15" t="s">
        <v>214</v>
      </c>
      <c r="C2538" s="14" t="s">
        <v>139</v>
      </c>
      <c r="D2538" t="s">
        <v>46</v>
      </c>
      <c r="E2538" s="16" t="s">
        <v>133</v>
      </c>
      <c r="F2538">
        <v>2030</v>
      </c>
      <c r="G2538" s="12">
        <v>755854.47446617996</v>
      </c>
      <c r="H2538" s="13">
        <v>0.97</v>
      </c>
      <c r="I2538" s="13">
        <v>0.95622399999999996</v>
      </c>
      <c r="J2538" s="13">
        <v>0.93640000000000001</v>
      </c>
      <c r="K2538" s="13"/>
      <c r="L2538" s="13">
        <v>0.13</v>
      </c>
      <c r="M2538" s="13">
        <v>0.25</v>
      </c>
    </row>
    <row r="2539" spans="2:13" x14ac:dyDescent="0.25">
      <c r="B2539" s="14" t="s">
        <v>215</v>
      </c>
      <c r="C2539" s="14" t="s">
        <v>132</v>
      </c>
      <c r="D2539" t="s">
        <v>46</v>
      </c>
      <c r="E2539" s="16" t="s">
        <v>133</v>
      </c>
      <c r="F2539">
        <v>2026</v>
      </c>
      <c r="G2539" s="12">
        <v>489028</v>
      </c>
      <c r="H2539" s="13">
        <v>0.97</v>
      </c>
      <c r="I2539" s="13">
        <v>0.9536</v>
      </c>
      <c r="J2539" s="13">
        <v>0.93</v>
      </c>
      <c r="K2539" s="13">
        <v>0</v>
      </c>
      <c r="L2539" s="13">
        <v>7.0000000000000007E-2</v>
      </c>
      <c r="M2539" s="13">
        <v>0.25</v>
      </c>
    </row>
    <row r="2540" spans="2:13" x14ac:dyDescent="0.25">
      <c r="B2540" s="14" t="s">
        <v>215</v>
      </c>
      <c r="C2540" s="14" t="s">
        <v>132</v>
      </c>
      <c r="D2540" t="s">
        <v>46</v>
      </c>
      <c r="E2540" s="16" t="s">
        <v>133</v>
      </c>
      <c r="F2540">
        <v>2027</v>
      </c>
      <c r="G2540" s="12">
        <v>494940.38610993099</v>
      </c>
      <c r="H2540" s="13">
        <v>0.97660000000000002</v>
      </c>
      <c r="I2540" s="13">
        <v>0.96020000000000005</v>
      </c>
      <c r="J2540" s="13">
        <v>0.93659999999999999</v>
      </c>
      <c r="K2540" s="13">
        <v>0</v>
      </c>
      <c r="L2540" s="13">
        <v>7.0000000000000007E-2</v>
      </c>
      <c r="M2540" s="13">
        <v>0.25</v>
      </c>
    </row>
    <row r="2541" spans="2:13" x14ac:dyDescent="0.25">
      <c r="B2541" s="14" t="s">
        <v>215</v>
      </c>
      <c r="C2541" s="14" t="s">
        <v>132</v>
      </c>
      <c r="D2541" t="s">
        <v>46</v>
      </c>
      <c r="E2541" s="16" t="s">
        <v>133</v>
      </c>
      <c r="F2541">
        <v>2028</v>
      </c>
      <c r="G2541" s="12">
        <v>502353.98342315701</v>
      </c>
      <c r="H2541" s="13">
        <v>0.98319999999999996</v>
      </c>
      <c r="I2541" s="13">
        <v>0.96679999999999999</v>
      </c>
      <c r="J2541" s="13">
        <v>0.94320000000000004</v>
      </c>
      <c r="K2541" s="13">
        <v>0</v>
      </c>
      <c r="L2541" s="13">
        <v>7.0000000000000007E-2</v>
      </c>
      <c r="M2541" s="13">
        <v>0.25</v>
      </c>
    </row>
    <row r="2542" spans="2:13" x14ac:dyDescent="0.25">
      <c r="B2542" s="14" t="s">
        <v>215</v>
      </c>
      <c r="C2542" s="14" t="s">
        <v>132</v>
      </c>
      <c r="D2542" t="s">
        <v>46</v>
      </c>
      <c r="E2542" s="16" t="s">
        <v>133</v>
      </c>
      <c r="F2542">
        <v>2029</v>
      </c>
      <c r="G2542" s="12">
        <v>509684.06964957702</v>
      </c>
      <c r="H2542" s="13">
        <v>0.98980000000000001</v>
      </c>
      <c r="I2542" s="13">
        <v>0.97340000000000004</v>
      </c>
      <c r="J2542" s="13">
        <v>0.94979999999999998</v>
      </c>
      <c r="K2542" s="13">
        <v>0</v>
      </c>
      <c r="L2542" s="13">
        <v>7.0000000000000007E-2</v>
      </c>
      <c r="M2542" s="13">
        <v>0.25</v>
      </c>
    </row>
    <row r="2543" spans="2:13" x14ac:dyDescent="0.25">
      <c r="B2543" s="14" t="s">
        <v>215</v>
      </c>
      <c r="C2543" s="14" t="s">
        <v>132</v>
      </c>
      <c r="D2543" t="s">
        <v>46</v>
      </c>
      <c r="E2543" s="16" t="s">
        <v>133</v>
      </c>
      <c r="F2543">
        <v>2030</v>
      </c>
      <c r="G2543" s="12">
        <v>517125.50399173802</v>
      </c>
      <c r="H2543" s="13">
        <v>0.99</v>
      </c>
      <c r="I2543" s="13">
        <v>0.98</v>
      </c>
      <c r="J2543" s="13">
        <v>0.95640000000000003</v>
      </c>
      <c r="K2543" s="13">
        <v>0</v>
      </c>
      <c r="L2543" s="13">
        <v>7.0000000000000007E-2</v>
      </c>
      <c r="M2543" s="13">
        <v>0.25</v>
      </c>
    </row>
    <row r="2544" spans="2:13" x14ac:dyDescent="0.25">
      <c r="B2544" s="14" t="s">
        <v>215</v>
      </c>
      <c r="C2544" s="14" t="s">
        <v>70</v>
      </c>
      <c r="D2544" t="s">
        <v>46</v>
      </c>
      <c r="E2544" s="16" t="s">
        <v>133</v>
      </c>
      <c r="F2544">
        <v>2026</v>
      </c>
      <c r="G2544" s="12">
        <v>489028</v>
      </c>
      <c r="H2544" s="13">
        <v>0.89</v>
      </c>
      <c r="I2544" s="13">
        <v>0.88</v>
      </c>
      <c r="J2544" s="13">
        <v>0</v>
      </c>
      <c r="K2544" s="13">
        <v>0</v>
      </c>
      <c r="L2544" s="13">
        <v>7.0000000000000007E-2</v>
      </c>
      <c r="M2544" s="13">
        <v>0.25</v>
      </c>
    </row>
    <row r="2545" spans="2:13" x14ac:dyDescent="0.25">
      <c r="B2545" s="14" t="s">
        <v>215</v>
      </c>
      <c r="C2545" s="14" t="s">
        <v>70</v>
      </c>
      <c r="D2545" t="s">
        <v>46</v>
      </c>
      <c r="E2545" s="16" t="s">
        <v>133</v>
      </c>
      <c r="F2545">
        <v>2027</v>
      </c>
      <c r="G2545" s="12">
        <v>494940.38610993099</v>
      </c>
      <c r="H2545" s="13">
        <v>0.89659999999999995</v>
      </c>
      <c r="I2545" s="13">
        <v>0.88660000000000005</v>
      </c>
      <c r="J2545" s="13">
        <v>6.6E-3</v>
      </c>
      <c r="K2545" s="13">
        <v>0</v>
      </c>
      <c r="L2545" s="13">
        <v>7.0000000000000007E-2</v>
      </c>
      <c r="M2545" s="13">
        <v>0.25</v>
      </c>
    </row>
    <row r="2546" spans="2:13" x14ac:dyDescent="0.25">
      <c r="B2546" s="14" t="s">
        <v>215</v>
      </c>
      <c r="C2546" s="14" t="s">
        <v>70</v>
      </c>
      <c r="D2546" t="s">
        <v>46</v>
      </c>
      <c r="E2546" s="16" t="s">
        <v>133</v>
      </c>
      <c r="F2546">
        <v>2028</v>
      </c>
      <c r="G2546" s="12">
        <v>502353.98342315701</v>
      </c>
      <c r="H2546" s="13">
        <v>0.9032</v>
      </c>
      <c r="I2546" s="13">
        <v>0.89319999999999999</v>
      </c>
      <c r="J2546" s="13">
        <v>1.32E-2</v>
      </c>
      <c r="K2546" s="13">
        <v>0</v>
      </c>
      <c r="L2546" s="13">
        <v>7.0000000000000007E-2</v>
      </c>
      <c r="M2546" s="13">
        <v>0.25</v>
      </c>
    </row>
    <row r="2547" spans="2:13" x14ac:dyDescent="0.25">
      <c r="B2547" s="14" t="s">
        <v>215</v>
      </c>
      <c r="C2547" s="14" t="s">
        <v>70</v>
      </c>
      <c r="D2547" t="s">
        <v>46</v>
      </c>
      <c r="E2547" s="16" t="s">
        <v>133</v>
      </c>
      <c r="F2547">
        <v>2029</v>
      </c>
      <c r="G2547" s="12">
        <v>509684.06964957702</v>
      </c>
      <c r="H2547" s="13">
        <v>0.90980000000000005</v>
      </c>
      <c r="I2547" s="13">
        <v>0.89980000000000004</v>
      </c>
      <c r="J2547" s="13">
        <v>1.9800000000000002E-2</v>
      </c>
      <c r="K2547" s="13">
        <v>0</v>
      </c>
      <c r="L2547" s="13">
        <v>7.0000000000000007E-2</v>
      </c>
      <c r="M2547" s="13">
        <v>0.25</v>
      </c>
    </row>
    <row r="2548" spans="2:13" x14ac:dyDescent="0.25">
      <c r="B2548" s="14" t="s">
        <v>215</v>
      </c>
      <c r="C2548" s="14" t="s">
        <v>70</v>
      </c>
      <c r="D2548" t="s">
        <v>46</v>
      </c>
      <c r="E2548" s="16" t="s">
        <v>133</v>
      </c>
      <c r="F2548">
        <v>2030</v>
      </c>
      <c r="G2548" s="12">
        <v>517125.50399173802</v>
      </c>
      <c r="H2548" s="13">
        <v>0.91639999999999999</v>
      </c>
      <c r="I2548" s="13">
        <v>0.90639999999999998</v>
      </c>
      <c r="J2548" s="13">
        <v>2.64E-2</v>
      </c>
      <c r="K2548" s="13">
        <v>0</v>
      </c>
      <c r="L2548" s="13">
        <v>7.0000000000000007E-2</v>
      </c>
      <c r="M2548" s="13">
        <v>0.25</v>
      </c>
    </row>
    <row r="2549" spans="2:13" x14ac:dyDescent="0.25">
      <c r="B2549" s="14" t="s">
        <v>215</v>
      </c>
      <c r="C2549" s="14" t="s">
        <v>72</v>
      </c>
      <c r="D2549" t="s">
        <v>46</v>
      </c>
      <c r="E2549" s="16" t="s">
        <v>133</v>
      </c>
      <c r="F2549">
        <v>2026</v>
      </c>
      <c r="G2549" s="12">
        <v>489028</v>
      </c>
      <c r="H2549" s="13">
        <v>0.97</v>
      </c>
      <c r="I2549" s="13">
        <v>0.9536</v>
      </c>
      <c r="J2549" s="13">
        <v>0.93</v>
      </c>
      <c r="K2549" s="13"/>
      <c r="L2549" s="13">
        <v>7.0000000000000007E-2</v>
      </c>
      <c r="M2549" s="13">
        <v>0.25</v>
      </c>
    </row>
    <row r="2550" spans="2:13" x14ac:dyDescent="0.25">
      <c r="B2550" s="14" t="s">
        <v>215</v>
      </c>
      <c r="C2550" s="14" t="s">
        <v>72</v>
      </c>
      <c r="D2550" t="s">
        <v>46</v>
      </c>
      <c r="E2550" s="16" t="s">
        <v>133</v>
      </c>
      <c r="F2550">
        <v>2027</v>
      </c>
      <c r="G2550" s="12">
        <v>494940.38610993099</v>
      </c>
      <c r="H2550" s="13">
        <v>0.97</v>
      </c>
      <c r="I2550" s="13">
        <v>0.95630599999999999</v>
      </c>
      <c r="J2550" s="13">
        <v>0.93659999999999999</v>
      </c>
      <c r="K2550" s="13"/>
      <c r="L2550" s="13">
        <v>7.0000000000000007E-2</v>
      </c>
      <c r="M2550" s="13">
        <v>0.25</v>
      </c>
    </row>
    <row r="2551" spans="2:13" x14ac:dyDescent="0.25">
      <c r="B2551" s="14" t="s">
        <v>215</v>
      </c>
      <c r="C2551" s="14" t="s">
        <v>72</v>
      </c>
      <c r="D2551" t="s">
        <v>46</v>
      </c>
      <c r="E2551" s="16" t="s">
        <v>133</v>
      </c>
      <c r="F2551">
        <v>2028</v>
      </c>
      <c r="G2551" s="12">
        <v>502353.98342315701</v>
      </c>
      <c r="H2551" s="13">
        <v>0.97</v>
      </c>
      <c r="I2551" s="13">
        <v>0.95901199999999998</v>
      </c>
      <c r="J2551" s="13">
        <v>0.94320000000000004</v>
      </c>
      <c r="K2551" s="13"/>
      <c r="L2551" s="13">
        <v>7.0000000000000007E-2</v>
      </c>
      <c r="M2551" s="13">
        <v>0.25</v>
      </c>
    </row>
    <row r="2552" spans="2:13" x14ac:dyDescent="0.25">
      <c r="B2552" s="14" t="s">
        <v>215</v>
      </c>
      <c r="C2552" s="14" t="s">
        <v>72</v>
      </c>
      <c r="D2552" t="s">
        <v>46</v>
      </c>
      <c r="E2552" s="16" t="s">
        <v>133</v>
      </c>
      <c r="F2552">
        <v>2029</v>
      </c>
      <c r="G2552" s="12">
        <v>509684.06964957702</v>
      </c>
      <c r="H2552" s="13">
        <v>0.97</v>
      </c>
      <c r="I2552" s="13">
        <v>0.96171799999999996</v>
      </c>
      <c r="J2552" s="13">
        <v>0.94979999999999998</v>
      </c>
      <c r="K2552" s="13"/>
      <c r="L2552" s="13">
        <v>7.0000000000000007E-2</v>
      </c>
      <c r="M2552" s="13">
        <v>0.25</v>
      </c>
    </row>
    <row r="2553" spans="2:13" x14ac:dyDescent="0.25">
      <c r="B2553" s="14" t="s">
        <v>215</v>
      </c>
      <c r="C2553" s="14" t="s">
        <v>72</v>
      </c>
      <c r="D2553" t="s">
        <v>46</v>
      </c>
      <c r="E2553" s="16" t="s">
        <v>133</v>
      </c>
      <c r="F2553">
        <v>2030</v>
      </c>
      <c r="G2553" s="12">
        <v>517125.50399173802</v>
      </c>
      <c r="H2553" s="13">
        <v>0.97</v>
      </c>
      <c r="I2553" s="13">
        <v>0.96442399999999995</v>
      </c>
      <c r="J2553" s="13">
        <v>0.95640000000000003</v>
      </c>
      <c r="K2553" s="13"/>
      <c r="L2553" s="13">
        <v>7.0000000000000007E-2</v>
      </c>
      <c r="M2553" s="13">
        <v>0.25</v>
      </c>
    </row>
    <row r="2554" spans="2:13" x14ac:dyDescent="0.25">
      <c r="B2554" s="14" t="s">
        <v>215</v>
      </c>
      <c r="C2554" s="14" t="s">
        <v>102</v>
      </c>
      <c r="D2554" t="s">
        <v>46</v>
      </c>
      <c r="E2554" s="16" t="s">
        <v>133</v>
      </c>
      <c r="F2554">
        <v>2028</v>
      </c>
      <c r="G2554" s="12">
        <v>502353.98342315701</v>
      </c>
      <c r="H2554" s="13">
        <v>6.9071727700000002E-2</v>
      </c>
      <c r="I2554" s="13"/>
      <c r="J2554" s="13"/>
      <c r="K2554" s="13"/>
      <c r="L2554" s="13">
        <v>7.0000000000000007E-2</v>
      </c>
      <c r="M2554" s="13">
        <v>0.25</v>
      </c>
    </row>
    <row r="2555" spans="2:13" x14ac:dyDescent="0.25">
      <c r="B2555" s="14" t="s">
        <v>215</v>
      </c>
      <c r="C2555" s="14" t="s">
        <v>102</v>
      </c>
      <c r="D2555" t="s">
        <v>46</v>
      </c>
      <c r="E2555" s="16" t="s">
        <v>133</v>
      </c>
      <c r="F2555">
        <v>2029</v>
      </c>
      <c r="G2555" s="12">
        <v>509684.06964957702</v>
      </c>
      <c r="H2555" s="13">
        <v>0.83546073229999995</v>
      </c>
      <c r="I2555" s="13"/>
      <c r="J2555" s="13"/>
      <c r="K2555" s="13"/>
      <c r="L2555" s="13">
        <v>7.0000000000000007E-2</v>
      </c>
      <c r="M2555" s="13">
        <v>0.25</v>
      </c>
    </row>
    <row r="2556" spans="2:13" x14ac:dyDescent="0.25">
      <c r="B2556" s="14" t="s">
        <v>215</v>
      </c>
      <c r="C2556" s="14" t="s">
        <v>102</v>
      </c>
      <c r="D2556" t="s">
        <v>46</v>
      </c>
      <c r="E2556" s="16" t="s">
        <v>133</v>
      </c>
      <c r="F2556">
        <v>2030</v>
      </c>
      <c r="G2556" s="12">
        <v>517125.50399173802</v>
      </c>
      <c r="H2556" s="13">
        <v>0.8420607323</v>
      </c>
      <c r="I2556" s="13"/>
      <c r="J2556" s="13"/>
      <c r="K2556" s="13"/>
      <c r="L2556" s="13">
        <v>7.0000000000000007E-2</v>
      </c>
      <c r="M2556" s="13">
        <v>0.25</v>
      </c>
    </row>
    <row r="2557" spans="2:13" x14ac:dyDescent="0.25">
      <c r="B2557" s="14" t="s">
        <v>215</v>
      </c>
      <c r="C2557" s="14" t="s">
        <v>15</v>
      </c>
      <c r="D2557" t="s">
        <v>46</v>
      </c>
      <c r="E2557" s="16" t="s">
        <v>133</v>
      </c>
      <c r="F2557">
        <v>2026</v>
      </c>
      <c r="G2557" s="12">
        <v>261184</v>
      </c>
      <c r="H2557" s="13">
        <v>0.8</v>
      </c>
      <c r="I2557" s="13"/>
      <c r="J2557" s="13"/>
      <c r="K2557" s="13"/>
      <c r="L2557" s="13">
        <v>0.05</v>
      </c>
      <c r="M2557" s="13">
        <v>0.25</v>
      </c>
    </row>
    <row r="2558" spans="2:13" x14ac:dyDescent="0.25">
      <c r="B2558" s="14" t="s">
        <v>215</v>
      </c>
      <c r="C2558" s="14" t="s">
        <v>15</v>
      </c>
      <c r="D2558" t="s">
        <v>46</v>
      </c>
      <c r="E2558" s="16" t="s">
        <v>133</v>
      </c>
      <c r="F2558">
        <v>2027</v>
      </c>
      <c r="G2558" s="12">
        <v>264057</v>
      </c>
      <c r="H2558" s="13">
        <v>0.8</v>
      </c>
      <c r="I2558" s="13"/>
      <c r="J2558" s="13"/>
      <c r="K2558" s="13"/>
      <c r="L2558" s="13">
        <v>0.05</v>
      </c>
      <c r="M2558" s="13">
        <v>0.25</v>
      </c>
    </row>
    <row r="2559" spans="2:13" x14ac:dyDescent="0.25">
      <c r="B2559" s="14" t="s">
        <v>215</v>
      </c>
      <c r="C2559" s="14" t="s">
        <v>15</v>
      </c>
      <c r="D2559" t="s">
        <v>46</v>
      </c>
      <c r="E2559" s="16" t="s">
        <v>133</v>
      </c>
      <c r="F2559">
        <v>2028</v>
      </c>
      <c r="G2559" s="12">
        <v>266109</v>
      </c>
      <c r="H2559" s="13">
        <v>0.8</v>
      </c>
      <c r="I2559" s="13"/>
      <c r="J2559" s="13"/>
      <c r="K2559" s="13"/>
      <c r="L2559" s="13">
        <v>0.05</v>
      </c>
      <c r="M2559" s="13">
        <v>0.25</v>
      </c>
    </row>
    <row r="2560" spans="2:13" x14ac:dyDescent="0.25">
      <c r="B2560" s="14" t="s">
        <v>215</v>
      </c>
      <c r="C2560" s="14" t="s">
        <v>15</v>
      </c>
      <c r="D2560" t="s">
        <v>46</v>
      </c>
      <c r="E2560" s="16" t="s">
        <v>133</v>
      </c>
      <c r="F2560">
        <v>2029</v>
      </c>
      <c r="G2560" s="12">
        <v>269750</v>
      </c>
      <c r="H2560" s="13">
        <v>0.8</v>
      </c>
      <c r="I2560" s="13"/>
      <c r="J2560" s="13"/>
      <c r="K2560" s="13"/>
      <c r="L2560" s="13">
        <v>0.05</v>
      </c>
      <c r="M2560" s="13">
        <v>0.25</v>
      </c>
    </row>
    <row r="2561" spans="2:13" x14ac:dyDescent="0.25">
      <c r="B2561" s="14" t="s">
        <v>215</v>
      </c>
      <c r="C2561" s="14" t="s">
        <v>15</v>
      </c>
      <c r="D2561" t="s">
        <v>46</v>
      </c>
      <c r="E2561" s="16" t="s">
        <v>133</v>
      </c>
      <c r="F2561">
        <v>2030</v>
      </c>
      <c r="G2561" s="12">
        <v>274098</v>
      </c>
      <c r="H2561" s="13">
        <v>0.8</v>
      </c>
      <c r="I2561" s="13"/>
      <c r="J2561" s="13"/>
      <c r="K2561" s="13"/>
      <c r="L2561" s="13">
        <v>0.05</v>
      </c>
      <c r="M2561" s="13">
        <v>0.25</v>
      </c>
    </row>
    <row r="2562" spans="2:13" x14ac:dyDescent="0.25">
      <c r="B2562" s="14" t="s">
        <v>215</v>
      </c>
      <c r="C2562" s="14" t="s">
        <v>52</v>
      </c>
      <c r="D2562" t="s">
        <v>141</v>
      </c>
      <c r="E2562" s="16" t="s">
        <v>133</v>
      </c>
      <c r="F2562">
        <v>2029</v>
      </c>
      <c r="G2562" s="12">
        <v>2174209.875</v>
      </c>
      <c r="H2562" s="13">
        <v>1</v>
      </c>
      <c r="I2562" s="13"/>
      <c r="J2562" s="13"/>
      <c r="K2562" s="13"/>
      <c r="L2562" s="13"/>
      <c r="M2562" s="13"/>
    </row>
    <row r="2563" spans="2:13" x14ac:dyDescent="0.25">
      <c r="B2563" s="14" t="s">
        <v>215</v>
      </c>
      <c r="C2563" s="14" t="s">
        <v>139</v>
      </c>
      <c r="D2563" t="s">
        <v>46</v>
      </c>
      <c r="E2563" s="16" t="s">
        <v>133</v>
      </c>
      <c r="F2563">
        <v>2026</v>
      </c>
      <c r="G2563" s="12">
        <v>489028</v>
      </c>
      <c r="H2563" s="13">
        <v>0.97</v>
      </c>
      <c r="I2563" s="13">
        <v>0.9536</v>
      </c>
      <c r="J2563" s="13">
        <v>0.93</v>
      </c>
      <c r="K2563" s="13"/>
      <c r="L2563" s="13">
        <v>0.13</v>
      </c>
      <c r="M2563" s="13">
        <v>0.25</v>
      </c>
    </row>
    <row r="2564" spans="2:13" x14ac:dyDescent="0.25">
      <c r="B2564" s="14" t="s">
        <v>215</v>
      </c>
      <c r="C2564" s="14" t="s">
        <v>139</v>
      </c>
      <c r="D2564" t="s">
        <v>46</v>
      </c>
      <c r="E2564" s="16" t="s">
        <v>133</v>
      </c>
      <c r="F2564">
        <v>2027</v>
      </c>
      <c r="G2564" s="12">
        <v>494940.38610993099</v>
      </c>
      <c r="H2564" s="13">
        <v>0.97</v>
      </c>
      <c r="I2564" s="13">
        <v>0.95630599999999999</v>
      </c>
      <c r="J2564" s="13">
        <v>0.93659999999999999</v>
      </c>
      <c r="K2564" s="13"/>
      <c r="L2564" s="13">
        <v>0.13</v>
      </c>
      <c r="M2564" s="13">
        <v>0.25</v>
      </c>
    </row>
    <row r="2565" spans="2:13" x14ac:dyDescent="0.25">
      <c r="B2565" s="14" t="s">
        <v>215</v>
      </c>
      <c r="C2565" s="14" t="s">
        <v>139</v>
      </c>
      <c r="D2565" t="s">
        <v>46</v>
      </c>
      <c r="E2565" s="16" t="s">
        <v>133</v>
      </c>
      <c r="F2565">
        <v>2028</v>
      </c>
      <c r="G2565" s="12">
        <v>502353.98342315701</v>
      </c>
      <c r="H2565" s="13">
        <v>0.97</v>
      </c>
      <c r="I2565" s="13">
        <v>0.95901199999999998</v>
      </c>
      <c r="J2565" s="13">
        <v>0.94320000000000004</v>
      </c>
      <c r="K2565" s="13"/>
      <c r="L2565" s="13">
        <v>0.13</v>
      </c>
      <c r="M2565" s="13">
        <v>0.25</v>
      </c>
    </row>
    <row r="2566" spans="2:13" x14ac:dyDescent="0.25">
      <c r="B2566" s="14" t="s">
        <v>215</v>
      </c>
      <c r="C2566" s="14" t="s">
        <v>139</v>
      </c>
      <c r="D2566" t="s">
        <v>46</v>
      </c>
      <c r="E2566" s="16" t="s">
        <v>133</v>
      </c>
      <c r="F2566">
        <v>2029</v>
      </c>
      <c r="G2566" s="12">
        <v>509684.06964957702</v>
      </c>
      <c r="H2566" s="13">
        <v>0.97</v>
      </c>
      <c r="I2566" s="13">
        <v>0.96171799999999996</v>
      </c>
      <c r="J2566" s="13">
        <v>0.94979999999999998</v>
      </c>
      <c r="K2566" s="13"/>
      <c r="L2566" s="13">
        <v>0.13</v>
      </c>
      <c r="M2566" s="13">
        <v>0.25</v>
      </c>
    </row>
    <row r="2567" spans="2:13" x14ac:dyDescent="0.25">
      <c r="B2567" s="14" t="s">
        <v>215</v>
      </c>
      <c r="C2567" s="14" t="s">
        <v>139</v>
      </c>
      <c r="D2567" t="s">
        <v>46</v>
      </c>
      <c r="E2567" s="16" t="s">
        <v>133</v>
      </c>
      <c r="F2567">
        <v>2030</v>
      </c>
      <c r="G2567" s="12">
        <v>517125.50399173802</v>
      </c>
      <c r="H2567" s="13">
        <v>0.97</v>
      </c>
      <c r="I2567" s="13">
        <v>0.96442399999999995</v>
      </c>
      <c r="J2567" s="13">
        <v>0.95640000000000003</v>
      </c>
      <c r="K2567" s="13"/>
      <c r="L2567" s="13">
        <v>0.13</v>
      </c>
      <c r="M2567" s="13">
        <v>0.25</v>
      </c>
    </row>
    <row r="2568" spans="2:13" x14ac:dyDescent="0.25">
      <c r="B2568" s="14" t="s">
        <v>215</v>
      </c>
      <c r="C2568" s="14" t="s">
        <v>101</v>
      </c>
      <c r="D2568" t="s">
        <v>46</v>
      </c>
      <c r="E2568" s="16" t="s">
        <v>133</v>
      </c>
      <c r="F2568">
        <v>2026</v>
      </c>
      <c r="G2568" s="12">
        <v>489028</v>
      </c>
      <c r="H2568" s="13">
        <v>0.88</v>
      </c>
      <c r="I2568" s="13"/>
      <c r="J2568" s="13"/>
      <c r="K2568" s="13"/>
      <c r="L2568" s="13">
        <v>0.1</v>
      </c>
      <c r="M2568" s="13">
        <v>0.25</v>
      </c>
    </row>
    <row r="2569" spans="2:13" x14ac:dyDescent="0.25">
      <c r="B2569" s="14" t="s">
        <v>215</v>
      </c>
      <c r="C2569" s="14" t="s">
        <v>101</v>
      </c>
      <c r="D2569" t="s">
        <v>46</v>
      </c>
      <c r="E2569" s="16" t="s">
        <v>133</v>
      </c>
      <c r="F2569">
        <v>2027</v>
      </c>
      <c r="G2569" s="12">
        <v>493747.62806373602</v>
      </c>
      <c r="H2569" s="13">
        <v>0.88660000000000005</v>
      </c>
      <c r="I2569" s="13"/>
      <c r="J2569" s="13"/>
      <c r="K2569" s="13"/>
      <c r="L2569" s="13">
        <v>0.1</v>
      </c>
      <c r="M2569" s="13">
        <v>0.25</v>
      </c>
    </row>
    <row r="2570" spans="2:13" x14ac:dyDescent="0.25">
      <c r="B2570" s="14" t="s">
        <v>215</v>
      </c>
      <c r="C2570" s="14" t="s">
        <v>101</v>
      </c>
      <c r="D2570" t="s">
        <v>46</v>
      </c>
      <c r="E2570" s="16" t="s">
        <v>133</v>
      </c>
      <c r="F2570">
        <v>2028</v>
      </c>
      <c r="G2570" s="12">
        <v>498512.80543970002</v>
      </c>
      <c r="H2570" s="13">
        <v>0.89319999999999999</v>
      </c>
      <c r="I2570" s="13"/>
      <c r="J2570" s="13"/>
      <c r="K2570" s="13"/>
      <c r="L2570" s="13">
        <v>0.1</v>
      </c>
      <c r="M2570" s="13">
        <v>0.25</v>
      </c>
    </row>
    <row r="2571" spans="2:13" x14ac:dyDescent="0.25">
      <c r="B2571" s="14" t="s">
        <v>215</v>
      </c>
      <c r="C2571" s="14" t="s">
        <v>101</v>
      </c>
      <c r="D2571" t="s">
        <v>46</v>
      </c>
      <c r="E2571" s="16" t="s">
        <v>133</v>
      </c>
      <c r="F2571">
        <v>2029</v>
      </c>
      <c r="G2571" s="12">
        <v>503323.97172605898</v>
      </c>
      <c r="H2571" s="13">
        <v>0.89980000000000004</v>
      </c>
      <c r="I2571" s="13"/>
      <c r="J2571" s="13"/>
      <c r="K2571" s="13"/>
      <c r="L2571" s="13">
        <v>0.1</v>
      </c>
      <c r="M2571" s="13">
        <v>0.25</v>
      </c>
    </row>
    <row r="2572" spans="2:13" x14ac:dyDescent="0.25">
      <c r="B2572" s="15" t="s">
        <v>215</v>
      </c>
      <c r="C2572" s="14" t="s">
        <v>101</v>
      </c>
      <c r="D2572" t="s">
        <v>46</v>
      </c>
      <c r="E2572" s="16" t="s">
        <v>133</v>
      </c>
      <c r="F2572">
        <v>2030</v>
      </c>
      <c r="G2572" s="12">
        <v>508181.570763556</v>
      </c>
      <c r="H2572" s="13">
        <v>0.90639999999999998</v>
      </c>
      <c r="I2572" s="13"/>
      <c r="J2572" s="13"/>
      <c r="K2572" s="13"/>
      <c r="L2572" s="13">
        <v>0.1</v>
      </c>
      <c r="M2572" s="13">
        <v>0.25</v>
      </c>
    </row>
  </sheetData>
  <autoFilter ref="B3:M2572" xr:uid="{A2C2D67C-4DAD-4D11-B979-0441B027F10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1D4B-34E5-457D-8475-6B75AA803401}">
  <dimension ref="A3:B37"/>
  <sheetViews>
    <sheetView showGridLines="0" workbookViewId="0">
      <selection activeCell="A6" sqref="A6"/>
    </sheetView>
  </sheetViews>
  <sheetFormatPr defaultRowHeight="15" x14ac:dyDescent="0.25"/>
  <cols>
    <col min="1" max="1" width="27" bestFit="1" customWidth="1"/>
    <col min="2" max="2" width="15.85546875" bestFit="1" customWidth="1"/>
  </cols>
  <sheetData>
    <row r="3" spans="1:2" x14ac:dyDescent="0.25">
      <c r="A3" s="10" t="s">
        <v>118</v>
      </c>
      <c r="B3" t="s">
        <v>117</v>
      </c>
    </row>
    <row r="4" spans="1:2" x14ac:dyDescent="0.25">
      <c r="A4" s="11" t="s">
        <v>72</v>
      </c>
      <c r="B4" s="9">
        <v>1280.6059864071995</v>
      </c>
    </row>
    <row r="5" spans="1:2" x14ac:dyDescent="0.25">
      <c r="A5" s="11" t="s">
        <v>76</v>
      </c>
      <c r="B5" s="9">
        <v>708.16816748740018</v>
      </c>
    </row>
    <row r="6" spans="1:2" x14ac:dyDescent="0.25">
      <c r="A6" s="11" t="s">
        <v>52</v>
      </c>
      <c r="B6" s="9">
        <v>660.13664613640003</v>
      </c>
    </row>
    <row r="7" spans="1:2" x14ac:dyDescent="0.25">
      <c r="A7" s="11" t="s">
        <v>109</v>
      </c>
      <c r="B7" s="9">
        <v>621.93705778890012</v>
      </c>
    </row>
    <row r="8" spans="1:2" x14ac:dyDescent="0.25">
      <c r="A8" s="11" t="s">
        <v>70</v>
      </c>
      <c r="B8" s="9">
        <v>557.33604763420055</v>
      </c>
    </row>
    <row r="9" spans="1:2" x14ac:dyDescent="0.25">
      <c r="A9" s="11" t="s">
        <v>100</v>
      </c>
      <c r="B9" s="9">
        <v>556.03309784939995</v>
      </c>
    </row>
    <row r="10" spans="1:2" x14ac:dyDescent="0.25">
      <c r="A10" s="11" t="s">
        <v>69</v>
      </c>
      <c r="B10" s="9">
        <v>506.02289767110005</v>
      </c>
    </row>
    <row r="11" spans="1:2" x14ac:dyDescent="0.25">
      <c r="A11" s="11" t="s">
        <v>73</v>
      </c>
      <c r="B11" s="9">
        <v>336.7749973375997</v>
      </c>
    </row>
    <row r="12" spans="1:2" x14ac:dyDescent="0.25">
      <c r="A12" s="11" t="s">
        <v>15</v>
      </c>
      <c r="B12" s="9">
        <v>331.65801933499995</v>
      </c>
    </row>
    <row r="13" spans="1:2" x14ac:dyDescent="0.25">
      <c r="A13" s="11" t="s">
        <v>40</v>
      </c>
      <c r="B13" s="9">
        <v>273.3953692188</v>
      </c>
    </row>
    <row r="14" spans="1:2" x14ac:dyDescent="0.25">
      <c r="A14" s="11" t="s">
        <v>74</v>
      </c>
      <c r="B14" s="9">
        <v>270.11955500130011</v>
      </c>
    </row>
    <row r="15" spans="1:2" x14ac:dyDescent="0.25">
      <c r="A15" s="11" t="s">
        <v>113</v>
      </c>
      <c r="B15" s="9">
        <v>256.87866899999995</v>
      </c>
    </row>
    <row r="16" spans="1:2" x14ac:dyDescent="0.25">
      <c r="A16" s="11" t="s">
        <v>116</v>
      </c>
      <c r="B16" s="9">
        <v>137.59999999999997</v>
      </c>
    </row>
    <row r="17" spans="1:2" x14ac:dyDescent="0.25">
      <c r="A17" s="11" t="s">
        <v>101</v>
      </c>
      <c r="B17" s="9">
        <v>97.221412171300003</v>
      </c>
    </row>
    <row r="18" spans="1:2" x14ac:dyDescent="0.25">
      <c r="A18" s="11" t="s">
        <v>120</v>
      </c>
      <c r="B18" s="9">
        <v>75.338345137399997</v>
      </c>
    </row>
    <row r="19" spans="1:2" x14ac:dyDescent="0.25">
      <c r="A19" s="11" t="s">
        <v>112</v>
      </c>
      <c r="B19" s="9">
        <v>66.732618000000002</v>
      </c>
    </row>
    <row r="20" spans="1:2" x14ac:dyDescent="0.25">
      <c r="A20" s="11" t="s">
        <v>121</v>
      </c>
      <c r="B20" s="9">
        <v>52.265926626899997</v>
      </c>
    </row>
    <row r="21" spans="1:2" x14ac:dyDescent="0.25">
      <c r="A21" s="11" t="s">
        <v>125</v>
      </c>
      <c r="B21" s="9">
        <v>43</v>
      </c>
    </row>
    <row r="22" spans="1:2" x14ac:dyDescent="0.25">
      <c r="A22" s="11" t="s">
        <v>107</v>
      </c>
      <c r="B22" s="9">
        <v>33.0109090909</v>
      </c>
    </row>
    <row r="23" spans="1:2" x14ac:dyDescent="0.25">
      <c r="A23" s="11" t="s">
        <v>38</v>
      </c>
      <c r="B23" s="9">
        <v>26.292001551800009</v>
      </c>
    </row>
    <row r="24" spans="1:2" x14ac:dyDescent="0.25">
      <c r="A24" s="11" t="s">
        <v>108</v>
      </c>
      <c r="B24" s="9">
        <v>21.018021256400001</v>
      </c>
    </row>
    <row r="25" spans="1:2" x14ac:dyDescent="0.25">
      <c r="A25" s="11" t="s">
        <v>104</v>
      </c>
      <c r="B25" s="9">
        <v>13.439247375700001</v>
      </c>
    </row>
    <row r="26" spans="1:2" x14ac:dyDescent="0.25">
      <c r="A26" s="11" t="s">
        <v>102</v>
      </c>
      <c r="B26" s="9">
        <v>10.645366603000001</v>
      </c>
    </row>
    <row r="27" spans="1:2" x14ac:dyDescent="0.25">
      <c r="A27" s="11" t="s">
        <v>103</v>
      </c>
      <c r="B27" s="9">
        <v>9.8734312402000004</v>
      </c>
    </row>
    <row r="28" spans="1:2" x14ac:dyDescent="0.25">
      <c r="A28" s="11" t="s">
        <v>115</v>
      </c>
      <c r="B28" s="9">
        <v>8</v>
      </c>
    </row>
    <row r="29" spans="1:2" x14ac:dyDescent="0.25">
      <c r="A29" s="11" t="s">
        <v>105</v>
      </c>
      <c r="B29" s="9">
        <v>5.6449999999999996</v>
      </c>
    </row>
    <row r="30" spans="1:2" x14ac:dyDescent="0.25">
      <c r="A30" s="11" t="s">
        <v>75</v>
      </c>
      <c r="B30" s="9">
        <v>1.6619496035999994</v>
      </c>
    </row>
    <row r="31" spans="1:2" x14ac:dyDescent="0.25">
      <c r="A31" s="11" t="s">
        <v>106</v>
      </c>
      <c r="B31" s="9">
        <v>0.99999999989999999</v>
      </c>
    </row>
    <row r="32" spans="1:2" x14ac:dyDescent="0.25">
      <c r="A32" s="11" t="s">
        <v>122</v>
      </c>
      <c r="B32" s="9">
        <v>-25</v>
      </c>
    </row>
    <row r="33" spans="1:2" x14ac:dyDescent="0.25">
      <c r="A33" s="11" t="s">
        <v>110</v>
      </c>
      <c r="B33" s="9">
        <v>-26.742513999999996</v>
      </c>
    </row>
    <row r="34" spans="1:2" x14ac:dyDescent="0.25">
      <c r="A34" s="11" t="s">
        <v>123</v>
      </c>
      <c r="B34" s="9">
        <v>-82.5</v>
      </c>
    </row>
    <row r="35" spans="1:2" x14ac:dyDescent="0.25">
      <c r="A35" s="11" t="s">
        <v>111</v>
      </c>
      <c r="B35" s="9">
        <v>-188.83439750779996</v>
      </c>
    </row>
    <row r="36" spans="1:2" x14ac:dyDescent="0.25">
      <c r="A36" s="11" t="s">
        <v>124</v>
      </c>
      <c r="B36" s="9">
        <v>-320.84479146249998</v>
      </c>
    </row>
    <row r="37" spans="1:2" x14ac:dyDescent="0.25">
      <c r="A37" s="11" t="s">
        <v>119</v>
      </c>
      <c r="B37" s="9">
        <v>6317.8890365541001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v23.2 Forecast Data (Internal)</vt:lpstr>
      <vt:lpstr>v23.2 Key Prog Assumptions</vt:lpstr>
      <vt:lpstr>Pivot</vt:lpstr>
    </vt:vector>
  </TitlesOfParts>
  <Company>GAVI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Denli</dc:creator>
  <cp:lastModifiedBy>Berkay Denli</cp:lastModifiedBy>
  <dcterms:created xsi:type="dcterms:W3CDTF">2026-06-05T13:39:56Z</dcterms:created>
  <dcterms:modified xsi:type="dcterms:W3CDTF">2026-06-05T14:38:46Z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5e72d3-b6ef-4c9c-b371-eb3c79f627ee_Enabled">
    <vt:lpwstr>true</vt:lpwstr>
  </property>
  <property fmtid="{D5CDD505-2E9C-101B-9397-08002B2CF9AE}" pid="3" name="MSIP_Label_8f5e72d3-b6ef-4c9c-b371-eb3c79f627ee_SetDate">
    <vt:lpwstr>2026-06-05T13:40:34Z</vt:lpwstr>
  </property>
  <property fmtid="{D5CDD505-2E9C-101B-9397-08002B2CF9AE}" pid="4" name="MSIP_Label_8f5e72d3-b6ef-4c9c-b371-eb3c79f627ee_Method">
    <vt:lpwstr>Privileged</vt:lpwstr>
  </property>
  <property fmtid="{D5CDD505-2E9C-101B-9397-08002B2CF9AE}" pid="5" name="MSIP_Label_8f5e72d3-b6ef-4c9c-b371-eb3c79f627ee_Name">
    <vt:lpwstr>8f5e72d3-b6ef-4c9c-b371-eb3c79f627ee</vt:lpwstr>
  </property>
  <property fmtid="{D5CDD505-2E9C-101B-9397-08002B2CF9AE}" pid="6" name="MSIP_Label_8f5e72d3-b6ef-4c9c-b371-eb3c79f627ee_SiteId">
    <vt:lpwstr>1de6d9f3-0daf-4df6-b9d6-5959f16f6118</vt:lpwstr>
  </property>
  <property fmtid="{D5CDD505-2E9C-101B-9397-08002B2CF9AE}" pid="7" name="MSIP_Label_8f5e72d3-b6ef-4c9c-b371-eb3c79f627ee_ActionId">
    <vt:lpwstr>88f5371c-9a64-450a-8a66-d021bbedc792</vt:lpwstr>
  </property>
  <property fmtid="{D5CDD505-2E9C-101B-9397-08002B2CF9AE}" pid="8" name="MSIP_Label_8f5e72d3-b6ef-4c9c-b371-eb3c79f627ee_ContentBits">
    <vt:lpwstr>1</vt:lpwstr>
  </property>
  <property fmtid="{D5CDD505-2E9C-101B-9397-08002B2CF9AE}" pid="9" name="MSIP_Label_8f5e72d3-b6ef-4c9c-b371-eb3c79f627ee_Tag">
    <vt:lpwstr>10, 0, 1, 1</vt:lpwstr>
  </property>
</Properties>
</file>