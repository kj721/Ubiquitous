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lyja\Documents\Projects\Ubiquitous\Tools\Pandas\"/>
    </mc:Choice>
  </mc:AlternateContent>
  <xr:revisionPtr revIDLastSave="0" documentId="8_{D5D32A5F-D823-4691-8F60-44DBE35F282D}" xr6:coauthVersionLast="47" xr6:coauthVersionMax="47" xr10:uidLastSave="{00000000-0000-0000-0000-000000000000}"/>
  <bookViews>
    <workbookView xWindow="-110" yWindow="-110" windowWidth="19420" windowHeight="11500" xr2:uid="{11D88DB2-03EE-48DD-95A5-6F61FB99A510}"/>
  </bookViews>
  <sheets>
    <sheet name="Sheet1" sheetId="1" r:id="rId1"/>
    <sheet name="Messy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</calcChain>
</file>

<file path=xl/sharedStrings.xml><?xml version="1.0" encoding="utf-8"?>
<sst xmlns="http://schemas.openxmlformats.org/spreadsheetml/2006/main" count="687" uniqueCount="252">
  <si>
    <t>OrderID</t>
  </si>
  <si>
    <t>OrderDate</t>
  </si>
  <si>
    <t>Customer</t>
  </si>
  <si>
    <t>Region</t>
  </si>
  <si>
    <t>Product</t>
  </si>
  <si>
    <t>Category</t>
  </si>
  <si>
    <t>Quantity</t>
  </si>
  <si>
    <t>UnitPrice</t>
  </si>
  <si>
    <t>Discount</t>
  </si>
  <si>
    <t>Revenue</t>
  </si>
  <si>
    <t>David Davis</t>
  </si>
  <si>
    <t>South</t>
  </si>
  <si>
    <t>Smartphone</t>
  </si>
  <si>
    <t>Electronics</t>
  </si>
  <si>
    <t>Mary Smith</t>
  </si>
  <si>
    <t>North</t>
  </si>
  <si>
    <t>Water Bottle</t>
  </si>
  <si>
    <t>Accessories</t>
  </si>
  <si>
    <t>Betty Anderson</t>
  </si>
  <si>
    <t>Desk Chair</t>
  </si>
  <si>
    <t>Furniture</t>
  </si>
  <si>
    <t>Susan Hernandez</t>
  </si>
  <si>
    <t>East</t>
  </si>
  <si>
    <t>Headphones</t>
  </si>
  <si>
    <t>Patricia Lopez</t>
  </si>
  <si>
    <t>Maria Williams</t>
  </si>
  <si>
    <t>Backpack</t>
  </si>
  <si>
    <t>John Johnson</t>
  </si>
  <si>
    <t>Karen Lopez</t>
  </si>
  <si>
    <t>Notebook</t>
  </si>
  <si>
    <t>Stationery</t>
  </si>
  <si>
    <t>Jennifer Lee</t>
  </si>
  <si>
    <t>William Johnson</t>
  </si>
  <si>
    <t>Michael Moore</t>
  </si>
  <si>
    <t>West</t>
  </si>
  <si>
    <t>David Perez</t>
  </si>
  <si>
    <t>Mary Brown</t>
  </si>
  <si>
    <t>Pen Set</t>
  </si>
  <si>
    <t>Maria White</t>
  </si>
  <si>
    <t>Betty Rodriguez</t>
  </si>
  <si>
    <t>Jennifer Jackson</t>
  </si>
  <si>
    <t>Standing Desk</t>
  </si>
  <si>
    <t>Barbara Garcia</t>
  </si>
  <si>
    <t>Mary Davis</t>
  </si>
  <si>
    <t>Nancy Lee</t>
  </si>
  <si>
    <t>Michael Martinez</t>
  </si>
  <si>
    <t>Linda Williams</t>
  </si>
  <si>
    <t>Laptop</t>
  </si>
  <si>
    <t>Betty Jones</t>
  </si>
  <si>
    <t>Susan Lopez</t>
  </si>
  <si>
    <t>Maria Hernandez</t>
  </si>
  <si>
    <t>David Taylor</t>
  </si>
  <si>
    <t>Betty Smith</t>
  </si>
  <si>
    <t>Jennifer Wilson</t>
  </si>
  <si>
    <t>Betty Moore</t>
  </si>
  <si>
    <t>Lisa Williams</t>
  </si>
  <si>
    <t>Sandra Davis</t>
  </si>
  <si>
    <t>David Miller</t>
  </si>
  <si>
    <t>William Williams</t>
  </si>
  <si>
    <t>Lisa Rodriguez</t>
  </si>
  <si>
    <t>Betty Martinez</t>
  </si>
  <si>
    <t>Patricia Brown</t>
  </si>
  <si>
    <t>David Jackson</t>
  </si>
  <si>
    <t>James Hernandez</t>
  </si>
  <si>
    <t>James Brown</t>
  </si>
  <si>
    <t>Robert Anderson</t>
  </si>
  <si>
    <t>Michael Davis</t>
  </si>
  <si>
    <t>Jennifer Garcia</t>
  </si>
  <si>
    <t>Linda Rodriguez</t>
  </si>
  <si>
    <t>Michael Taylor</t>
  </si>
  <si>
    <t>David Williams</t>
  </si>
  <si>
    <t>Patricia Rodriguez</t>
  </si>
  <si>
    <t>Bookshelf</t>
  </si>
  <si>
    <t>Susan White</t>
  </si>
  <si>
    <t>Lisa Lee</t>
  </si>
  <si>
    <t>Patricia Martinez</t>
  </si>
  <si>
    <t>order_id</t>
  </si>
  <si>
    <t>order date</t>
  </si>
  <si>
    <t>Customer_Name</t>
  </si>
  <si>
    <t>product</t>
  </si>
  <si>
    <t>QTY</t>
  </si>
  <si>
    <t>unit_price</t>
  </si>
  <si>
    <t>discount</t>
  </si>
  <si>
    <t>Email</t>
  </si>
  <si>
    <t>1001</t>
  </si>
  <si>
    <t>2024-04-01</t>
  </si>
  <si>
    <t>JOHN Miller</t>
  </si>
  <si>
    <t>laptop</t>
  </si>
  <si>
    <t xml:space="preserve"> 3</t>
  </si>
  <si>
    <t/>
  </si>
  <si>
    <t>10%</t>
  </si>
  <si>
    <t>john@mail.com</t>
  </si>
  <si>
    <t>1002</t>
  </si>
  <si>
    <t>2024/02/28</t>
  </si>
  <si>
    <t>mary Miller</t>
  </si>
  <si>
    <t>electronics</t>
  </si>
  <si>
    <t>$619.50</t>
  </si>
  <si>
    <t>1003</t>
  </si>
  <si>
    <t>03/05/2024</t>
  </si>
  <si>
    <t>Michael WILLIAMS</t>
  </si>
  <si>
    <t xml:space="preserve"> west</t>
  </si>
  <si>
    <t>18</t>
  </si>
  <si>
    <t>212,00</t>
  </si>
  <si>
    <t>0</t>
  </si>
  <si>
    <t>michael@mail.com</t>
  </si>
  <si>
    <t>1004</t>
  </si>
  <si>
    <t>2024-01-13</t>
  </si>
  <si>
    <t xml:space="preserve">Elizabeth Brown </t>
  </si>
  <si>
    <t xml:space="preserve">West </t>
  </si>
  <si>
    <t xml:space="preserve">Backpack </t>
  </si>
  <si>
    <t xml:space="preserve">Furniture </t>
  </si>
  <si>
    <t xml:space="preserve">5 </t>
  </si>
  <si>
    <t>238.62</t>
  </si>
  <si>
    <t>elizabeth.brown@MAIL.COM</t>
  </si>
  <si>
    <t>1005</t>
  </si>
  <si>
    <t>N/A</t>
  </si>
  <si>
    <t>jennifer  Davis</t>
  </si>
  <si>
    <t xml:space="preserve">south </t>
  </si>
  <si>
    <t>14</t>
  </si>
  <si>
    <t>jennifer@mail.com</t>
  </si>
  <si>
    <t>1006</t>
  </si>
  <si>
    <t xml:space="preserve">   </t>
  </si>
  <si>
    <t>768,00</t>
  </si>
  <si>
    <t>not available</t>
  </si>
  <si>
    <t>1007</t>
  </si>
  <si>
    <t>Michael garcia</t>
  </si>
  <si>
    <t>6</t>
  </si>
  <si>
    <t>212.02</t>
  </si>
  <si>
    <t>1008</t>
  </si>
  <si>
    <t>Michael  Davis</t>
  </si>
  <si>
    <t>north</t>
  </si>
  <si>
    <t xml:space="preserve">Smartphone </t>
  </si>
  <si>
    <t>STATIONERY</t>
  </si>
  <si>
    <t>0.1</t>
  </si>
  <si>
    <t>1009</t>
  </si>
  <si>
    <t>JOHN johnson</t>
  </si>
  <si>
    <t>NORTH</t>
  </si>
  <si>
    <t>$871.75</t>
  </si>
  <si>
    <t>5%</t>
  </si>
  <si>
    <t>1010</t>
  </si>
  <si>
    <t>Elizabeth garcia</t>
  </si>
  <si>
    <t>1011</t>
  </si>
  <si>
    <t>01/13/2024</t>
  </si>
  <si>
    <t>Patricia   Davis</t>
  </si>
  <si>
    <t>20</t>
  </si>
  <si>
    <t>123,00</t>
  </si>
  <si>
    <t>patricia@mail.com</t>
  </si>
  <si>
    <t>1012</t>
  </si>
  <si>
    <t>Patricia  Miller</t>
  </si>
  <si>
    <t>patricia..miller@MAIL.COM</t>
  </si>
  <si>
    <t>1013</t>
  </si>
  <si>
    <t xml:space="preserve"> 120.5</t>
  </si>
  <si>
    <t>john.johnson@MAIL.COM</t>
  </si>
  <si>
    <t>1014</t>
  </si>
  <si>
    <t>Robert garcia</t>
  </si>
  <si>
    <t>notebook</t>
  </si>
  <si>
    <t>216.28</t>
  </si>
  <si>
    <t>0.15</t>
  </si>
  <si>
    <t>1015</t>
  </si>
  <si>
    <t xml:space="preserve">Patricia  Brown </t>
  </si>
  <si>
    <t>639,00</t>
  </si>
  <si>
    <t>patricia..brown@MAIL.COM</t>
  </si>
  <si>
    <t>1016</t>
  </si>
  <si>
    <t xml:space="preserve">mary Brown </t>
  </si>
  <si>
    <t>HEADPHONES</t>
  </si>
  <si>
    <t>11</t>
  </si>
  <si>
    <t>$514.79</t>
  </si>
  <si>
    <t>mary.brown@MAIL.COM</t>
  </si>
  <si>
    <t>1017</t>
  </si>
  <si>
    <t>$840.92</t>
  </si>
  <si>
    <t>1018</t>
  </si>
  <si>
    <t>13-Jan-2024</t>
  </si>
  <si>
    <t>JOHN Smith</t>
  </si>
  <si>
    <t>157.2</t>
  </si>
  <si>
    <t>1019</t>
  </si>
  <si>
    <t>David WILLIAMS</t>
  </si>
  <si>
    <t>east</t>
  </si>
  <si>
    <t>9</t>
  </si>
  <si>
    <t>620,00</t>
  </si>
  <si>
    <t>1020</t>
  </si>
  <si>
    <t>James garcia</t>
  </si>
  <si>
    <t>36.46</t>
  </si>
  <si>
    <t>james@mail.com</t>
  </si>
  <si>
    <t>1021</t>
  </si>
  <si>
    <t>JOHN WILLIAMS</t>
  </si>
  <si>
    <t>$563.71</t>
  </si>
  <si>
    <t>1022</t>
  </si>
  <si>
    <t>Patricia  Jones</t>
  </si>
  <si>
    <t>15</t>
  </si>
  <si>
    <t>1023</t>
  </si>
  <si>
    <t xml:space="preserve"> Linda  Davis</t>
  </si>
  <si>
    <t>linda..davis@MAIL.COM</t>
  </si>
  <si>
    <t>1024</t>
  </si>
  <si>
    <t>796.89</t>
  </si>
  <si>
    <t>1025</t>
  </si>
  <si>
    <t xml:space="preserve"> Linda WILLIAMS</t>
  </si>
  <si>
    <t>114,00</t>
  </si>
  <si>
    <t>linda.williams@MAIL.COM</t>
  </si>
  <si>
    <t>1026</t>
  </si>
  <si>
    <t xml:space="preserve"> Linda Smith</t>
  </si>
  <si>
    <t>886.87</t>
  </si>
  <si>
    <t>linda@mail.com</t>
  </si>
  <si>
    <t>1027</t>
  </si>
  <si>
    <t>Robert Smith</t>
  </si>
  <si>
    <t>robert.smith@MAIL.COM</t>
  </si>
  <si>
    <t>1028</t>
  </si>
  <si>
    <t>93.69</t>
  </si>
  <si>
    <t>1029</t>
  </si>
  <si>
    <t>229.82</t>
  </si>
  <si>
    <t>1030</t>
  </si>
  <si>
    <t>17</t>
  </si>
  <si>
    <t>$297.44</t>
  </si>
  <si>
    <t>1031</t>
  </si>
  <si>
    <t>David  Davis</t>
  </si>
  <si>
    <t>873.87</t>
  </si>
  <si>
    <t>david..davis@MAIL.COM</t>
  </si>
  <si>
    <t>1032</t>
  </si>
  <si>
    <t>john.miller@MAIL.COM</t>
  </si>
  <si>
    <t>1033</t>
  </si>
  <si>
    <t>580,00</t>
  </si>
  <si>
    <t>robert@mail.com</t>
  </si>
  <si>
    <t>1034</t>
  </si>
  <si>
    <t>Patricia  garcia</t>
  </si>
  <si>
    <t>1035</t>
  </si>
  <si>
    <t>Robert johnson</t>
  </si>
  <si>
    <t>2</t>
  </si>
  <si>
    <t>1036</t>
  </si>
  <si>
    <t>1037</t>
  </si>
  <si>
    <t>mary Smith</t>
  </si>
  <si>
    <t>1038</t>
  </si>
  <si>
    <t>$87.95</t>
  </si>
  <si>
    <t>1039</t>
  </si>
  <si>
    <t>562.94</t>
  </si>
  <si>
    <t>1040</t>
  </si>
  <si>
    <t>Robert Jones</t>
  </si>
  <si>
    <t>robert.jones@MAIL.COM</t>
  </si>
  <si>
    <t>1041</t>
  </si>
  <si>
    <t>3</t>
  </si>
  <si>
    <t>1042</t>
  </si>
  <si>
    <t>Patricia  johnson</t>
  </si>
  <si>
    <t>12</t>
  </si>
  <si>
    <t>135,00</t>
  </si>
  <si>
    <t>1043</t>
  </si>
  <si>
    <t>Michael Smith</t>
  </si>
  <si>
    <t>405,00</t>
  </si>
  <si>
    <t>michael.smith@MAIL.COM</t>
  </si>
  <si>
    <t>1044</t>
  </si>
  <si>
    <t>jennifer garcia</t>
  </si>
  <si>
    <t>$401.08</t>
  </si>
  <si>
    <t>1045</t>
  </si>
  <si>
    <t>James Jones</t>
  </si>
  <si>
    <t>811,00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</si>
</sst>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49" fontId="0" fillId="0" borderId="0" xfId="0" applyNumberFormat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9BE345C-1F1A-4685-9B26-921E0F08F6D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9dedbf5-4b00-47bb-a9d4-1ad0d043c52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6DC10-0762-4E95-BB2B-85B654733CC9}">
  <dimension ref="A1:J5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26953125" bestFit="1" customWidth="1"/>
    <col min="2" max="2" width="10.08984375" bestFit="1" customWidth="1"/>
    <col min="3" max="3" width="15.453125" bestFit="1" customWidth="1"/>
    <col min="4" max="4" width="6.54296875" bestFit="1" customWidth="1"/>
    <col min="5" max="5" width="12.26953125" bestFit="1" customWidth="1"/>
    <col min="6" max="6" width="10.7265625" bestFit="1" customWidth="1"/>
    <col min="7" max="7" width="8" bestFit="1" customWidth="1"/>
    <col min="8" max="8" width="8.6328125" bestFit="1" customWidth="1"/>
    <col min="9" max="9" width="8.36328125" bestFit="1" customWidth="1"/>
    <col min="10" max="10" width="9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1001</v>
      </c>
      <c r="B2" s="2">
        <v>45304</v>
      </c>
      <c r="C2" t="s">
        <v>10</v>
      </c>
      <c r="D2" t="s">
        <v>11</v>
      </c>
      <c r="E2" t="s">
        <v>12</v>
      </c>
      <c r="F2" t="s">
        <v>13</v>
      </c>
      <c r="G2">
        <v>4</v>
      </c>
      <c r="H2" s="3">
        <v>672.97</v>
      </c>
      <c r="I2" s="4">
        <v>0.1</v>
      </c>
      <c r="J2" s="3">
        <f>G2*H2*(1-I2)</f>
        <v>2422.692</v>
      </c>
    </row>
    <row r="3" spans="1:10" x14ac:dyDescent="0.35">
      <c r="A3">
        <v>1002</v>
      </c>
      <c r="B3" s="2">
        <v>45508</v>
      </c>
      <c r="C3" t="s">
        <v>14</v>
      </c>
      <c r="D3" t="s">
        <v>15</v>
      </c>
      <c r="E3" t="s">
        <v>16</v>
      </c>
      <c r="F3" t="s">
        <v>17</v>
      </c>
      <c r="G3">
        <v>8</v>
      </c>
      <c r="H3" s="3">
        <v>22.02</v>
      </c>
      <c r="I3" s="4">
        <v>0</v>
      </c>
      <c r="J3" s="3">
        <f>G3*H3*(1-I3)</f>
        <v>176.16</v>
      </c>
    </row>
    <row r="4" spans="1:10" x14ac:dyDescent="0.35">
      <c r="A4">
        <v>1003</v>
      </c>
      <c r="B4" s="2">
        <v>45624</v>
      </c>
      <c r="C4" t="s">
        <v>18</v>
      </c>
      <c r="D4" t="s">
        <v>11</v>
      </c>
      <c r="E4" t="s">
        <v>19</v>
      </c>
      <c r="F4" t="s">
        <v>20</v>
      </c>
      <c r="G4">
        <v>19</v>
      </c>
      <c r="H4" s="3">
        <v>172.01</v>
      </c>
      <c r="I4" s="4">
        <v>0.2</v>
      </c>
      <c r="J4" s="3">
        <f>G4*H4*(1-I4)</f>
        <v>2614.5519999999997</v>
      </c>
    </row>
    <row r="5" spans="1:10" x14ac:dyDescent="0.35">
      <c r="A5">
        <v>1004</v>
      </c>
      <c r="B5" s="2">
        <v>45649</v>
      </c>
      <c r="C5" t="s">
        <v>21</v>
      </c>
      <c r="D5" t="s">
        <v>22</v>
      </c>
      <c r="E5" t="s">
        <v>23</v>
      </c>
      <c r="F5" t="s">
        <v>13</v>
      </c>
      <c r="G5">
        <v>7</v>
      </c>
      <c r="H5" s="3">
        <v>130.97</v>
      </c>
      <c r="I5" s="4">
        <v>0</v>
      </c>
      <c r="J5" s="3">
        <f>G5*H5*(1-I5)</f>
        <v>916.79</v>
      </c>
    </row>
    <row r="6" spans="1:10" x14ac:dyDescent="0.35">
      <c r="A6">
        <v>1005</v>
      </c>
      <c r="B6" s="2">
        <v>45486</v>
      </c>
      <c r="C6" t="s">
        <v>24</v>
      </c>
      <c r="D6" t="s">
        <v>22</v>
      </c>
      <c r="E6" t="s">
        <v>12</v>
      </c>
      <c r="F6" t="s">
        <v>13</v>
      </c>
      <c r="G6">
        <v>9</v>
      </c>
      <c r="H6" s="3">
        <v>689.93</v>
      </c>
      <c r="I6" s="4">
        <v>0.15</v>
      </c>
      <c r="J6" s="3">
        <f>G6*H6*(1-I6)</f>
        <v>5277.9645</v>
      </c>
    </row>
    <row r="7" spans="1:10" x14ac:dyDescent="0.35">
      <c r="A7">
        <v>1006</v>
      </c>
      <c r="B7" s="2">
        <v>45355</v>
      </c>
      <c r="C7" t="s">
        <v>25</v>
      </c>
      <c r="D7" t="s">
        <v>22</v>
      </c>
      <c r="E7" t="s">
        <v>26</v>
      </c>
      <c r="F7" t="s">
        <v>17</v>
      </c>
      <c r="G7">
        <v>20</v>
      </c>
      <c r="H7" s="3">
        <v>59.24</v>
      </c>
      <c r="I7" s="4">
        <v>0</v>
      </c>
      <c r="J7" s="3">
        <f>G7*H7*(1-I7)</f>
        <v>1184.8</v>
      </c>
    </row>
    <row r="8" spans="1:10" x14ac:dyDescent="0.35">
      <c r="A8">
        <v>1007</v>
      </c>
      <c r="B8" s="2">
        <v>45652</v>
      </c>
      <c r="C8" t="s">
        <v>27</v>
      </c>
      <c r="D8" t="s">
        <v>11</v>
      </c>
      <c r="E8" t="s">
        <v>19</v>
      </c>
      <c r="F8" t="s">
        <v>20</v>
      </c>
      <c r="G8">
        <v>3</v>
      </c>
      <c r="H8" s="3">
        <v>192.79</v>
      </c>
      <c r="I8" s="4">
        <v>0.2</v>
      </c>
      <c r="J8" s="3">
        <f>G8*H8*(1-I8)</f>
        <v>462.69600000000003</v>
      </c>
    </row>
    <row r="9" spans="1:10" x14ac:dyDescent="0.35">
      <c r="A9">
        <v>1008</v>
      </c>
      <c r="B9" s="2">
        <v>45434</v>
      </c>
      <c r="C9" t="s">
        <v>28</v>
      </c>
      <c r="E9" t="s">
        <v>29</v>
      </c>
      <c r="F9" t="s">
        <v>30</v>
      </c>
      <c r="G9">
        <v>12</v>
      </c>
      <c r="H9" s="3">
        <v>5.65</v>
      </c>
      <c r="I9" s="4">
        <v>0</v>
      </c>
      <c r="J9" s="3">
        <f>G9*H9*(1-I9)</f>
        <v>67.800000000000011</v>
      </c>
    </row>
    <row r="10" spans="1:10" x14ac:dyDescent="0.35">
      <c r="A10">
        <v>1009</v>
      </c>
      <c r="B10" s="2">
        <v>45603</v>
      </c>
      <c r="C10" t="s">
        <v>31</v>
      </c>
      <c r="D10" t="s">
        <v>11</v>
      </c>
      <c r="E10" t="s">
        <v>12</v>
      </c>
      <c r="F10" t="s">
        <v>13</v>
      </c>
      <c r="G10">
        <v>15</v>
      </c>
      <c r="H10" s="3">
        <v>634.33000000000004</v>
      </c>
      <c r="I10" s="4">
        <v>0.15</v>
      </c>
      <c r="J10" s="3">
        <f>G10*H10*(1-I10)</f>
        <v>8087.7075000000004</v>
      </c>
    </row>
    <row r="11" spans="1:10" x14ac:dyDescent="0.35">
      <c r="A11">
        <v>1010</v>
      </c>
      <c r="B11" s="2">
        <v>45404</v>
      </c>
      <c r="C11" t="s">
        <v>32</v>
      </c>
      <c r="D11" t="s">
        <v>11</v>
      </c>
      <c r="E11" t="s">
        <v>26</v>
      </c>
      <c r="F11" t="s">
        <v>17</v>
      </c>
      <c r="G11">
        <v>11</v>
      </c>
      <c r="H11" s="3">
        <v>53.91</v>
      </c>
      <c r="I11" s="4">
        <v>0</v>
      </c>
      <c r="J11" s="3">
        <f>G11*H11*(1-I11)</f>
        <v>593.01</v>
      </c>
    </row>
    <row r="12" spans="1:10" x14ac:dyDescent="0.35">
      <c r="A12">
        <v>1011</v>
      </c>
      <c r="B12" s="2">
        <v>45453</v>
      </c>
      <c r="C12" t="s">
        <v>33</v>
      </c>
      <c r="D12" t="s">
        <v>34</v>
      </c>
      <c r="E12" t="s">
        <v>16</v>
      </c>
      <c r="F12" t="s">
        <v>17</v>
      </c>
      <c r="G12">
        <v>15</v>
      </c>
      <c r="H12" s="3">
        <v>20.43</v>
      </c>
      <c r="I12" s="4">
        <v>0</v>
      </c>
      <c r="J12" s="3">
        <f>G12*H12*(1-I12)</f>
        <v>306.45</v>
      </c>
    </row>
    <row r="13" spans="1:10" x14ac:dyDescent="0.35">
      <c r="A13">
        <v>1012</v>
      </c>
      <c r="B13" s="2">
        <v>45567</v>
      </c>
      <c r="C13" t="s">
        <v>35</v>
      </c>
      <c r="D13" t="s">
        <v>34</v>
      </c>
      <c r="E13" t="s">
        <v>26</v>
      </c>
      <c r="F13" t="s">
        <v>17</v>
      </c>
      <c r="G13">
        <v>13</v>
      </c>
      <c r="H13" s="3">
        <v>53.48</v>
      </c>
      <c r="I13" s="4">
        <v>0</v>
      </c>
      <c r="J13" s="3">
        <f>G13*H13*(1-I13)</f>
        <v>695.24</v>
      </c>
    </row>
    <row r="14" spans="1:10" x14ac:dyDescent="0.35">
      <c r="A14">
        <v>1013</v>
      </c>
      <c r="B14" s="2">
        <v>45338</v>
      </c>
      <c r="C14" t="s">
        <v>36</v>
      </c>
      <c r="D14" t="s">
        <v>11</v>
      </c>
      <c r="E14" t="s">
        <v>37</v>
      </c>
      <c r="F14" t="s">
        <v>30</v>
      </c>
      <c r="G14">
        <v>6</v>
      </c>
      <c r="H14" s="3"/>
      <c r="I14" s="4">
        <v>0.05</v>
      </c>
      <c r="J14" s="3">
        <f>G14*H14*(1-I14)</f>
        <v>0</v>
      </c>
    </row>
    <row r="15" spans="1:10" x14ac:dyDescent="0.35">
      <c r="A15">
        <v>1014</v>
      </c>
      <c r="B15" s="2">
        <v>45489</v>
      </c>
      <c r="C15" t="s">
        <v>38</v>
      </c>
      <c r="D15" t="s">
        <v>34</v>
      </c>
      <c r="E15" t="s">
        <v>12</v>
      </c>
      <c r="F15" t="s">
        <v>13</v>
      </c>
      <c r="G15">
        <v>9</v>
      </c>
      <c r="H15" s="3">
        <v>711.24</v>
      </c>
      <c r="I15" s="4">
        <v>0.2</v>
      </c>
      <c r="J15" s="3">
        <f>G15*H15*(1-I15)</f>
        <v>5120.9279999999999</v>
      </c>
    </row>
    <row r="16" spans="1:10" x14ac:dyDescent="0.35">
      <c r="A16">
        <v>1015</v>
      </c>
      <c r="B16" s="2">
        <v>45641</v>
      </c>
      <c r="C16" t="s">
        <v>39</v>
      </c>
      <c r="D16" t="s">
        <v>22</v>
      </c>
      <c r="E16" t="s">
        <v>12</v>
      </c>
      <c r="F16" t="s">
        <v>13</v>
      </c>
      <c r="G16">
        <v>10</v>
      </c>
      <c r="H16" s="3">
        <v>641.52</v>
      </c>
      <c r="I16" s="4">
        <v>0.05</v>
      </c>
      <c r="J16" s="3">
        <f>G16*H16*(1-I16)</f>
        <v>6094.44</v>
      </c>
    </row>
    <row r="17" spans="1:10" x14ac:dyDescent="0.35">
      <c r="A17">
        <v>1016</v>
      </c>
      <c r="B17" s="2">
        <v>45548</v>
      </c>
      <c r="C17" t="s">
        <v>40</v>
      </c>
      <c r="D17" t="s">
        <v>15</v>
      </c>
      <c r="E17" t="s">
        <v>41</v>
      </c>
      <c r="F17" t="s">
        <v>20</v>
      </c>
      <c r="G17">
        <v>10</v>
      </c>
      <c r="H17" s="3">
        <v>448.7</v>
      </c>
      <c r="I17" s="4">
        <v>0.1</v>
      </c>
      <c r="J17" s="3">
        <f>G17*H17*(1-I17)</f>
        <v>4038.3</v>
      </c>
    </row>
    <row r="18" spans="1:10" x14ac:dyDescent="0.35">
      <c r="A18">
        <v>1017</v>
      </c>
      <c r="B18" s="2">
        <v>45370</v>
      </c>
      <c r="C18" t="s">
        <v>42</v>
      </c>
      <c r="D18" t="s">
        <v>15</v>
      </c>
      <c r="E18" t="s">
        <v>19</v>
      </c>
      <c r="F18" t="s">
        <v>20</v>
      </c>
      <c r="G18">
        <v>11</v>
      </c>
      <c r="H18" s="3">
        <v>179.59</v>
      </c>
      <c r="I18" s="4">
        <v>0</v>
      </c>
      <c r="J18" s="3">
        <f>G18*H18*(1-I18)</f>
        <v>1975.49</v>
      </c>
    </row>
    <row r="19" spans="1:10" x14ac:dyDescent="0.35">
      <c r="A19">
        <v>1018</v>
      </c>
      <c r="B19" s="2">
        <v>45414</v>
      </c>
      <c r="C19" t="s">
        <v>43</v>
      </c>
      <c r="D19" t="s">
        <v>15</v>
      </c>
      <c r="E19" t="s">
        <v>41</v>
      </c>
      <c r="F19" t="s">
        <v>20</v>
      </c>
      <c r="G19">
        <v>16</v>
      </c>
      <c r="H19" s="3">
        <v>446.55</v>
      </c>
      <c r="I19" s="4">
        <v>0.2</v>
      </c>
      <c r="J19" s="3">
        <f>G19*H19*(1-I19)</f>
        <v>5715.84</v>
      </c>
    </row>
    <row r="20" spans="1:10" x14ac:dyDescent="0.35">
      <c r="A20">
        <v>1019</v>
      </c>
      <c r="B20" s="2">
        <v>45357</v>
      </c>
      <c r="C20" t="s">
        <v>44</v>
      </c>
      <c r="D20" t="s">
        <v>11</v>
      </c>
      <c r="E20" t="s">
        <v>23</v>
      </c>
      <c r="F20" t="s">
        <v>13</v>
      </c>
      <c r="G20">
        <v>17</v>
      </c>
      <c r="H20" s="3">
        <v>128.94</v>
      </c>
      <c r="I20" s="4">
        <v>0.05</v>
      </c>
      <c r="J20" s="3">
        <f>G20*H20*(1-I20)</f>
        <v>2082.3809999999999</v>
      </c>
    </row>
    <row r="21" spans="1:10" x14ac:dyDescent="0.35">
      <c r="A21">
        <v>1020</v>
      </c>
      <c r="B21" s="2">
        <v>45645</v>
      </c>
      <c r="C21" t="s">
        <v>45</v>
      </c>
      <c r="D21" t="s">
        <v>34</v>
      </c>
      <c r="E21" t="s">
        <v>26</v>
      </c>
      <c r="F21" t="s">
        <v>17</v>
      </c>
      <c r="G21">
        <v>12</v>
      </c>
      <c r="H21" s="3">
        <v>54.32</v>
      </c>
      <c r="I21" s="4">
        <v>0.1</v>
      </c>
      <c r="J21" s="3">
        <f>G21*H21*(1-I21)</f>
        <v>586.65600000000006</v>
      </c>
    </row>
    <row r="22" spans="1:10" x14ac:dyDescent="0.35">
      <c r="A22">
        <v>1021</v>
      </c>
      <c r="B22" s="2">
        <v>45418</v>
      </c>
      <c r="C22" t="s">
        <v>46</v>
      </c>
      <c r="D22" t="s">
        <v>22</v>
      </c>
      <c r="E22" t="s">
        <v>12</v>
      </c>
      <c r="F22" t="s">
        <v>13</v>
      </c>
      <c r="G22">
        <v>19</v>
      </c>
      <c r="H22" s="3">
        <v>657.01</v>
      </c>
      <c r="I22" s="4">
        <v>0.1</v>
      </c>
      <c r="J22" s="3">
        <f>G22*H22*(1-I22)</f>
        <v>11234.871000000001</v>
      </c>
    </row>
    <row r="23" spans="1:10" x14ac:dyDescent="0.35">
      <c r="A23">
        <v>1022</v>
      </c>
      <c r="B23" s="2">
        <v>45328</v>
      </c>
      <c r="C23" t="s">
        <v>43</v>
      </c>
      <c r="D23" t="s">
        <v>15</v>
      </c>
      <c r="E23" t="s">
        <v>47</v>
      </c>
      <c r="F23" t="s">
        <v>13</v>
      </c>
      <c r="G23">
        <v>11</v>
      </c>
      <c r="H23" s="3">
        <v>822.75</v>
      </c>
      <c r="I23" s="4">
        <v>0</v>
      </c>
      <c r="J23" s="3">
        <f>G23*H23*(1-I23)</f>
        <v>9050.25</v>
      </c>
    </row>
    <row r="24" spans="1:10" x14ac:dyDescent="0.35">
      <c r="A24">
        <v>1023</v>
      </c>
      <c r="B24" s="2">
        <v>45401</v>
      </c>
      <c r="C24" t="s">
        <v>48</v>
      </c>
      <c r="D24" t="s">
        <v>34</v>
      </c>
      <c r="E24" t="s">
        <v>37</v>
      </c>
      <c r="F24" t="s">
        <v>30</v>
      </c>
      <c r="G24">
        <v>16</v>
      </c>
      <c r="H24" s="3">
        <v>15.92</v>
      </c>
      <c r="I24" s="4">
        <v>0</v>
      </c>
      <c r="J24" s="3">
        <f>G24*H24*(1-I24)</f>
        <v>254.72</v>
      </c>
    </row>
    <row r="25" spans="1:10" x14ac:dyDescent="0.35">
      <c r="A25">
        <v>1024</v>
      </c>
      <c r="B25" s="2">
        <v>45629</v>
      </c>
      <c r="C25" t="s">
        <v>49</v>
      </c>
      <c r="E25" t="s">
        <v>12</v>
      </c>
      <c r="F25" t="s">
        <v>13</v>
      </c>
      <c r="G25">
        <v>15</v>
      </c>
      <c r="H25" s="3">
        <v>697.3</v>
      </c>
      <c r="I25" s="4">
        <v>0</v>
      </c>
      <c r="J25" s="3">
        <f>G25*H25*(1-I25)</f>
        <v>10459.5</v>
      </c>
    </row>
    <row r="26" spans="1:10" x14ac:dyDescent="0.35">
      <c r="A26">
        <v>1025</v>
      </c>
      <c r="B26" s="2">
        <v>45323</v>
      </c>
      <c r="C26" t="s">
        <v>50</v>
      </c>
      <c r="D26" t="s">
        <v>15</v>
      </c>
      <c r="E26" t="s">
        <v>12</v>
      </c>
      <c r="F26" t="s">
        <v>13</v>
      </c>
      <c r="G26">
        <v>7</v>
      </c>
      <c r="H26" s="3">
        <v>609.73</v>
      </c>
      <c r="I26" s="4">
        <v>0.05</v>
      </c>
      <c r="J26" s="3">
        <f>G26*H26*(1-I26)</f>
        <v>4054.7045000000003</v>
      </c>
    </row>
    <row r="27" spans="1:10" x14ac:dyDescent="0.35">
      <c r="A27">
        <v>1026</v>
      </c>
      <c r="B27" s="2">
        <v>45385</v>
      </c>
      <c r="C27" t="s">
        <v>51</v>
      </c>
      <c r="D27" t="s">
        <v>11</v>
      </c>
      <c r="E27" t="s">
        <v>29</v>
      </c>
      <c r="F27" t="s">
        <v>30</v>
      </c>
      <c r="G27">
        <v>15</v>
      </c>
      <c r="H27" s="3">
        <v>6.37</v>
      </c>
      <c r="I27" s="4">
        <v>0.2</v>
      </c>
      <c r="J27" s="3">
        <f>G27*H27*(1-I27)</f>
        <v>76.44</v>
      </c>
    </row>
    <row r="28" spans="1:10" x14ac:dyDescent="0.35">
      <c r="A28">
        <v>1027</v>
      </c>
      <c r="B28" s="2">
        <v>45317</v>
      </c>
      <c r="C28" t="s">
        <v>52</v>
      </c>
      <c r="D28" t="s">
        <v>15</v>
      </c>
      <c r="E28" t="s">
        <v>12</v>
      </c>
      <c r="F28" t="s">
        <v>13</v>
      </c>
      <c r="G28">
        <v>6</v>
      </c>
      <c r="H28" s="3">
        <v>637.83000000000004</v>
      </c>
      <c r="I28" s="4">
        <v>0.05</v>
      </c>
      <c r="J28" s="3">
        <f>G28*H28*(1-I28)</f>
        <v>3635.6310000000003</v>
      </c>
    </row>
    <row r="29" spans="1:10" x14ac:dyDescent="0.35">
      <c r="A29">
        <v>1028</v>
      </c>
      <c r="B29" s="2">
        <v>45322</v>
      </c>
      <c r="C29" t="s">
        <v>53</v>
      </c>
      <c r="D29" t="s">
        <v>15</v>
      </c>
      <c r="E29" t="s">
        <v>29</v>
      </c>
      <c r="F29" t="s">
        <v>30</v>
      </c>
      <c r="G29">
        <v>9</v>
      </c>
      <c r="H29" s="3">
        <v>6.51</v>
      </c>
      <c r="I29" s="4">
        <v>0.2</v>
      </c>
      <c r="J29" s="3">
        <f>G29*H29*(1-I29)</f>
        <v>46.872</v>
      </c>
    </row>
    <row r="30" spans="1:10" x14ac:dyDescent="0.35">
      <c r="A30">
        <v>1029</v>
      </c>
      <c r="B30" s="2">
        <v>45508</v>
      </c>
      <c r="C30" t="s">
        <v>54</v>
      </c>
      <c r="D30" t="s">
        <v>11</v>
      </c>
      <c r="E30" t="s">
        <v>41</v>
      </c>
      <c r="F30" t="s">
        <v>20</v>
      </c>
      <c r="G30">
        <v>10</v>
      </c>
      <c r="H30" s="3">
        <v>396.29</v>
      </c>
      <c r="I30" s="4">
        <v>0</v>
      </c>
      <c r="J30" s="3">
        <f>G30*H30*(1-I30)</f>
        <v>3962.9</v>
      </c>
    </row>
    <row r="31" spans="1:10" x14ac:dyDescent="0.35">
      <c r="A31">
        <v>1030</v>
      </c>
      <c r="B31" s="2">
        <v>45323</v>
      </c>
      <c r="C31" t="s">
        <v>32</v>
      </c>
      <c r="D31" t="s">
        <v>15</v>
      </c>
      <c r="E31" t="s">
        <v>26</v>
      </c>
      <c r="F31" t="s">
        <v>17</v>
      </c>
      <c r="G31">
        <v>16</v>
      </c>
      <c r="H31" s="3">
        <v>55.03</v>
      </c>
      <c r="I31" s="4">
        <v>0.2</v>
      </c>
      <c r="J31" s="3">
        <f>G31*H31*(1-I31)</f>
        <v>704.38400000000001</v>
      </c>
    </row>
    <row r="32" spans="1:10" x14ac:dyDescent="0.35">
      <c r="A32">
        <v>1031</v>
      </c>
      <c r="B32" s="2">
        <v>45321</v>
      </c>
      <c r="C32" t="s">
        <v>55</v>
      </c>
      <c r="D32" t="s">
        <v>11</v>
      </c>
      <c r="E32" t="s">
        <v>23</v>
      </c>
      <c r="F32" t="s">
        <v>13</v>
      </c>
      <c r="G32">
        <v>20</v>
      </c>
      <c r="H32" s="3">
        <v>109.63</v>
      </c>
      <c r="I32" s="4">
        <v>0.2</v>
      </c>
      <c r="J32" s="3">
        <f>G32*H32*(1-I32)</f>
        <v>1754.08</v>
      </c>
    </row>
    <row r="33" spans="1:10" x14ac:dyDescent="0.35">
      <c r="A33">
        <v>1032</v>
      </c>
      <c r="B33" s="2">
        <v>45353</v>
      </c>
      <c r="C33" t="s">
        <v>56</v>
      </c>
      <c r="D33" t="s">
        <v>15</v>
      </c>
      <c r="E33" t="s">
        <v>29</v>
      </c>
      <c r="F33" t="s">
        <v>30</v>
      </c>
      <c r="G33">
        <v>3</v>
      </c>
      <c r="H33" s="3">
        <v>5.9</v>
      </c>
      <c r="I33" s="4">
        <v>0.1</v>
      </c>
      <c r="J33" s="3">
        <f>G33*H33*(1-I33)</f>
        <v>15.930000000000003</v>
      </c>
    </row>
    <row r="34" spans="1:10" x14ac:dyDescent="0.35">
      <c r="A34">
        <v>1033</v>
      </c>
      <c r="B34" s="2">
        <v>45453</v>
      </c>
      <c r="C34" t="s">
        <v>57</v>
      </c>
      <c r="D34" t="s">
        <v>22</v>
      </c>
      <c r="E34" t="s">
        <v>26</v>
      </c>
      <c r="F34" t="s">
        <v>17</v>
      </c>
      <c r="G34">
        <v>9</v>
      </c>
      <c r="H34" s="3">
        <v>53.85</v>
      </c>
      <c r="I34" s="4">
        <v>0.15</v>
      </c>
      <c r="J34" s="3">
        <f>G34*H34*(1-I34)</f>
        <v>411.95250000000004</v>
      </c>
    </row>
    <row r="35" spans="1:10" x14ac:dyDescent="0.35">
      <c r="A35">
        <v>1034</v>
      </c>
      <c r="B35" s="2">
        <v>45526</v>
      </c>
      <c r="C35" t="s">
        <v>58</v>
      </c>
      <c r="D35" t="s">
        <v>15</v>
      </c>
      <c r="E35" t="s">
        <v>41</v>
      </c>
      <c r="F35" t="s">
        <v>20</v>
      </c>
      <c r="G35">
        <v>20</v>
      </c>
      <c r="H35" s="3"/>
      <c r="I35" s="4">
        <v>0</v>
      </c>
      <c r="J35" s="3">
        <f>G35*H35*(1-I35)</f>
        <v>0</v>
      </c>
    </row>
    <row r="36" spans="1:10" x14ac:dyDescent="0.35">
      <c r="A36">
        <v>1035</v>
      </c>
      <c r="B36" s="2">
        <v>45401</v>
      </c>
      <c r="C36" t="s">
        <v>59</v>
      </c>
      <c r="D36" t="s">
        <v>11</v>
      </c>
      <c r="E36" t="s">
        <v>26</v>
      </c>
      <c r="F36" t="s">
        <v>17</v>
      </c>
      <c r="G36">
        <v>3</v>
      </c>
      <c r="H36" s="3">
        <v>59.17</v>
      </c>
      <c r="I36" s="4">
        <v>0</v>
      </c>
      <c r="J36" s="3">
        <f>G36*H36*(1-I36)</f>
        <v>177.51</v>
      </c>
    </row>
    <row r="37" spans="1:10" x14ac:dyDescent="0.35">
      <c r="A37">
        <v>1036</v>
      </c>
      <c r="B37" s="2">
        <v>45516</v>
      </c>
      <c r="C37" t="s">
        <v>60</v>
      </c>
      <c r="D37" t="s">
        <v>15</v>
      </c>
      <c r="E37" t="s">
        <v>23</v>
      </c>
      <c r="F37" t="s">
        <v>13</v>
      </c>
      <c r="G37">
        <v>18</v>
      </c>
      <c r="H37" s="3">
        <v>115.19</v>
      </c>
      <c r="I37" s="4">
        <v>0.15</v>
      </c>
      <c r="J37" s="3">
        <f>G37*H37*(1-I37)</f>
        <v>1762.4069999999999</v>
      </c>
    </row>
    <row r="38" spans="1:10" x14ac:dyDescent="0.35">
      <c r="A38">
        <v>1037</v>
      </c>
      <c r="B38" s="2">
        <v>45427</v>
      </c>
      <c r="C38" t="s">
        <v>61</v>
      </c>
      <c r="D38" t="s">
        <v>11</v>
      </c>
      <c r="E38" t="s">
        <v>23</v>
      </c>
      <c r="F38" t="s">
        <v>13</v>
      </c>
      <c r="G38">
        <v>10</v>
      </c>
      <c r="H38" s="3">
        <v>122.52</v>
      </c>
      <c r="I38" s="4">
        <v>0.15</v>
      </c>
      <c r="J38" s="3">
        <f>G38*H38*(1-I38)</f>
        <v>1041.42</v>
      </c>
    </row>
    <row r="39" spans="1:10" x14ac:dyDescent="0.35">
      <c r="A39">
        <v>1038</v>
      </c>
      <c r="B39" s="2">
        <v>45643</v>
      </c>
      <c r="C39" t="s">
        <v>62</v>
      </c>
      <c r="D39" t="s">
        <v>34</v>
      </c>
      <c r="E39" t="s">
        <v>19</v>
      </c>
      <c r="F39" t="s">
        <v>20</v>
      </c>
      <c r="G39">
        <v>2</v>
      </c>
      <c r="H39" s="3">
        <v>165.32</v>
      </c>
      <c r="I39" s="4">
        <v>0.05</v>
      </c>
      <c r="J39" s="3">
        <f>G39*H39*(1-I39)</f>
        <v>314.10799999999995</v>
      </c>
    </row>
    <row r="40" spans="1:10" x14ac:dyDescent="0.35">
      <c r="A40">
        <v>1039</v>
      </c>
      <c r="B40" s="2">
        <v>45314</v>
      </c>
      <c r="C40" t="s">
        <v>63</v>
      </c>
      <c r="D40" t="s">
        <v>11</v>
      </c>
      <c r="E40" t="s">
        <v>41</v>
      </c>
      <c r="F40" t="s">
        <v>20</v>
      </c>
      <c r="G40">
        <v>9</v>
      </c>
      <c r="H40" s="3">
        <v>391.57</v>
      </c>
      <c r="I40" s="4">
        <v>0.05</v>
      </c>
      <c r="J40" s="3">
        <f>G40*H40*(1-I40)</f>
        <v>3347.9234999999999</v>
      </c>
    </row>
    <row r="41" spans="1:10" x14ac:dyDescent="0.35">
      <c r="A41">
        <v>1040</v>
      </c>
      <c r="B41" s="2">
        <v>45579</v>
      </c>
      <c r="C41" t="s">
        <v>64</v>
      </c>
      <c r="D41" t="s">
        <v>15</v>
      </c>
      <c r="E41" t="s">
        <v>29</v>
      </c>
      <c r="F41" t="s">
        <v>30</v>
      </c>
      <c r="G41">
        <v>5</v>
      </c>
      <c r="H41" s="3">
        <v>6.05</v>
      </c>
      <c r="I41" s="4">
        <v>0.2</v>
      </c>
      <c r="J41" s="3">
        <f>G41*H41*(1-I41)</f>
        <v>24.200000000000003</v>
      </c>
    </row>
    <row r="42" spans="1:10" x14ac:dyDescent="0.35">
      <c r="A42">
        <v>1041</v>
      </c>
      <c r="B42" s="2">
        <v>45574</v>
      </c>
      <c r="C42" t="s">
        <v>65</v>
      </c>
      <c r="D42" t="s">
        <v>11</v>
      </c>
      <c r="E42" t="s">
        <v>16</v>
      </c>
      <c r="F42" t="s">
        <v>17</v>
      </c>
      <c r="G42">
        <v>10</v>
      </c>
      <c r="H42" s="3">
        <v>21.4</v>
      </c>
      <c r="I42" s="4">
        <v>0.2</v>
      </c>
      <c r="J42" s="3">
        <f>G42*H42*(1-I42)</f>
        <v>171.20000000000002</v>
      </c>
    </row>
    <row r="43" spans="1:10" x14ac:dyDescent="0.35">
      <c r="A43">
        <v>1042</v>
      </c>
      <c r="B43" s="2">
        <v>45475</v>
      </c>
      <c r="C43" t="s">
        <v>66</v>
      </c>
      <c r="E43" t="s">
        <v>47</v>
      </c>
      <c r="F43" t="s">
        <v>13</v>
      </c>
      <c r="G43">
        <v>18</v>
      </c>
      <c r="H43" s="3">
        <v>969.14</v>
      </c>
      <c r="I43" s="4">
        <v>0.05</v>
      </c>
      <c r="J43" s="3">
        <f>G43*H43*(1-I43)</f>
        <v>16572.293999999998</v>
      </c>
    </row>
    <row r="44" spans="1:10" x14ac:dyDescent="0.35">
      <c r="A44">
        <v>1043</v>
      </c>
      <c r="B44" s="2">
        <v>45413</v>
      </c>
      <c r="C44" t="s">
        <v>67</v>
      </c>
      <c r="D44" t="s">
        <v>34</v>
      </c>
      <c r="E44" t="s">
        <v>23</v>
      </c>
      <c r="F44" t="s">
        <v>13</v>
      </c>
      <c r="G44">
        <v>6</v>
      </c>
      <c r="H44" s="3">
        <v>125.68</v>
      </c>
      <c r="I44" s="4">
        <v>0</v>
      </c>
      <c r="J44" s="3">
        <f>G44*H44*(1-I44)</f>
        <v>754.08</v>
      </c>
    </row>
    <row r="45" spans="1:10" x14ac:dyDescent="0.35">
      <c r="A45">
        <v>1044</v>
      </c>
      <c r="B45" s="2">
        <v>45634</v>
      </c>
      <c r="C45" t="s">
        <v>68</v>
      </c>
      <c r="D45" t="s">
        <v>11</v>
      </c>
      <c r="E45" t="s">
        <v>29</v>
      </c>
      <c r="F45" t="s">
        <v>30</v>
      </c>
      <c r="G45">
        <v>4</v>
      </c>
      <c r="H45" s="3">
        <v>5.86</v>
      </c>
      <c r="I45" s="4">
        <v>0</v>
      </c>
      <c r="J45" s="3">
        <f>G45*H45*(1-I45)</f>
        <v>23.44</v>
      </c>
    </row>
    <row r="46" spans="1:10" x14ac:dyDescent="0.35">
      <c r="A46">
        <v>1045</v>
      </c>
      <c r="B46" s="2">
        <v>45405</v>
      </c>
      <c r="C46" t="s">
        <v>69</v>
      </c>
      <c r="D46" t="s">
        <v>22</v>
      </c>
      <c r="E46" t="s">
        <v>37</v>
      </c>
      <c r="F46" t="s">
        <v>30</v>
      </c>
      <c r="G46">
        <v>8</v>
      </c>
      <c r="H46" s="3">
        <v>14.17</v>
      </c>
      <c r="I46" s="4">
        <v>0.15</v>
      </c>
      <c r="J46" s="3">
        <f>G46*H46*(1-I46)</f>
        <v>96.355999999999995</v>
      </c>
    </row>
    <row r="47" spans="1:10" x14ac:dyDescent="0.35">
      <c r="A47">
        <v>1046</v>
      </c>
      <c r="B47" s="2">
        <v>45460</v>
      </c>
      <c r="C47" t="s">
        <v>70</v>
      </c>
      <c r="D47" t="s">
        <v>22</v>
      </c>
      <c r="E47" t="s">
        <v>29</v>
      </c>
      <c r="F47" t="s">
        <v>30</v>
      </c>
      <c r="G47">
        <v>17</v>
      </c>
      <c r="H47" s="3">
        <v>5.88</v>
      </c>
      <c r="I47" s="4">
        <v>0.2</v>
      </c>
      <c r="J47" s="3">
        <f>G47*H47*(1-I47)</f>
        <v>79.968000000000004</v>
      </c>
    </row>
    <row r="48" spans="1:10" x14ac:dyDescent="0.35">
      <c r="A48">
        <v>1047</v>
      </c>
      <c r="B48" s="2">
        <v>45306</v>
      </c>
      <c r="C48" t="s">
        <v>71</v>
      </c>
      <c r="D48" t="s">
        <v>11</v>
      </c>
      <c r="E48" t="s">
        <v>72</v>
      </c>
      <c r="F48" t="s">
        <v>20</v>
      </c>
      <c r="G48">
        <v>9</v>
      </c>
      <c r="H48" s="3">
        <v>86.23</v>
      </c>
      <c r="I48" s="4">
        <v>0.1</v>
      </c>
      <c r="J48" s="3">
        <f>G48*H48*(1-I48)</f>
        <v>698.46300000000008</v>
      </c>
    </row>
    <row r="49" spans="1:10" x14ac:dyDescent="0.35">
      <c r="A49">
        <v>1048</v>
      </c>
      <c r="B49" s="2">
        <v>45452</v>
      </c>
      <c r="C49" t="s">
        <v>73</v>
      </c>
      <c r="D49" t="s">
        <v>15</v>
      </c>
      <c r="E49" t="s">
        <v>72</v>
      </c>
      <c r="F49" t="s">
        <v>20</v>
      </c>
      <c r="G49">
        <v>19</v>
      </c>
      <c r="H49" s="3">
        <v>89.11</v>
      </c>
      <c r="I49" s="4">
        <v>0</v>
      </c>
      <c r="J49" s="3">
        <f>G49*H49*(1-I49)</f>
        <v>1693.09</v>
      </c>
    </row>
    <row r="50" spans="1:10" x14ac:dyDescent="0.35">
      <c r="A50">
        <v>1049</v>
      </c>
      <c r="B50" s="2">
        <v>45292</v>
      </c>
      <c r="C50" t="s">
        <v>74</v>
      </c>
      <c r="D50" t="s">
        <v>11</v>
      </c>
      <c r="E50" t="s">
        <v>29</v>
      </c>
      <c r="F50" t="s">
        <v>30</v>
      </c>
      <c r="G50">
        <v>14</v>
      </c>
      <c r="H50" s="3">
        <v>5.48</v>
      </c>
      <c r="I50" s="4">
        <v>0.15</v>
      </c>
      <c r="J50" s="3">
        <f>G50*H50*(1-I50)</f>
        <v>65.212000000000003</v>
      </c>
    </row>
    <row r="51" spans="1:10" x14ac:dyDescent="0.35">
      <c r="A51">
        <v>1050</v>
      </c>
      <c r="B51" s="2">
        <v>45452</v>
      </c>
      <c r="C51" t="s">
        <v>75</v>
      </c>
      <c r="D51" t="s">
        <v>22</v>
      </c>
      <c r="E51" t="s">
        <v>16</v>
      </c>
      <c r="F51" t="s">
        <v>17</v>
      </c>
      <c r="G51">
        <v>14</v>
      </c>
      <c r="H51" s="3">
        <v>21.24</v>
      </c>
      <c r="I51" s="4">
        <v>0.15</v>
      </c>
      <c r="J51" s="3">
        <f>G51*H51*(1-I51)</f>
        <v>252.75599999999994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B9D8A-7D21-4ED9-8B97-1BB63B14ADB1}">
  <dimension ref="A1:J4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.6328125" bestFit="1" customWidth="1"/>
    <col min="2" max="2" width="10.7265625" bestFit="1" customWidth="1"/>
    <col min="3" max="3" width="15.54296875" bestFit="1" customWidth="1"/>
    <col min="4" max="4" width="6.7265625" bestFit="1" customWidth="1"/>
    <col min="5" max="5" width="12.453125" bestFit="1" customWidth="1"/>
    <col min="6" max="6" width="10.90625" bestFit="1" customWidth="1"/>
    <col min="7" max="7" width="4.08984375" bestFit="1" customWidth="1"/>
    <col min="8" max="8" width="9.26953125" bestFit="1" customWidth="1"/>
    <col min="9" max="9" width="8.1796875" bestFit="1" customWidth="1"/>
    <col min="10" max="10" width="24.08984375" bestFit="1" customWidth="1"/>
  </cols>
  <sheetData>
    <row r="1" spans="1:10" x14ac:dyDescent="0.35">
      <c r="A1" s="6" t="s">
        <v>76</v>
      </c>
      <c r="B1" s="6" t="s">
        <v>77</v>
      </c>
      <c r="C1" s="6" t="s">
        <v>78</v>
      </c>
      <c r="D1" s="6" t="s">
        <v>3</v>
      </c>
      <c r="E1" s="6" t="s">
        <v>79</v>
      </c>
      <c r="F1" s="6" t="s">
        <v>5</v>
      </c>
      <c r="G1" s="6" t="s">
        <v>80</v>
      </c>
      <c r="H1" s="6" t="s">
        <v>81</v>
      </c>
      <c r="I1" s="6" t="s">
        <v>82</v>
      </c>
      <c r="J1" s="6" t="s">
        <v>83</v>
      </c>
    </row>
    <row r="2" spans="1:10" x14ac:dyDescent="0.35">
      <c r="A2" s="5" t="s">
        <v>84</v>
      </c>
      <c r="B2" s="5" t="s">
        <v>85</v>
      </c>
      <c r="C2" s="5" t="s">
        <v>86</v>
      </c>
      <c r="D2" s="5" t="s">
        <v>15</v>
      </c>
      <c r="E2" s="5" t="s">
        <v>87</v>
      </c>
      <c r="F2" s="5" t="s">
        <v>17</v>
      </c>
      <c r="G2" s="5" t="s">
        <v>88</v>
      </c>
      <c r="H2" s="5" t="s">
        <v>89</v>
      </c>
      <c r="I2" s="5" t="s">
        <v>90</v>
      </c>
      <c r="J2" s="5" t="s">
        <v>91</v>
      </c>
    </row>
    <row r="3" spans="1:10" x14ac:dyDescent="0.35">
      <c r="A3" s="5" t="s">
        <v>92</v>
      </c>
      <c r="B3" s="5" t="s">
        <v>93</v>
      </c>
      <c r="C3" s="5" t="s">
        <v>94</v>
      </c>
      <c r="D3" s="5" t="s">
        <v>15</v>
      </c>
      <c r="E3" s="5" t="s">
        <v>87</v>
      </c>
      <c r="F3" s="5" t="s">
        <v>95</v>
      </c>
      <c r="G3" s="5" t="s">
        <v>88</v>
      </c>
      <c r="H3" s="5" t="s">
        <v>96</v>
      </c>
      <c r="I3" s="5" t="s">
        <v>89</v>
      </c>
      <c r="J3" s="5" t="s">
        <v>89</v>
      </c>
    </row>
    <row r="4" spans="1:10" x14ac:dyDescent="0.35">
      <c r="A4" s="5" t="s">
        <v>97</v>
      </c>
      <c r="B4" s="5" t="s">
        <v>98</v>
      </c>
      <c r="C4" s="5" t="s">
        <v>99</v>
      </c>
      <c r="D4" s="5" t="s">
        <v>100</v>
      </c>
      <c r="E4" s="5" t="s">
        <v>87</v>
      </c>
      <c r="F4" s="5" t="s">
        <v>17</v>
      </c>
      <c r="G4" s="5" t="s">
        <v>101</v>
      </c>
      <c r="H4" s="5" t="s">
        <v>102</v>
      </c>
      <c r="I4" s="5" t="s">
        <v>103</v>
      </c>
      <c r="J4" s="5" t="s">
        <v>104</v>
      </c>
    </row>
    <row r="5" spans="1:10" x14ac:dyDescent="0.35">
      <c r="A5" s="5" t="s">
        <v>105</v>
      </c>
      <c r="B5" s="5" t="s">
        <v>106</v>
      </c>
      <c r="C5" s="5" t="s">
        <v>107</v>
      </c>
      <c r="D5" s="5" t="s">
        <v>108</v>
      </c>
      <c r="E5" s="5" t="s">
        <v>109</v>
      </c>
      <c r="F5" s="5" t="s">
        <v>110</v>
      </c>
      <c r="G5" s="5" t="s">
        <v>111</v>
      </c>
      <c r="H5" s="5" t="s">
        <v>112</v>
      </c>
      <c r="I5" s="5" t="s">
        <v>103</v>
      </c>
      <c r="J5" s="5" t="s">
        <v>113</v>
      </c>
    </row>
    <row r="6" spans="1:10" x14ac:dyDescent="0.35">
      <c r="A6" s="5" t="s">
        <v>114</v>
      </c>
      <c r="B6" s="5" t="s">
        <v>115</v>
      </c>
      <c r="C6" s="5" t="s">
        <v>116</v>
      </c>
      <c r="D6" s="5" t="s">
        <v>117</v>
      </c>
      <c r="E6" s="5" t="s">
        <v>87</v>
      </c>
      <c r="F6" s="5" t="s">
        <v>13</v>
      </c>
      <c r="G6" s="5" t="s">
        <v>118</v>
      </c>
      <c r="H6" s="5" t="s">
        <v>89</v>
      </c>
      <c r="I6" s="5" t="s">
        <v>103</v>
      </c>
      <c r="J6" s="5" t="s">
        <v>119</v>
      </c>
    </row>
    <row r="7" spans="1:10" x14ac:dyDescent="0.35">
      <c r="A7" s="5" t="s">
        <v>120</v>
      </c>
      <c r="B7" s="5" t="s">
        <v>85</v>
      </c>
      <c r="C7" s="5" t="s">
        <v>121</v>
      </c>
      <c r="D7" s="5" t="s">
        <v>108</v>
      </c>
      <c r="E7" s="5" t="s">
        <v>16</v>
      </c>
      <c r="F7" s="5" t="s">
        <v>13</v>
      </c>
      <c r="G7" s="5" t="s">
        <v>111</v>
      </c>
      <c r="H7" s="5" t="s">
        <v>122</v>
      </c>
      <c r="I7" s="5" t="s">
        <v>115</v>
      </c>
      <c r="J7" s="5" t="s">
        <v>123</v>
      </c>
    </row>
    <row r="8" spans="1:10" x14ac:dyDescent="0.35">
      <c r="A8" s="5" t="s">
        <v>124</v>
      </c>
      <c r="B8" s="5" t="s">
        <v>98</v>
      </c>
      <c r="C8" s="5" t="s">
        <v>125</v>
      </c>
      <c r="D8" s="5" t="s">
        <v>15</v>
      </c>
      <c r="E8" s="5" t="s">
        <v>16</v>
      </c>
      <c r="F8" s="5" t="s">
        <v>110</v>
      </c>
      <c r="G8" s="5" t="s">
        <v>126</v>
      </c>
      <c r="H8" s="5" t="s">
        <v>127</v>
      </c>
      <c r="I8" s="5" t="s">
        <v>115</v>
      </c>
      <c r="J8" s="5" t="s">
        <v>89</v>
      </c>
    </row>
    <row r="9" spans="1:10" x14ac:dyDescent="0.35">
      <c r="A9" s="5" t="s">
        <v>128</v>
      </c>
      <c r="B9" s="5" t="s">
        <v>89</v>
      </c>
      <c r="C9" s="5" t="s">
        <v>129</v>
      </c>
      <c r="D9" s="5" t="s">
        <v>130</v>
      </c>
      <c r="E9" s="5" t="s">
        <v>131</v>
      </c>
      <c r="F9" s="5" t="s">
        <v>132</v>
      </c>
      <c r="G9" s="5" t="s">
        <v>89</v>
      </c>
      <c r="H9" s="5" t="s">
        <v>89</v>
      </c>
      <c r="I9" s="5" t="s">
        <v>133</v>
      </c>
      <c r="J9" s="5" t="s">
        <v>123</v>
      </c>
    </row>
    <row r="10" spans="1:10" x14ac:dyDescent="0.35">
      <c r="A10" s="5" t="s">
        <v>134</v>
      </c>
      <c r="B10" s="5" t="s">
        <v>93</v>
      </c>
      <c r="C10" s="5" t="s">
        <v>135</v>
      </c>
      <c r="D10" s="5" t="s">
        <v>136</v>
      </c>
      <c r="E10" s="5" t="s">
        <v>131</v>
      </c>
      <c r="F10" s="5" t="s">
        <v>95</v>
      </c>
      <c r="G10" s="5" t="s">
        <v>111</v>
      </c>
      <c r="H10" s="5" t="s">
        <v>137</v>
      </c>
      <c r="I10" s="5" t="s">
        <v>138</v>
      </c>
      <c r="J10" s="5" t="s">
        <v>123</v>
      </c>
    </row>
    <row r="11" spans="1:10" x14ac:dyDescent="0.35">
      <c r="A11" s="5" t="s">
        <v>139</v>
      </c>
      <c r="B11" s="5" t="s">
        <v>85</v>
      </c>
      <c r="C11" s="5" t="s">
        <v>140</v>
      </c>
      <c r="D11" s="5" t="s">
        <v>136</v>
      </c>
      <c r="E11" s="5" t="s">
        <v>47</v>
      </c>
      <c r="F11" s="5" t="s">
        <v>132</v>
      </c>
      <c r="G11" s="5" t="s">
        <v>111</v>
      </c>
      <c r="H11" s="5" t="s">
        <v>89</v>
      </c>
      <c r="I11" s="5" t="s">
        <v>103</v>
      </c>
      <c r="J11" s="5" t="s">
        <v>89</v>
      </c>
    </row>
    <row r="12" spans="1:10" x14ac:dyDescent="0.35">
      <c r="A12" s="5" t="s">
        <v>141</v>
      </c>
      <c r="B12" s="5" t="s">
        <v>142</v>
      </c>
      <c r="C12" s="5" t="s">
        <v>143</v>
      </c>
      <c r="D12" s="5" t="s">
        <v>136</v>
      </c>
      <c r="E12" s="5" t="s">
        <v>87</v>
      </c>
      <c r="F12" s="5" t="s">
        <v>110</v>
      </c>
      <c r="G12" s="5" t="s">
        <v>144</v>
      </c>
      <c r="H12" s="5" t="s">
        <v>145</v>
      </c>
      <c r="I12" s="5" t="s">
        <v>89</v>
      </c>
      <c r="J12" s="5" t="s">
        <v>146</v>
      </c>
    </row>
    <row r="13" spans="1:10" x14ac:dyDescent="0.35">
      <c r="A13" s="5" t="s">
        <v>147</v>
      </c>
      <c r="B13" s="5" t="s">
        <v>142</v>
      </c>
      <c r="C13" s="5" t="s">
        <v>148</v>
      </c>
      <c r="D13" s="5" t="s">
        <v>136</v>
      </c>
      <c r="E13" s="5" t="s">
        <v>19</v>
      </c>
      <c r="F13" s="5" t="s">
        <v>110</v>
      </c>
      <c r="G13" s="5" t="s">
        <v>111</v>
      </c>
      <c r="H13" s="5" t="s">
        <v>89</v>
      </c>
      <c r="I13" s="5" t="s">
        <v>90</v>
      </c>
      <c r="J13" s="5" t="s">
        <v>149</v>
      </c>
    </row>
    <row r="14" spans="1:10" x14ac:dyDescent="0.35">
      <c r="A14" s="5" t="s">
        <v>150</v>
      </c>
      <c r="B14" s="5" t="s">
        <v>142</v>
      </c>
      <c r="C14" s="5" t="s">
        <v>135</v>
      </c>
      <c r="D14" s="5" t="s">
        <v>22</v>
      </c>
      <c r="E14" s="5" t="s">
        <v>19</v>
      </c>
      <c r="F14" s="5" t="s">
        <v>132</v>
      </c>
      <c r="G14" s="5" t="s">
        <v>126</v>
      </c>
      <c r="H14" s="5" t="s">
        <v>151</v>
      </c>
      <c r="I14" s="5" t="s">
        <v>103</v>
      </c>
      <c r="J14" s="5" t="s">
        <v>152</v>
      </c>
    </row>
    <row r="15" spans="1:10" x14ac:dyDescent="0.35">
      <c r="A15" s="5" t="s">
        <v>153</v>
      </c>
      <c r="B15" s="5" t="s">
        <v>142</v>
      </c>
      <c r="C15" s="5" t="s">
        <v>154</v>
      </c>
      <c r="D15" s="5" t="s">
        <v>136</v>
      </c>
      <c r="E15" s="5" t="s">
        <v>155</v>
      </c>
      <c r="F15" s="5" t="s">
        <v>95</v>
      </c>
      <c r="G15" s="5" t="s">
        <v>88</v>
      </c>
      <c r="H15" s="5" t="s">
        <v>156</v>
      </c>
      <c r="I15" s="5" t="s">
        <v>157</v>
      </c>
      <c r="J15" s="5" t="s">
        <v>89</v>
      </c>
    </row>
    <row r="16" spans="1:10" x14ac:dyDescent="0.35">
      <c r="A16" s="5" t="s">
        <v>158</v>
      </c>
      <c r="B16" s="5" t="s">
        <v>89</v>
      </c>
      <c r="C16" s="5" t="s">
        <v>159</v>
      </c>
      <c r="D16" s="5" t="s">
        <v>100</v>
      </c>
      <c r="E16" s="5" t="s">
        <v>16</v>
      </c>
      <c r="F16" s="5" t="s">
        <v>110</v>
      </c>
      <c r="G16" s="5" t="s">
        <v>89</v>
      </c>
      <c r="H16" s="5" t="s">
        <v>160</v>
      </c>
      <c r="I16" s="5" t="s">
        <v>90</v>
      </c>
      <c r="J16" s="5" t="s">
        <v>161</v>
      </c>
    </row>
    <row r="17" spans="1:10" x14ac:dyDescent="0.35">
      <c r="A17" s="5" t="s">
        <v>162</v>
      </c>
      <c r="B17" s="5" t="s">
        <v>85</v>
      </c>
      <c r="C17" s="5" t="s">
        <v>163</v>
      </c>
      <c r="D17" s="5" t="s">
        <v>130</v>
      </c>
      <c r="E17" s="5" t="s">
        <v>164</v>
      </c>
      <c r="F17" s="5" t="s">
        <v>132</v>
      </c>
      <c r="G17" s="5" t="s">
        <v>165</v>
      </c>
      <c r="H17" s="5" t="s">
        <v>166</v>
      </c>
      <c r="I17" s="5" t="s">
        <v>90</v>
      </c>
      <c r="J17" s="5" t="s">
        <v>167</v>
      </c>
    </row>
    <row r="18" spans="1:10" x14ac:dyDescent="0.35">
      <c r="A18" s="5" t="s">
        <v>168</v>
      </c>
      <c r="B18" s="5" t="s">
        <v>142</v>
      </c>
      <c r="C18" s="5" t="s">
        <v>94</v>
      </c>
      <c r="D18" s="5" t="s">
        <v>11</v>
      </c>
      <c r="E18" s="5" t="s">
        <v>16</v>
      </c>
      <c r="F18" s="5" t="s">
        <v>95</v>
      </c>
      <c r="G18" s="5" t="s">
        <v>118</v>
      </c>
      <c r="H18" s="5" t="s">
        <v>169</v>
      </c>
      <c r="I18" s="5" t="s">
        <v>115</v>
      </c>
      <c r="J18" s="5" t="s">
        <v>89</v>
      </c>
    </row>
    <row r="19" spans="1:10" x14ac:dyDescent="0.35">
      <c r="A19" s="5" t="s">
        <v>170</v>
      </c>
      <c r="B19" s="5" t="s">
        <v>171</v>
      </c>
      <c r="C19" s="5" t="s">
        <v>172</v>
      </c>
      <c r="D19" s="5" t="s">
        <v>136</v>
      </c>
      <c r="E19" s="5" t="s">
        <v>16</v>
      </c>
      <c r="F19" s="5" t="s">
        <v>95</v>
      </c>
      <c r="G19" s="5" t="s">
        <v>111</v>
      </c>
      <c r="H19" s="5" t="s">
        <v>173</v>
      </c>
      <c r="I19" s="5" t="s">
        <v>103</v>
      </c>
      <c r="J19" s="5" t="s">
        <v>91</v>
      </c>
    </row>
    <row r="20" spans="1:10" x14ac:dyDescent="0.35">
      <c r="A20" s="5" t="s">
        <v>174</v>
      </c>
      <c r="B20" s="5" t="s">
        <v>142</v>
      </c>
      <c r="C20" s="5" t="s">
        <v>175</v>
      </c>
      <c r="D20" s="5" t="s">
        <v>176</v>
      </c>
      <c r="E20" s="5" t="s">
        <v>164</v>
      </c>
      <c r="F20" s="5" t="s">
        <v>95</v>
      </c>
      <c r="G20" s="5" t="s">
        <v>177</v>
      </c>
      <c r="H20" s="5" t="s">
        <v>178</v>
      </c>
      <c r="I20" s="5" t="s">
        <v>133</v>
      </c>
      <c r="J20" s="5" t="s">
        <v>123</v>
      </c>
    </row>
    <row r="21" spans="1:10" x14ac:dyDescent="0.35">
      <c r="A21" s="5" t="s">
        <v>179</v>
      </c>
      <c r="B21" s="5" t="s">
        <v>171</v>
      </c>
      <c r="C21" s="5" t="s">
        <v>180</v>
      </c>
      <c r="D21" s="5" t="s">
        <v>108</v>
      </c>
      <c r="E21" s="5" t="s">
        <v>109</v>
      </c>
      <c r="F21" s="5" t="s">
        <v>17</v>
      </c>
      <c r="G21" s="5" t="s">
        <v>101</v>
      </c>
      <c r="H21" s="5" t="s">
        <v>181</v>
      </c>
      <c r="I21" s="5" t="s">
        <v>89</v>
      </c>
      <c r="J21" s="5" t="s">
        <v>182</v>
      </c>
    </row>
    <row r="22" spans="1:10" x14ac:dyDescent="0.35">
      <c r="A22" s="5" t="s">
        <v>183</v>
      </c>
      <c r="B22" s="5" t="s">
        <v>171</v>
      </c>
      <c r="C22" s="5" t="s">
        <v>184</v>
      </c>
      <c r="D22" s="5" t="s">
        <v>108</v>
      </c>
      <c r="E22" s="5" t="s">
        <v>87</v>
      </c>
      <c r="F22" s="5" t="s">
        <v>17</v>
      </c>
      <c r="G22" s="5" t="s">
        <v>88</v>
      </c>
      <c r="H22" s="5" t="s">
        <v>185</v>
      </c>
      <c r="I22" s="5" t="s">
        <v>89</v>
      </c>
      <c r="J22" s="5" t="s">
        <v>91</v>
      </c>
    </row>
    <row r="23" spans="1:10" x14ac:dyDescent="0.35">
      <c r="A23" s="5" t="s">
        <v>186</v>
      </c>
      <c r="B23" s="5" t="s">
        <v>93</v>
      </c>
      <c r="C23" s="5" t="s">
        <v>187</v>
      </c>
      <c r="D23" s="5" t="s">
        <v>15</v>
      </c>
      <c r="E23" s="5" t="s">
        <v>87</v>
      </c>
      <c r="F23" s="5" t="s">
        <v>17</v>
      </c>
      <c r="G23" s="5" t="s">
        <v>188</v>
      </c>
      <c r="H23" s="5" t="s">
        <v>151</v>
      </c>
      <c r="I23" s="5" t="s">
        <v>89</v>
      </c>
      <c r="J23" s="5" t="s">
        <v>89</v>
      </c>
    </row>
    <row r="24" spans="1:10" x14ac:dyDescent="0.35">
      <c r="A24" s="5" t="s">
        <v>189</v>
      </c>
      <c r="B24" s="5" t="s">
        <v>98</v>
      </c>
      <c r="C24" s="5" t="s">
        <v>190</v>
      </c>
      <c r="D24" s="5" t="s">
        <v>100</v>
      </c>
      <c r="E24" s="5" t="s">
        <v>164</v>
      </c>
      <c r="F24" s="5" t="s">
        <v>17</v>
      </c>
      <c r="G24" s="5" t="s">
        <v>101</v>
      </c>
      <c r="H24" s="5" t="s">
        <v>89</v>
      </c>
      <c r="I24" s="5" t="s">
        <v>90</v>
      </c>
      <c r="J24" s="5" t="s">
        <v>191</v>
      </c>
    </row>
    <row r="25" spans="1:10" x14ac:dyDescent="0.35">
      <c r="A25" s="5" t="s">
        <v>192</v>
      </c>
      <c r="B25" s="5" t="s">
        <v>142</v>
      </c>
      <c r="C25" s="5" t="s">
        <v>148</v>
      </c>
      <c r="D25" s="5" t="s">
        <v>130</v>
      </c>
      <c r="E25" s="5" t="s">
        <v>164</v>
      </c>
      <c r="F25" s="5" t="s">
        <v>110</v>
      </c>
      <c r="G25" s="5" t="s">
        <v>89</v>
      </c>
      <c r="H25" s="5" t="s">
        <v>193</v>
      </c>
      <c r="I25" s="5" t="s">
        <v>115</v>
      </c>
      <c r="J25" s="5" t="s">
        <v>146</v>
      </c>
    </row>
    <row r="26" spans="1:10" x14ac:dyDescent="0.35">
      <c r="A26" s="5" t="s">
        <v>194</v>
      </c>
      <c r="B26" s="5" t="s">
        <v>89</v>
      </c>
      <c r="C26" s="5" t="s">
        <v>195</v>
      </c>
      <c r="D26" s="5" t="s">
        <v>11</v>
      </c>
      <c r="E26" s="5" t="s">
        <v>131</v>
      </c>
      <c r="F26" s="5" t="s">
        <v>132</v>
      </c>
      <c r="G26" s="5" t="s">
        <v>89</v>
      </c>
      <c r="H26" s="5" t="s">
        <v>196</v>
      </c>
      <c r="I26" s="5" t="s">
        <v>103</v>
      </c>
      <c r="J26" s="5" t="s">
        <v>197</v>
      </c>
    </row>
    <row r="27" spans="1:10" x14ac:dyDescent="0.35">
      <c r="A27" s="5" t="s">
        <v>198</v>
      </c>
      <c r="B27" s="5" t="s">
        <v>115</v>
      </c>
      <c r="C27" s="5" t="s">
        <v>199</v>
      </c>
      <c r="D27" s="5" t="s">
        <v>176</v>
      </c>
      <c r="E27" s="5" t="s">
        <v>155</v>
      </c>
      <c r="F27" s="5" t="s">
        <v>17</v>
      </c>
      <c r="G27" s="5" t="s">
        <v>88</v>
      </c>
      <c r="H27" s="5" t="s">
        <v>200</v>
      </c>
      <c r="I27" s="5" t="s">
        <v>103</v>
      </c>
      <c r="J27" s="5" t="s">
        <v>201</v>
      </c>
    </row>
    <row r="28" spans="1:10" x14ac:dyDescent="0.35">
      <c r="A28" s="5" t="s">
        <v>202</v>
      </c>
      <c r="B28" s="5" t="s">
        <v>98</v>
      </c>
      <c r="C28" s="5" t="s">
        <v>203</v>
      </c>
      <c r="D28" s="5" t="s">
        <v>136</v>
      </c>
      <c r="E28" s="5" t="s">
        <v>19</v>
      </c>
      <c r="F28" s="5" t="s">
        <v>95</v>
      </c>
      <c r="G28" s="5" t="s">
        <v>111</v>
      </c>
      <c r="H28" s="5" t="s">
        <v>89</v>
      </c>
      <c r="I28" s="5" t="s">
        <v>115</v>
      </c>
      <c r="J28" s="5" t="s">
        <v>204</v>
      </c>
    </row>
    <row r="29" spans="1:10" x14ac:dyDescent="0.35">
      <c r="A29" s="5" t="s">
        <v>205</v>
      </c>
      <c r="B29" s="5" t="s">
        <v>142</v>
      </c>
      <c r="C29" s="5" t="s">
        <v>203</v>
      </c>
      <c r="D29" s="5" t="s">
        <v>136</v>
      </c>
      <c r="E29" s="5" t="s">
        <v>109</v>
      </c>
      <c r="F29" s="5" t="s">
        <v>13</v>
      </c>
      <c r="G29" s="5" t="s">
        <v>177</v>
      </c>
      <c r="H29" s="5" t="s">
        <v>206</v>
      </c>
      <c r="I29" s="5" t="s">
        <v>103</v>
      </c>
      <c r="J29" s="5" t="s">
        <v>204</v>
      </c>
    </row>
    <row r="30" spans="1:10" x14ac:dyDescent="0.35">
      <c r="A30" s="5" t="s">
        <v>207</v>
      </c>
      <c r="B30" s="5" t="s">
        <v>142</v>
      </c>
      <c r="C30" s="5" t="s">
        <v>199</v>
      </c>
      <c r="D30" s="5" t="s">
        <v>22</v>
      </c>
      <c r="E30" s="5" t="s">
        <v>109</v>
      </c>
      <c r="F30" s="5" t="s">
        <v>110</v>
      </c>
      <c r="G30" s="5" t="s">
        <v>144</v>
      </c>
      <c r="H30" s="5" t="s">
        <v>208</v>
      </c>
      <c r="I30" s="5" t="s">
        <v>133</v>
      </c>
      <c r="J30" s="5" t="s">
        <v>201</v>
      </c>
    </row>
    <row r="31" spans="1:10" x14ac:dyDescent="0.35">
      <c r="A31" s="5" t="s">
        <v>209</v>
      </c>
      <c r="B31" s="5" t="s">
        <v>171</v>
      </c>
      <c r="C31" s="5" t="s">
        <v>187</v>
      </c>
      <c r="D31" s="5" t="s">
        <v>117</v>
      </c>
      <c r="E31" s="5" t="s">
        <v>164</v>
      </c>
      <c r="F31" s="5" t="s">
        <v>110</v>
      </c>
      <c r="G31" s="5" t="s">
        <v>210</v>
      </c>
      <c r="H31" s="5" t="s">
        <v>211</v>
      </c>
      <c r="I31" s="5" t="s">
        <v>103</v>
      </c>
      <c r="J31" s="5" t="s">
        <v>146</v>
      </c>
    </row>
    <row r="32" spans="1:10" x14ac:dyDescent="0.35">
      <c r="A32" s="5" t="s">
        <v>212</v>
      </c>
      <c r="B32" s="5" t="s">
        <v>93</v>
      </c>
      <c r="C32" s="5" t="s">
        <v>213</v>
      </c>
      <c r="D32" s="5" t="s">
        <v>11</v>
      </c>
      <c r="E32" s="5" t="s">
        <v>16</v>
      </c>
      <c r="F32" s="5" t="s">
        <v>13</v>
      </c>
      <c r="G32" s="5" t="s">
        <v>88</v>
      </c>
      <c r="H32" s="5" t="s">
        <v>214</v>
      </c>
      <c r="I32" s="5" t="s">
        <v>138</v>
      </c>
      <c r="J32" s="5" t="s">
        <v>215</v>
      </c>
    </row>
    <row r="33" spans="1:10" x14ac:dyDescent="0.35">
      <c r="A33" s="5" t="s">
        <v>216</v>
      </c>
      <c r="B33" s="5" t="s">
        <v>93</v>
      </c>
      <c r="C33" s="5" t="s">
        <v>86</v>
      </c>
      <c r="D33" s="5" t="s">
        <v>22</v>
      </c>
      <c r="E33" s="5" t="s">
        <v>47</v>
      </c>
      <c r="F33" s="5" t="s">
        <v>95</v>
      </c>
      <c r="G33" s="5" t="s">
        <v>89</v>
      </c>
      <c r="H33" s="5" t="s">
        <v>89</v>
      </c>
      <c r="I33" s="5" t="s">
        <v>157</v>
      </c>
      <c r="J33" s="5" t="s">
        <v>217</v>
      </c>
    </row>
    <row r="34" spans="1:10" x14ac:dyDescent="0.35">
      <c r="A34" s="5" t="s">
        <v>218</v>
      </c>
      <c r="B34" s="5" t="s">
        <v>93</v>
      </c>
      <c r="C34" s="5" t="s">
        <v>203</v>
      </c>
      <c r="D34" s="5" t="s">
        <v>108</v>
      </c>
      <c r="E34" s="5" t="s">
        <v>131</v>
      </c>
      <c r="F34" s="5" t="s">
        <v>95</v>
      </c>
      <c r="G34" s="5" t="s">
        <v>177</v>
      </c>
      <c r="H34" s="5" t="s">
        <v>219</v>
      </c>
      <c r="I34" s="5" t="s">
        <v>138</v>
      </c>
      <c r="J34" s="5" t="s">
        <v>220</v>
      </c>
    </row>
    <row r="35" spans="1:10" x14ac:dyDescent="0.35">
      <c r="A35" s="5" t="s">
        <v>221</v>
      </c>
      <c r="B35" s="5" t="s">
        <v>98</v>
      </c>
      <c r="C35" s="5" t="s">
        <v>222</v>
      </c>
      <c r="D35" s="5" t="s">
        <v>136</v>
      </c>
      <c r="E35" s="5" t="s">
        <v>47</v>
      </c>
      <c r="F35" s="5" t="s">
        <v>110</v>
      </c>
      <c r="G35" s="5" t="s">
        <v>111</v>
      </c>
      <c r="H35" s="5" t="s">
        <v>151</v>
      </c>
      <c r="I35" s="5" t="s">
        <v>157</v>
      </c>
      <c r="J35" s="5" t="s">
        <v>146</v>
      </c>
    </row>
    <row r="36" spans="1:10" x14ac:dyDescent="0.35">
      <c r="A36" s="5" t="s">
        <v>223</v>
      </c>
      <c r="B36" s="5" t="s">
        <v>142</v>
      </c>
      <c r="C36" s="5" t="s">
        <v>224</v>
      </c>
      <c r="D36" s="5" t="s">
        <v>136</v>
      </c>
      <c r="E36" s="5" t="s">
        <v>109</v>
      </c>
      <c r="F36" s="5" t="s">
        <v>17</v>
      </c>
      <c r="G36" s="5" t="s">
        <v>225</v>
      </c>
      <c r="H36" s="5" t="s">
        <v>151</v>
      </c>
      <c r="I36" s="5" t="s">
        <v>89</v>
      </c>
      <c r="J36" s="5" t="s">
        <v>89</v>
      </c>
    </row>
    <row r="37" spans="1:10" x14ac:dyDescent="0.35">
      <c r="A37" s="5" t="s">
        <v>226</v>
      </c>
      <c r="B37" s="5" t="s">
        <v>89</v>
      </c>
      <c r="C37" s="5" t="s">
        <v>116</v>
      </c>
      <c r="D37" s="5" t="s">
        <v>136</v>
      </c>
      <c r="E37" s="5" t="s">
        <v>19</v>
      </c>
      <c r="F37" s="5" t="s">
        <v>17</v>
      </c>
      <c r="G37" s="5" t="s">
        <v>88</v>
      </c>
      <c r="H37" s="5" t="s">
        <v>151</v>
      </c>
      <c r="I37" s="5" t="s">
        <v>138</v>
      </c>
      <c r="J37" s="5" t="s">
        <v>119</v>
      </c>
    </row>
    <row r="38" spans="1:10" x14ac:dyDescent="0.35">
      <c r="A38" s="5" t="s">
        <v>227</v>
      </c>
      <c r="B38" s="5" t="s">
        <v>93</v>
      </c>
      <c r="C38" s="5" t="s">
        <v>228</v>
      </c>
      <c r="D38" s="5" t="s">
        <v>15</v>
      </c>
      <c r="E38" s="5" t="s">
        <v>131</v>
      </c>
      <c r="F38" s="5" t="s">
        <v>110</v>
      </c>
      <c r="G38" s="5" t="s">
        <v>111</v>
      </c>
      <c r="H38" s="5" t="s">
        <v>151</v>
      </c>
      <c r="I38" s="5" t="s">
        <v>115</v>
      </c>
      <c r="J38" s="5" t="s">
        <v>89</v>
      </c>
    </row>
    <row r="39" spans="1:10" x14ac:dyDescent="0.35">
      <c r="A39" s="5" t="s">
        <v>229</v>
      </c>
      <c r="B39" s="5" t="s">
        <v>115</v>
      </c>
      <c r="C39" s="5" t="s">
        <v>203</v>
      </c>
      <c r="D39" s="5" t="s">
        <v>108</v>
      </c>
      <c r="E39" s="5" t="s">
        <v>87</v>
      </c>
      <c r="F39" s="5" t="s">
        <v>17</v>
      </c>
      <c r="G39" s="5" t="s">
        <v>88</v>
      </c>
      <c r="H39" s="5" t="s">
        <v>230</v>
      </c>
      <c r="I39" s="5" t="s">
        <v>157</v>
      </c>
      <c r="J39" s="5" t="s">
        <v>204</v>
      </c>
    </row>
    <row r="40" spans="1:10" x14ac:dyDescent="0.35">
      <c r="A40" s="5" t="s">
        <v>231</v>
      </c>
      <c r="B40" s="5" t="s">
        <v>93</v>
      </c>
      <c r="C40" s="5" t="s">
        <v>159</v>
      </c>
      <c r="D40" s="5" t="s">
        <v>108</v>
      </c>
      <c r="E40" s="5" t="s">
        <v>16</v>
      </c>
      <c r="F40" s="5" t="s">
        <v>132</v>
      </c>
      <c r="G40" s="5" t="s">
        <v>89</v>
      </c>
      <c r="H40" s="5" t="s">
        <v>232</v>
      </c>
      <c r="I40" s="5" t="s">
        <v>103</v>
      </c>
      <c r="J40" s="5" t="s">
        <v>89</v>
      </c>
    </row>
    <row r="41" spans="1:10" x14ac:dyDescent="0.35">
      <c r="A41" s="5" t="s">
        <v>233</v>
      </c>
      <c r="B41" s="5" t="s">
        <v>85</v>
      </c>
      <c r="C41" s="5" t="s">
        <v>234</v>
      </c>
      <c r="D41" s="5" t="s">
        <v>136</v>
      </c>
      <c r="E41" s="5" t="s">
        <v>47</v>
      </c>
      <c r="F41" s="5" t="s">
        <v>132</v>
      </c>
      <c r="G41" s="5" t="s">
        <v>89</v>
      </c>
      <c r="H41" s="5" t="s">
        <v>89</v>
      </c>
      <c r="I41" s="5" t="s">
        <v>133</v>
      </c>
      <c r="J41" s="5" t="s">
        <v>235</v>
      </c>
    </row>
    <row r="42" spans="1:10" x14ac:dyDescent="0.35">
      <c r="A42" s="5" t="s">
        <v>236</v>
      </c>
      <c r="B42" s="5" t="s">
        <v>115</v>
      </c>
      <c r="C42" s="5" t="s">
        <v>190</v>
      </c>
      <c r="D42" s="5" t="s">
        <v>130</v>
      </c>
      <c r="E42" s="5" t="s">
        <v>164</v>
      </c>
      <c r="F42" s="5" t="s">
        <v>110</v>
      </c>
      <c r="G42" s="5" t="s">
        <v>237</v>
      </c>
      <c r="H42" s="5" t="s">
        <v>89</v>
      </c>
      <c r="I42" s="5" t="s">
        <v>133</v>
      </c>
      <c r="J42" s="5" t="s">
        <v>123</v>
      </c>
    </row>
    <row r="43" spans="1:10" x14ac:dyDescent="0.35">
      <c r="A43" s="5" t="s">
        <v>238</v>
      </c>
      <c r="B43" s="5" t="s">
        <v>93</v>
      </c>
      <c r="C43" s="5" t="s">
        <v>239</v>
      </c>
      <c r="D43" s="5" t="s">
        <v>130</v>
      </c>
      <c r="E43" s="5" t="s">
        <v>131</v>
      </c>
      <c r="F43" s="5" t="s">
        <v>17</v>
      </c>
      <c r="G43" s="5" t="s">
        <v>240</v>
      </c>
      <c r="H43" s="5" t="s">
        <v>241</v>
      </c>
      <c r="I43" s="5" t="s">
        <v>138</v>
      </c>
      <c r="J43" s="5" t="s">
        <v>123</v>
      </c>
    </row>
    <row r="44" spans="1:10" x14ac:dyDescent="0.35">
      <c r="A44" s="5" t="s">
        <v>242</v>
      </c>
      <c r="B44" s="5" t="s">
        <v>115</v>
      </c>
      <c r="C44" s="5" t="s">
        <v>243</v>
      </c>
      <c r="D44" s="5" t="s">
        <v>136</v>
      </c>
      <c r="E44" s="5" t="s">
        <v>47</v>
      </c>
      <c r="F44" s="5" t="s">
        <v>132</v>
      </c>
      <c r="G44" s="5" t="s">
        <v>89</v>
      </c>
      <c r="H44" s="5" t="s">
        <v>244</v>
      </c>
      <c r="I44" s="5" t="s">
        <v>103</v>
      </c>
      <c r="J44" s="5" t="s">
        <v>245</v>
      </c>
    </row>
    <row r="45" spans="1:10" x14ac:dyDescent="0.35">
      <c r="A45" s="5" t="s">
        <v>246</v>
      </c>
      <c r="B45" s="5" t="s">
        <v>106</v>
      </c>
      <c r="C45" s="5" t="s">
        <v>247</v>
      </c>
      <c r="D45" s="5" t="s">
        <v>176</v>
      </c>
      <c r="E45" s="5" t="s">
        <v>87</v>
      </c>
      <c r="F45" s="5" t="s">
        <v>95</v>
      </c>
      <c r="G45" s="5" t="s">
        <v>89</v>
      </c>
      <c r="H45" s="5" t="s">
        <v>248</v>
      </c>
      <c r="I45" s="5" t="s">
        <v>133</v>
      </c>
      <c r="J45" s="5" t="s">
        <v>123</v>
      </c>
    </row>
    <row r="46" spans="1:10" x14ac:dyDescent="0.35">
      <c r="A46" s="5" t="s">
        <v>249</v>
      </c>
      <c r="B46" s="5" t="s">
        <v>98</v>
      </c>
      <c r="C46" s="5" t="s">
        <v>250</v>
      </c>
      <c r="D46" s="5" t="s">
        <v>130</v>
      </c>
      <c r="E46" s="5" t="s">
        <v>47</v>
      </c>
      <c r="F46" s="5" t="s">
        <v>110</v>
      </c>
      <c r="G46" s="5" t="s">
        <v>89</v>
      </c>
      <c r="H46" s="5" t="s">
        <v>251</v>
      </c>
      <c r="I46" s="5" t="s">
        <v>157</v>
      </c>
      <c r="J46" s="5" t="s">
        <v>123</v>
      </c>
    </row>
    <row r="47" spans="1:10" x14ac:dyDescent="0.35">
      <c r="A47" s="5" t="s">
        <v>105</v>
      </c>
      <c r="B47" s="5" t="s">
        <v>106</v>
      </c>
      <c r="C47" s="5" t="s">
        <v>107</v>
      </c>
      <c r="D47" s="5" t="s">
        <v>108</v>
      </c>
      <c r="E47" s="5" t="s">
        <v>109</v>
      </c>
      <c r="F47" s="5" t="s">
        <v>110</v>
      </c>
      <c r="G47" s="5" t="s">
        <v>111</v>
      </c>
      <c r="H47" s="5" t="s">
        <v>112</v>
      </c>
      <c r="I47" s="5" t="s">
        <v>103</v>
      </c>
      <c r="J47" s="5" t="s">
        <v>113</v>
      </c>
    </row>
    <row r="48" spans="1:10" x14ac:dyDescent="0.35">
      <c r="A48" s="5" t="s">
        <v>141</v>
      </c>
      <c r="B48" s="5" t="s">
        <v>142</v>
      </c>
      <c r="C48" s="5" t="s">
        <v>143</v>
      </c>
      <c r="D48" s="5" t="s">
        <v>136</v>
      </c>
      <c r="E48" s="5" t="s">
        <v>87</v>
      </c>
      <c r="F48" s="5" t="s">
        <v>110</v>
      </c>
      <c r="G48" s="5" t="s">
        <v>144</v>
      </c>
      <c r="H48" s="5" t="s">
        <v>145</v>
      </c>
      <c r="I48" s="5" t="s">
        <v>89</v>
      </c>
      <c r="J48" s="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Messy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Jarrett</dc:creator>
  <cp:lastModifiedBy>Kelly Jarrett</cp:lastModifiedBy>
  <dcterms:created xsi:type="dcterms:W3CDTF">2026-09-23T17:03:08Z</dcterms:created>
  <dcterms:modified xsi:type="dcterms:W3CDTF">2026-09-23T17:11:28Z</dcterms:modified>
</cp:coreProperties>
</file>